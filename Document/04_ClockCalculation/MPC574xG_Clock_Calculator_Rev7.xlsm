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updateLinks="never" codeName="ThisWorkbook"/>
  <mc:AlternateContent xmlns:mc="http://schemas.openxmlformats.org/markup-compatibility/2006">
    <mc:Choice Requires="x15">
      <x15ac:absPath xmlns:x15ac="http://schemas.microsoft.com/office/spreadsheetml/2010/11/ac" url="C:\Users\nxa12307\OneDrive - NXP\C&amp;S\Calypso\Customer issues\Lear\AN5392\updated xls\"/>
    </mc:Choice>
  </mc:AlternateContent>
  <xr:revisionPtr revIDLastSave="22" documentId="13_ncr:1_{7BCDCFE7-AAA4-4475-8ECA-11E40B02BB62}" xr6:coauthVersionLast="41" xr6:coauthVersionMax="41" xr10:uidLastSave="{647794A4-DE01-4191-BA69-1CCAB3EC65C2}"/>
  <bookViews>
    <workbookView xWindow="-108" yWindow="-108" windowWidth="23256" windowHeight="12576" tabRatio="613" firstSheet="4" activeTab="8" xr2:uid="{00000000-000D-0000-FFFF-FFFF00000000}"/>
  </bookViews>
  <sheets>
    <sheet name="Tree" sheetId="12" r:id="rId1"/>
    <sheet name="Clock Source Control" sheetId="19" r:id="rId2"/>
    <sheet name="Run mode-only Module Domains" sheetId="13" r:id="rId3"/>
    <sheet name="LP-Enabled Module Domain Set 0" sheetId="24" r:id="rId4"/>
    <sheet name="LP-Enabled Module Domain Set 1" sheetId="18" r:id="rId5"/>
    <sheet name="ENET Clocking" sheetId="14" r:id="rId6"/>
    <sheet name="SAI Clocking" sheetId="15" r:id="rId7"/>
    <sheet name="CAN Clocking" sheetId="25" r:id="rId8"/>
    <sheet name="FMPLL" sheetId="17" r:id="rId9"/>
    <sheet name="fmpll_phi0" sheetId="3" r:id="rId10"/>
    <sheet name="fmpll_phi1" sheetId="4" r:id="rId11"/>
    <sheet name="Summary" sheetId="26" r:id="rId12"/>
    <sheet name="Limits" sheetId="2" r:id="rId13"/>
  </sheets>
  <definedNames>
    <definedName name="CAN0_EPHS_1">'CAN Clocking'!$AA$51</definedName>
    <definedName name="CAN0_EPHS_2">'CAN Clocking'!$AA$58</definedName>
    <definedName name="CAN0_EPROP">'CAN Clocking'!$AA$43</definedName>
    <definedName name="CAN0_ERJW">'CAN Clocking'!$T$43</definedName>
    <definedName name="CAN0_FPHS_1">'CAN Clocking'!$AA$75</definedName>
    <definedName name="CAN0_FPHS_2">'CAN Clocking'!$AA$82</definedName>
    <definedName name="CAN0_FPROP">'CAN Clocking'!$AA$67</definedName>
    <definedName name="CAN0_FRJW">'CAN Clocking'!$U$67</definedName>
    <definedName name="CAN0_PHS_1">'CAN Clocking'!$Q$17</definedName>
    <definedName name="CAN0_PHS_2">'CAN Clocking'!$Q$31</definedName>
    <definedName name="CAN0_PROP">'CAN Clocking'!$Q$24</definedName>
    <definedName name="CAN0_RJW">'CAN Clocking'!$M$24</definedName>
    <definedName name="E0_0">Limits!$A$50:$A$51</definedName>
    <definedName name="E0_1">Limits!$A$50:$A$52</definedName>
    <definedName name="E0_10">Limits!$A$50:$A$61</definedName>
    <definedName name="E0_11">Limits!$A$50:$A$62</definedName>
    <definedName name="E0_12">Limits!$A$50:$A$63</definedName>
    <definedName name="E0_13">Limits!$A$50:$A$64</definedName>
    <definedName name="E0_14">Limits!$A$50:$A$65</definedName>
    <definedName name="E0_15">Limits!$A$50:$A$66</definedName>
    <definedName name="E0_2">Limits!$A$50:$A$53</definedName>
    <definedName name="E0_3">Limits!$A$50:$A$54</definedName>
    <definedName name="E0_4">Limits!$A$50:$A$55</definedName>
    <definedName name="E0_5">Limits!$A$50:$A$56</definedName>
    <definedName name="E0_6">Limits!$A$50:$A$57</definedName>
    <definedName name="E0_7">Limits!$A$50:$A$58</definedName>
    <definedName name="E0_8">Limits!$A$50:$A$59</definedName>
    <definedName name="E0_9">Limits!$A$50:$A$60</definedName>
    <definedName name="E1_0">Limits!$A$50:$A$52</definedName>
    <definedName name="E1_1">Limits!$A$50:$A$53</definedName>
    <definedName name="E1_10">Limits!$A$50:$A$62</definedName>
    <definedName name="E1_11">Limits!$A$50:$A$63</definedName>
    <definedName name="E1_12">Limits!$A$50:$A$64</definedName>
    <definedName name="E1_13">Limits!$A$50:$A$65</definedName>
    <definedName name="E1_14">Limits!$A$50:$A$66</definedName>
    <definedName name="E1_15">Limits!$A$50:$A$67</definedName>
    <definedName name="E1_2">Limits!$A$50:$A$54</definedName>
    <definedName name="E1_3">Limits!$A$50:$A$55</definedName>
    <definedName name="E1_4">Limits!$A$50:$A$56</definedName>
    <definedName name="E1_5">Limits!$A$50:$A$57</definedName>
    <definedName name="E1_6">Limits!$A$50:$A$58</definedName>
    <definedName name="E1_7">Limits!$A$50:$A$59</definedName>
    <definedName name="E1_8">Limits!$A$50:$A$60</definedName>
    <definedName name="E1_9">Limits!$A$50:$A$61</definedName>
    <definedName name="E10_0">Limits!$A$59:$A$61</definedName>
    <definedName name="E10_1">Limits!$A$58:$A$62</definedName>
    <definedName name="E10_10">Limits!$A$50:$A$71</definedName>
    <definedName name="E10_11">Limits!$A$50:$A$72</definedName>
    <definedName name="E10_12">Limits!$A$50:$A$73</definedName>
    <definedName name="E10_13">Limits!$A$50:$A$74</definedName>
    <definedName name="E10_14">Limits!$A$50:$A$75</definedName>
    <definedName name="E10_15">Limits!$A$50:$A$76</definedName>
    <definedName name="E10_2">Limits!$A$57:$A$63</definedName>
    <definedName name="E10_3">Limits!$A$56:$A$64</definedName>
    <definedName name="E10_4">Limits!$A$55:$A$65</definedName>
    <definedName name="E10_5">Limits!$A$54:$A$66</definedName>
    <definedName name="E10_6">Limits!$A$53:$A$67</definedName>
    <definedName name="E10_7">Limits!$A$52:$A$68</definedName>
    <definedName name="E10_8">Limits!$A$51:$A$69</definedName>
    <definedName name="E10_9">Limits!$A$50:$A$70</definedName>
    <definedName name="E11_0">Limits!$A$60:$A$62</definedName>
    <definedName name="E11_1">Limits!$A$59:$A$63</definedName>
    <definedName name="E11_10">Limits!$A$50:$A$72</definedName>
    <definedName name="E11_11">Limits!$A$50:$A$73</definedName>
    <definedName name="E11_12">Limits!$A$50:$A$74</definedName>
    <definedName name="E11_13">Limits!$A$50:$A$75</definedName>
    <definedName name="E11_14">Limits!$A$50:$A$76</definedName>
    <definedName name="E11_15">Limits!$A$50:$A$77</definedName>
    <definedName name="E11_2">Limits!$A$58:$A$64</definedName>
    <definedName name="E11_3">Limits!$A$57:$A$65</definedName>
    <definedName name="E11_4">Limits!$A$56:$A$66</definedName>
    <definedName name="E11_5">Limits!$A$55:$A$67</definedName>
    <definedName name="E11_6">Limits!$A$54:$A$68</definedName>
    <definedName name="E11_7">Limits!$A$53:$A$69</definedName>
    <definedName name="E11_8">Limits!$A$52:$A$70</definedName>
    <definedName name="E11_9">Limits!$A$51:$A$71</definedName>
    <definedName name="E12_0">Limits!$A$61:$A$63</definedName>
    <definedName name="E12_1">Limits!$A$60:$A$64</definedName>
    <definedName name="E12_10">Limits!$A$51:$A$73</definedName>
    <definedName name="E12_11">Limits!$A$50:$A$74</definedName>
    <definedName name="E12_12">Limits!$A$50:$A$75</definedName>
    <definedName name="E12_13">Limits!$A$50:$A$76</definedName>
    <definedName name="E12_14">Limits!$A$50:$A$77</definedName>
    <definedName name="E12_15">Limits!$A$50:$A$78</definedName>
    <definedName name="E12_2">Limits!$A$59:$A$65</definedName>
    <definedName name="E12_3">Limits!$A$58:$A$66</definedName>
    <definedName name="E12_4">Limits!$A$57:$A$67</definedName>
    <definedName name="E12_5">Limits!$A$56:$A$68</definedName>
    <definedName name="E12_6">Limits!$A$55:$A$69</definedName>
    <definedName name="E12_7">Limits!$A$54:$A$70</definedName>
    <definedName name="E12_8">Limits!$A$53:$A$71</definedName>
    <definedName name="E12_9">Limits!$A$52:$A$72</definedName>
    <definedName name="E13_0">Limits!$A$62:$A$64</definedName>
    <definedName name="E13_1">Limits!$A$61:$A$65</definedName>
    <definedName name="E13_10">Limits!$A$52:$A$74</definedName>
    <definedName name="E13_11">Limits!$A$51:$A$75</definedName>
    <definedName name="E13_12">Limits!$A$50:$A$76</definedName>
    <definedName name="E13_13">Limits!$A$50:$A$77</definedName>
    <definedName name="E13_14">Limits!$A$50:$A$78</definedName>
    <definedName name="E13_15">Limits!$A$50:$A$79</definedName>
    <definedName name="E13_2">Limits!$A$60:$A$66</definedName>
    <definedName name="E13_3">Limits!$A$59:$A$67</definedName>
    <definedName name="E13_4">Limits!$A$58:$A$68</definedName>
    <definedName name="E13_5">Limits!$A$57:$A$69</definedName>
    <definedName name="E13_6">Limits!$A$56:$A$70</definedName>
    <definedName name="E13_7">Limits!$A$55:$A$71</definedName>
    <definedName name="E13_8">Limits!$A$54:$A$72</definedName>
    <definedName name="E13_9">Limits!$A$53:$A$73</definedName>
    <definedName name="E14_0">Limits!$A$63:$A$65</definedName>
    <definedName name="E14_1">Limits!$A$62:$A$66</definedName>
    <definedName name="E14_10">Limits!$A$53:$A$75</definedName>
    <definedName name="E14_11">Limits!$A$52:$A$76</definedName>
    <definedName name="E14_12">Limits!$A$51:$A$77</definedName>
    <definedName name="E14_13">Limits!$A$50:$A$78</definedName>
    <definedName name="E14_14">Limits!$A$50:$A$79</definedName>
    <definedName name="E14_15">Limits!$A$50:$A$80</definedName>
    <definedName name="E14_2">Limits!$A$61:$A$67</definedName>
    <definedName name="E14_3">Limits!$A$60:$A$68</definedName>
    <definedName name="E14_4">Limits!$A$59:$A$69</definedName>
    <definedName name="E14_5">Limits!$A$58:$A$70</definedName>
    <definedName name="E14_6">Limits!$A$57:$A$71</definedName>
    <definedName name="E14_7">Limits!$A$56:$A$72</definedName>
    <definedName name="E14_8">Limits!$A$55:$A$73</definedName>
    <definedName name="E14_9">Limits!$A$54:$A$74</definedName>
    <definedName name="E15_0">Limits!$A$64:$A$66</definedName>
    <definedName name="E15_1">Limits!$A$63:$A$67</definedName>
    <definedName name="E15_10">Limits!$A$54:$A$76</definedName>
    <definedName name="E15_11">Limits!$A$53:$A$77</definedName>
    <definedName name="E15_12">Limits!$A$52:$A$78</definedName>
    <definedName name="E15_13">Limits!$A$51:$A$79</definedName>
    <definedName name="E15_14">Limits!$A$50:$A$80</definedName>
    <definedName name="E15_15">Limits!$A$50:$A$81</definedName>
    <definedName name="E15_2">Limits!$A$62:$A$68</definedName>
    <definedName name="E15_3">Limits!$A$61:$A$69</definedName>
    <definedName name="E15_4">Limits!$A$60:$A$70</definedName>
    <definedName name="E15_5">Limits!$A$59:$A$71</definedName>
    <definedName name="E15_6">Limits!$A$58:$A$72</definedName>
    <definedName name="E15_7">Limits!$A$57:$A$73</definedName>
    <definedName name="E15_8">Limits!$A$56:$A$74</definedName>
    <definedName name="E15_9">Limits!$A$55:$A$75</definedName>
    <definedName name="E16_0">Limits!$A$65:$A$67</definedName>
    <definedName name="E16_1">Limits!$A$64:$A$68</definedName>
    <definedName name="E16_10">Limits!$A$55:$A$77</definedName>
    <definedName name="E16_11">Limits!$A$54:$A$78</definedName>
    <definedName name="E16_12">Limits!$A$53:$A$79</definedName>
    <definedName name="E16_13">Limits!$A$52:$A$80</definedName>
    <definedName name="E16_14">Limits!$A$51:$A$81</definedName>
    <definedName name="E16_15">Limits!$A$50:$A$81</definedName>
    <definedName name="E16_2">Limits!$A$63:$A$69</definedName>
    <definedName name="E16_3">Limits!$A$62:$A$70</definedName>
    <definedName name="E16_4">Limits!$A$61:$A$71</definedName>
    <definedName name="E16_5">Limits!$A$60:$A$72</definedName>
    <definedName name="E16_6">Limits!$A$59:$A$73</definedName>
    <definedName name="E16_7">Limits!$A$58:$A$74</definedName>
    <definedName name="E16_8">Limits!$A$57:$A$75</definedName>
    <definedName name="E16_9">Limits!$A$56:$A$76</definedName>
    <definedName name="E17_0">Limits!$A$66:$A$68</definedName>
    <definedName name="E17_1">Limits!$A$65:$A$69</definedName>
    <definedName name="E17_10">Limits!$A$56:$A$78</definedName>
    <definedName name="E17_11">Limits!$A$55:$A$79</definedName>
    <definedName name="E17_12">Limits!$A$54:$A$80</definedName>
    <definedName name="E17_13">Limits!$A$53:$A$81</definedName>
    <definedName name="E17_14">Limits!$A$52:$A$81</definedName>
    <definedName name="E17_15">Limits!$A$51:$A$81</definedName>
    <definedName name="E17_2">Limits!$A$64:$A$70</definedName>
    <definedName name="E17_3">Limits!$A$63:$A$71</definedName>
    <definedName name="E17_4">Limits!$A$62:$A$72</definedName>
    <definedName name="E17_5">Limits!$A$61:$A$73</definedName>
    <definedName name="E17_6">Limits!$A$60:$A$74</definedName>
    <definedName name="E17_7">Limits!$A$59:$A$75</definedName>
    <definedName name="E17_8">Limits!$A$58:$A$76</definedName>
    <definedName name="E17_9">Limits!$A$57:$A$77</definedName>
    <definedName name="E18_0">Limits!$A$67:$A$69</definedName>
    <definedName name="E18_1">Limits!$A$66:$A$70</definedName>
    <definedName name="E18_10">Limits!$A$57:$A$79</definedName>
    <definedName name="E18_11">Limits!$A$56:$A$80</definedName>
    <definedName name="E18_12">Limits!$A$55:$A$81</definedName>
    <definedName name="E18_13">Limits!$A$54:$A$81</definedName>
    <definedName name="E18_14">Limits!$A$53:$A$81</definedName>
    <definedName name="E18_15">Limits!$A$52:$A$81</definedName>
    <definedName name="E18_2">Limits!$A$65:$A$71</definedName>
    <definedName name="E18_3">Limits!$A$64:$A$72</definedName>
    <definedName name="E18_4">Limits!$A$63:$A$73</definedName>
    <definedName name="E18_5">Limits!$A$62:$A$74</definedName>
    <definedName name="E18_6">Limits!$A$61:$A$75</definedName>
    <definedName name="E18_7">Limits!$A$60:$A$76</definedName>
    <definedName name="E18_8">Limits!$A$59:$A$77</definedName>
    <definedName name="E18_9">Limits!$A$58:$A$78</definedName>
    <definedName name="E19_0">Limits!$A$68:$A$70</definedName>
    <definedName name="E19_1">Limits!$A$67:$A$71</definedName>
    <definedName name="E19_10">Limits!$A$58:$A$80</definedName>
    <definedName name="E19_11">Limits!$A$57:$A$81</definedName>
    <definedName name="E19_12">Limits!$A$56:$A$81</definedName>
    <definedName name="E19_13">Limits!$A$55:$A$81</definedName>
    <definedName name="E19_14">Limits!$A$54:$A$81</definedName>
    <definedName name="E19_15">Limits!$A$53:$A$81</definedName>
    <definedName name="E19_2">Limits!$A$66:$A$72</definedName>
    <definedName name="E19_3">Limits!$A$65:$A$73</definedName>
    <definedName name="E19_4">Limits!$A$64:$A$74</definedName>
    <definedName name="E19_5">Limits!$A$63:$A$75</definedName>
    <definedName name="E19_6">Limits!$A$62:$A$76</definedName>
    <definedName name="E19_7">Limits!$A$61:$A$77</definedName>
    <definedName name="E19_8">Limits!$A$60:$A$78</definedName>
    <definedName name="E19_9">Limits!$A$59:$A$79</definedName>
    <definedName name="E2_0">Limits!$A$51:$A$53</definedName>
    <definedName name="E2_1">Limits!$A$50:$A$54</definedName>
    <definedName name="E2_10">Limits!$A$50:$A$63</definedName>
    <definedName name="E2_11">Limits!$A$50:$A$64</definedName>
    <definedName name="E2_12">Limits!$A$50:$A$65</definedName>
    <definedName name="E2_13">Limits!$A$50:$A$66</definedName>
    <definedName name="E2_14">Limits!$A$50:$A$67</definedName>
    <definedName name="E2_15">Limits!$A$50:$A$68</definedName>
    <definedName name="E2_2">Limits!$A$50:$A$55</definedName>
    <definedName name="E2_3">Limits!$A$50:$A$56</definedName>
    <definedName name="E2_4">Limits!$A$50:$A$57</definedName>
    <definedName name="E2_5">Limits!$A$50:$A$58</definedName>
    <definedName name="E2_6">Limits!$A$50:$A$59</definedName>
    <definedName name="E2_7">Limits!$A$50:$A$60</definedName>
    <definedName name="E2_8">Limits!$A$50:$A$61</definedName>
    <definedName name="E2_9">Limits!$A$50:$A$62</definedName>
    <definedName name="E20_0">Limits!$A$69:$A$71</definedName>
    <definedName name="E20_1">Limits!$A$68:$A$72</definedName>
    <definedName name="E20_10">Limits!$A$59:$A$81</definedName>
    <definedName name="E20_11">Limits!$A$58:$A$81</definedName>
    <definedName name="E20_12">Limits!$A$57:$A$81</definedName>
    <definedName name="E20_13">Limits!$A$56:$A$81</definedName>
    <definedName name="E20_14">Limits!$A$55:$A$81</definedName>
    <definedName name="E20_15">Limits!$A$54:$A$81</definedName>
    <definedName name="E20_2">Limits!$A$67:$A$73</definedName>
    <definedName name="E20_3">Limits!$A$66:$A$74</definedName>
    <definedName name="E20_4">Limits!$A$65:$A$75</definedName>
    <definedName name="E20_5">Limits!$A$64:$A$76</definedName>
    <definedName name="E20_6">Limits!$A$63:$A$77</definedName>
    <definedName name="E20_7">Limits!$A$62:$A$78</definedName>
    <definedName name="E20_8">Limits!$A$61:$A$79</definedName>
    <definedName name="E20_9">Limits!$A$60:$A$80</definedName>
    <definedName name="E21_0">Limits!$A$70:$A$72</definedName>
    <definedName name="E21_1">Limits!$A$69:$A$73</definedName>
    <definedName name="E21_10">Limits!$A$60:$A$81</definedName>
    <definedName name="E21_11">Limits!$A$59:$A$81</definedName>
    <definedName name="E21_12">Limits!$A$58:$A$81</definedName>
    <definedName name="E21_13">Limits!$A$57:$A$81</definedName>
    <definedName name="E21_14">Limits!$A$56:$A$81</definedName>
    <definedName name="E21_15">Limits!$A$55:$A$81</definedName>
    <definedName name="E21_2">Limits!$A$68:$A$74</definedName>
    <definedName name="E21_3">Limits!$A$67:$A$75</definedName>
    <definedName name="E21_4">Limits!$A$66:$A$76</definedName>
    <definedName name="E21_5">Limits!$A$65:$A$77</definedName>
    <definedName name="E21_6">Limits!$A$64:$A$78</definedName>
    <definedName name="E21_7">Limits!$A$63:$A$79</definedName>
    <definedName name="E21_8">Limits!$A$62:$A$80</definedName>
    <definedName name="E21_9">Limits!$A$61:$A$81</definedName>
    <definedName name="E22_0">Limits!$A$71:$A$73</definedName>
    <definedName name="E22_1">Limits!$A$70:$A$74</definedName>
    <definedName name="E22_10">Limits!$A$61:$A$81</definedName>
    <definedName name="E22_11">Limits!$A$60:$A$81</definedName>
    <definedName name="E22_12">Limits!$A$59:$A$81</definedName>
    <definedName name="E22_13">Limits!$A$58:$A$81</definedName>
    <definedName name="E22_14">Limits!$A$57:$A$81</definedName>
    <definedName name="E22_15">Limits!$A$56:$A$81</definedName>
    <definedName name="E22_2">Limits!$A$69:$A$75</definedName>
    <definedName name="E22_3">Limits!$A$68:$A$76</definedName>
    <definedName name="E22_4">Limits!$A$67:$A$77</definedName>
    <definedName name="E22_5">Limits!$A$66:$A$78</definedName>
    <definedName name="E22_6">Limits!$A$65:$A$79</definedName>
    <definedName name="E22_7">Limits!$A$64:$A$80</definedName>
    <definedName name="E22_8">Limits!$A$63:$A$81</definedName>
    <definedName name="E22_9">Limits!$A$62:$A$81</definedName>
    <definedName name="E23_0">Limits!$A$72:$A$74</definedName>
    <definedName name="E23_1">Limits!$A$71:$A$75</definedName>
    <definedName name="E23_10">Limits!$A$62:$A$81</definedName>
    <definedName name="E23_11">Limits!$A$61:$A$81</definedName>
    <definedName name="E23_12">Limits!$A$60:$A$81</definedName>
    <definedName name="E23_13">Limits!$A$59:$A$81</definedName>
    <definedName name="E23_14">Limits!$A$58:$A$81</definedName>
    <definedName name="E23_15">Limits!$A$57:$A$81</definedName>
    <definedName name="E23_2">Limits!$A$70:$A$76</definedName>
    <definedName name="E23_3">Limits!$A$69:$A$77</definedName>
    <definedName name="E23_4">Limits!$A$68:$A$78</definedName>
    <definedName name="E23_5">Limits!$A$67:$A$79</definedName>
    <definedName name="E23_6">Limits!$A$66:$A$80</definedName>
    <definedName name="E23_7">Limits!$A$65:$A$81</definedName>
    <definedName name="E23_8">Limits!$A$64:$A$81</definedName>
    <definedName name="E23_9">Limits!$A$63:$A$81</definedName>
    <definedName name="E24_0">Limits!$A$73:$A$75</definedName>
    <definedName name="E24_1">Limits!$A$72:$A$76</definedName>
    <definedName name="E24_10">Limits!$A$63:$A$81</definedName>
    <definedName name="E24_11">Limits!$A$62:$A$81</definedName>
    <definedName name="E24_12">Limits!$A$61:$A$81</definedName>
    <definedName name="E24_13">Limits!$A$60:$A$81</definedName>
    <definedName name="E24_14">Limits!$A$59:$A$81</definedName>
    <definedName name="E24_15">Limits!$A$58:$A$81</definedName>
    <definedName name="E24_2">Limits!$A$71:$A$77</definedName>
    <definedName name="E24_3">Limits!$A$70:$A$78</definedName>
    <definedName name="E24_4">Limits!$A$69:$A$79</definedName>
    <definedName name="E24_5">Limits!$A$68:$A$80</definedName>
    <definedName name="E24_6">Limits!$A$67:$A$81</definedName>
    <definedName name="E24_7">Limits!$A$66:$A$81</definedName>
    <definedName name="E24_8">Limits!$A$65:$A$81</definedName>
    <definedName name="E24_9">Limits!$A$64:$A$81</definedName>
    <definedName name="E25_0">Limits!$A$74:$A$76</definedName>
    <definedName name="E25_1">Limits!$A$73:$A$77</definedName>
    <definedName name="E25_10">Limits!$A$64:$A$81</definedName>
    <definedName name="E25_11">Limits!$A$63:$A$81</definedName>
    <definedName name="E25_12">Limits!$A$62:$A$81</definedName>
    <definedName name="E25_13">Limits!$A$61:$A$81</definedName>
    <definedName name="E25_14">Limits!$A$60:$A$81</definedName>
    <definedName name="E25_15">Limits!$A$59:$A$81</definedName>
    <definedName name="E25_2">Limits!$A$72:$A$78</definedName>
    <definedName name="E25_3">Limits!$A$71:$A$79</definedName>
    <definedName name="E25_4">Limits!$A$70:$A$80</definedName>
    <definedName name="E25_5">Limits!$A$69:$A$81</definedName>
    <definedName name="E25_6">Limits!$A$68:$A$81</definedName>
    <definedName name="E25_7">Limits!$A$67:$A$81</definedName>
    <definedName name="E25_8">Limits!$A$66:$A$81</definedName>
    <definedName name="E25_9">Limits!$A$65:$A$81</definedName>
    <definedName name="E26_0">Limits!$A$75:$A$77</definedName>
    <definedName name="E26_1">Limits!$A$74:$A$78</definedName>
    <definedName name="E26_10">Limits!$A$65:$A$81</definedName>
    <definedName name="E26_11">Limits!$A$64:$A$81</definedName>
    <definedName name="E26_12">Limits!$A$63:$A$81</definedName>
    <definedName name="E26_13">Limits!$A$62:$A$81</definedName>
    <definedName name="E26_14">Limits!$A$61:$A$81</definedName>
    <definedName name="E26_15">Limits!$A$60:$A$81</definedName>
    <definedName name="E26_2">Limits!$A$73:$A$79</definedName>
    <definedName name="E26_3">Limits!$A$72:$A$80</definedName>
    <definedName name="E26_4">Limits!$A$71:$A$81</definedName>
    <definedName name="E26_5">Limits!$A$70:$A$81</definedName>
    <definedName name="E26_6">Limits!$A$69:$A$81</definedName>
    <definedName name="E26_7">Limits!$A$68:$A$81</definedName>
    <definedName name="E26_8">Limits!$A$67:$A$81</definedName>
    <definedName name="E26_9">Limits!$A$66:$A$81</definedName>
    <definedName name="E27_0">Limits!$A$76:$A$78</definedName>
    <definedName name="E27_1">Limits!$A$75:$A$79</definedName>
    <definedName name="E27_10">Limits!$A$66:$A$81</definedName>
    <definedName name="E27_11">Limits!$A$65:$A$81</definedName>
    <definedName name="E27_12">Limits!$A$64:$A$81</definedName>
    <definedName name="E27_13">Limits!$A$63:$A$81</definedName>
    <definedName name="E27_14">Limits!$A$62:$A$81</definedName>
    <definedName name="E27_15">Limits!$A$61:$A$81</definedName>
    <definedName name="E27_2">Limits!$A$74:$A$80</definedName>
    <definedName name="E27_3">Limits!$A$73:$A$81</definedName>
    <definedName name="E27_4">Limits!$A$72:$A$81</definedName>
    <definedName name="E27_5">Limits!$A$71:$A$81</definedName>
    <definedName name="E27_6">Limits!$A$70:$A$81</definedName>
    <definedName name="E27_7">Limits!$A$69:$A$81</definedName>
    <definedName name="E27_8">Limits!$A$68:$A$81</definedName>
    <definedName name="E27_9">Limits!$A$67:$A$81</definedName>
    <definedName name="E28_0">Limits!$A$77:$A$79</definedName>
    <definedName name="E28_1">Limits!$A$76:$A$80</definedName>
    <definedName name="E28_10">Limits!$A$67:$A$81</definedName>
    <definedName name="E28_11">Limits!$A$66:$A$81</definedName>
    <definedName name="E28_12">Limits!$A$65:$A$81</definedName>
    <definedName name="E28_13">Limits!$A$64:$A$81</definedName>
    <definedName name="E28_14">Limits!$A$63:$A$81</definedName>
    <definedName name="E28_15">Limits!$A$62:$A$81</definedName>
    <definedName name="E28_2">Limits!$A$75:$A$81</definedName>
    <definedName name="E28_3">Limits!$A$74:$A$81</definedName>
    <definedName name="E28_4">Limits!$A$73:$A$81</definedName>
    <definedName name="E28_5">Limits!$A$72:$A$81</definedName>
    <definedName name="E28_6">Limits!$A$71:$A$81</definedName>
    <definedName name="E28_7">Limits!$A$70:$A$81</definedName>
    <definedName name="E28_8">Limits!$A$69:$A$81</definedName>
    <definedName name="E28_9">Limits!$A$68:$A$81</definedName>
    <definedName name="E29_0">Limits!$A$78:$A$80</definedName>
    <definedName name="E29_1">Limits!$A$77:$A$81</definedName>
    <definedName name="E29_10">Limits!$A$68:$A$81</definedName>
    <definedName name="E29_11">Limits!$A$67:$A$81</definedName>
    <definedName name="E29_12">Limits!$A$66:$A$81</definedName>
    <definedName name="E29_13">Limits!$A$65:$A$81</definedName>
    <definedName name="E29_14">Limits!$A$64:$A$81</definedName>
    <definedName name="E29_15">Limits!$A$63:$A$81</definedName>
    <definedName name="E29_2">Limits!$A$76:$A$81</definedName>
    <definedName name="E29_3">Limits!$A$75:$A$81</definedName>
    <definedName name="E29_4">Limits!$A$74:$A$81</definedName>
    <definedName name="E29_5">Limits!$A$73:$A$81</definedName>
    <definedName name="E29_6">Limits!$A$72:$A$81</definedName>
    <definedName name="E29_7">Limits!$A$71:$A$81</definedName>
    <definedName name="E29_8">Limits!$A$70:$A$81</definedName>
    <definedName name="E29_9">Limits!$A$69:$A$81</definedName>
    <definedName name="E3_0">Limits!$A$52:$A$54</definedName>
    <definedName name="E3_1">Limits!$A$51:$A$55</definedName>
    <definedName name="E3_10">Limits!$A$50:$A$64</definedName>
    <definedName name="E3_11">Limits!$A$50:$A$65</definedName>
    <definedName name="E3_12">Limits!$A$50:$A$66</definedName>
    <definedName name="E3_13">Limits!$A$50:$A$67</definedName>
    <definedName name="E3_14">Limits!$A$50:$A$68</definedName>
    <definedName name="E3_15">Limits!$A$50:$A$69</definedName>
    <definedName name="E3_2">Limits!$A$50:$A$56</definedName>
    <definedName name="E3_3">Limits!$A$50:$A$57</definedName>
    <definedName name="E3_4">Limits!$A$50:$A$58</definedName>
    <definedName name="E3_5">Limits!$A$50:$A$59</definedName>
    <definedName name="E3_6">Limits!$A$50:$A$60</definedName>
    <definedName name="E3_7">Limits!$A$50:$A$61</definedName>
    <definedName name="E3_8">Limits!$A$50:$A$62</definedName>
    <definedName name="E3_9">Limits!$A$50:$A$63</definedName>
    <definedName name="E30_0">Limits!$A$79:$A$81</definedName>
    <definedName name="E30_1">Limits!$A$78:$A$81</definedName>
    <definedName name="E30_10">Limits!$A$69:$A$81</definedName>
    <definedName name="E30_11">Limits!$A$68:$A$81</definedName>
    <definedName name="E30_12">Limits!$A$67:$A$81</definedName>
    <definedName name="E30_13">Limits!$A$66:$A$81</definedName>
    <definedName name="E30_14">Limits!$A$65:$A$81</definedName>
    <definedName name="E30_15">Limits!$A$64:$A$81</definedName>
    <definedName name="E30_2">Limits!$A$77:$A$81</definedName>
    <definedName name="E30_3">Limits!$A$76:$A$81</definedName>
    <definedName name="E30_4">Limits!$A$75:$A$81</definedName>
    <definedName name="E30_5">Limits!$A$74:$A$81</definedName>
    <definedName name="E30_6">Limits!$A$73:$A$81</definedName>
    <definedName name="E30_7">Limits!$A$72:$A$81</definedName>
    <definedName name="E30_8">Limits!$A$71:$A$81</definedName>
    <definedName name="E30_9">Limits!$A$70:$A$81</definedName>
    <definedName name="E31_0">Limits!$A$80:$A$81</definedName>
    <definedName name="E31_1">Limits!$A$79:$A$81</definedName>
    <definedName name="E31_10">Limits!$A$70:$A$81</definedName>
    <definedName name="E31_11">Limits!$A$69:$A$81</definedName>
    <definedName name="E31_12">Limits!$A$68:$A$81</definedName>
    <definedName name="E31_13">Limits!$A$67:$A$81</definedName>
    <definedName name="E31_14">Limits!$A$66:$A$81</definedName>
    <definedName name="E31_15">Limits!$A$65:$A$81</definedName>
    <definedName name="E31_2">Limits!$A$78:$A$81</definedName>
    <definedName name="E31_3">Limits!$A$77:$A$81</definedName>
    <definedName name="E31_4">Limits!$A$76:$A$81</definedName>
    <definedName name="E31_5">Limits!$A$75:$A$81</definedName>
    <definedName name="E31_6">Limits!$A$74:$A$81</definedName>
    <definedName name="E31_7">Limits!$A$73:$A$81</definedName>
    <definedName name="E31_8">Limits!$A$72:$A$81</definedName>
    <definedName name="E31_9">Limits!$A$71:$A$81</definedName>
    <definedName name="E4_0">Limits!$A$53:$A$55</definedName>
    <definedName name="E4_1">Limits!$A$52:$A$56</definedName>
    <definedName name="E4_10">Limits!$A$50:$A$65</definedName>
    <definedName name="E4_11">Limits!$A$50:$A$66</definedName>
    <definedName name="E4_12">Limits!$A$50:$A$67</definedName>
    <definedName name="E4_13">Limits!$A$50:$A$68</definedName>
    <definedName name="E4_14">Limits!$A$50:$A$69</definedName>
    <definedName name="E4_15">Limits!$A$50:$A$70</definedName>
    <definedName name="E4_2">Limits!$A$51:$A$57</definedName>
    <definedName name="E4_3">Limits!$A$50:$A$58</definedName>
    <definedName name="E4_4">Limits!$A$50:$A$59</definedName>
    <definedName name="E4_5">Limits!$A$50:$A$60</definedName>
    <definedName name="E4_6">Limits!$A$50:$A$61</definedName>
    <definedName name="E4_7">Limits!$A$50:$A$62</definedName>
    <definedName name="E4_8">Limits!$A$50:$A$63</definedName>
    <definedName name="E4_9">Limits!$A$50:$A$64</definedName>
    <definedName name="E5_0">Limits!$A$54:$A$56</definedName>
    <definedName name="E5_1">Limits!$A$53:$A$57</definedName>
    <definedName name="E5_10">Limits!$A$50:$A$66</definedName>
    <definedName name="E5_11">Limits!$A$50:$A$67</definedName>
    <definedName name="E5_12">Limits!$A$50:$A$68</definedName>
    <definedName name="E5_13">Limits!$A$50:$A$69</definedName>
    <definedName name="E5_14">Limits!$A$50:$A$70</definedName>
    <definedName name="E5_15">Limits!$A$50:$A$71</definedName>
    <definedName name="E5_2">Limits!$A$52:$A$58</definedName>
    <definedName name="E5_3">Limits!$A$51:$A$59</definedName>
    <definedName name="E5_4">Limits!$A$50:$A$60</definedName>
    <definedName name="E5_5">Limits!$A$50:$A$61</definedName>
    <definedName name="E5_6">Limits!$A$50:$A$62</definedName>
    <definedName name="E5_7">Limits!$A$50:$A$63</definedName>
    <definedName name="E5_8">Limits!$A$50:$A$64</definedName>
    <definedName name="E5_9">Limits!$A$50:$A$65</definedName>
    <definedName name="E6_0">Limits!$A$55:$A$57</definedName>
    <definedName name="E6_1">Limits!$A$54:$A$58</definedName>
    <definedName name="E6_10">Limits!$A$50:$A$67</definedName>
    <definedName name="E6_11">Limits!$A$50:$A$68</definedName>
    <definedName name="E6_12">Limits!$A$50:$A$69</definedName>
    <definedName name="E6_13">Limits!$A$50:$A$70</definedName>
    <definedName name="E6_14">Limits!$A$50:$A$71</definedName>
    <definedName name="E6_15">Limits!$A$50:$A$72</definedName>
    <definedName name="E6_2">Limits!$A$53:$A$59</definedName>
    <definedName name="E6_3">Limits!$A$52:$A$60</definedName>
    <definedName name="E6_4">Limits!$A$51:$A$61</definedName>
    <definedName name="E6_5">Limits!$A$50:$A$62</definedName>
    <definedName name="E6_6">Limits!$A$50:$A$63</definedName>
    <definedName name="E6_7">Limits!$A$50:$A$64</definedName>
    <definedName name="E6_8">Limits!$A$50:$A$65</definedName>
    <definedName name="E6_9">Limits!$A$50:$A$66</definedName>
    <definedName name="E7_0">Limits!$A$56:$A$58</definedName>
    <definedName name="E7_1">Limits!$A$55:$A$59</definedName>
    <definedName name="E7_10">Limits!$A$50:$A$68</definedName>
    <definedName name="E7_11">Limits!$A$50:$A$69</definedName>
    <definedName name="E7_12">Limits!$A$50:$A$70</definedName>
    <definedName name="E7_13">Limits!$A$50:$A$71</definedName>
    <definedName name="E7_14">Limits!$A$50:$A$72</definedName>
    <definedName name="E7_15">Limits!$A$50:$A$73</definedName>
    <definedName name="E7_2">Limits!$A$54:$A$60</definedName>
    <definedName name="E7_3">Limits!$A$53:$A$61</definedName>
    <definedName name="E7_4">Limits!$A$52:$A$62</definedName>
    <definedName name="E7_5">Limits!$A$51:$A$63</definedName>
    <definedName name="E7_6">Limits!$A$50:$A$64</definedName>
    <definedName name="E7_7">Limits!$A$50:$A$65</definedName>
    <definedName name="E7_8">Limits!$A$50:$A$66</definedName>
    <definedName name="E7_9">Limits!$A$50:$A$67</definedName>
    <definedName name="E8_0">Limits!$A$57:$A$59</definedName>
    <definedName name="E8_1">Limits!$A$56:$A$60</definedName>
    <definedName name="E8_10">Limits!$A$50:$A$69</definedName>
    <definedName name="E8_11">Limits!$A$50:$A$70</definedName>
    <definedName name="E8_12">Limits!$A$50:$A$71</definedName>
    <definedName name="E8_13">Limits!$A$50:$A$72</definedName>
    <definedName name="E8_14">Limits!$A$50:$A$73</definedName>
    <definedName name="E8_15">Limits!$A$50:$A$74</definedName>
    <definedName name="E8_2">Limits!$A$55:$A$61</definedName>
    <definedName name="E8_3">Limits!$A$54:$A$62</definedName>
    <definedName name="E8_4">Limits!$A$53:$A$63</definedName>
    <definedName name="E8_5">Limits!$A$52:$A$64</definedName>
    <definedName name="E8_6">Limits!$A$51:$A$65</definedName>
    <definedName name="E8_7">Limits!$A$50:$A$66</definedName>
    <definedName name="E8_8">Limits!$A$50:$A$67</definedName>
    <definedName name="E8_9">Limits!$A$50:$A$68</definedName>
    <definedName name="E9_0">Limits!$A$58:$A$60</definedName>
    <definedName name="E9_1">Limits!$A$57:$A$61</definedName>
    <definedName name="E9_10">Limits!$A$50:$A$70</definedName>
    <definedName name="E9_11">Limits!$A$50:$A$71</definedName>
    <definedName name="E9_12">Limits!$A$50:$A$72</definedName>
    <definedName name="E9_13">Limits!$A$50:$A$73</definedName>
    <definedName name="E9_14">Limits!$A$50:$A$74</definedName>
    <definedName name="E9_15">Limits!$A$50:$A$75</definedName>
    <definedName name="E9_2">Limits!$A$56:$A$62</definedName>
    <definedName name="E9_3">Limits!$A$55:$A$63</definedName>
    <definedName name="E9_4">Limits!$A$54:$A$64</definedName>
    <definedName name="E9_5">Limits!$A$53:$A$65</definedName>
    <definedName name="E9_6">Limits!$A$52:$A$66</definedName>
    <definedName name="E9_7">Limits!$A$51:$A$67</definedName>
    <definedName name="E9_8">Limits!$A$50:$A$68</definedName>
    <definedName name="E9_9">Limits!$A$50:$A$69</definedName>
    <definedName name="EP17_0">Limits!$A$100:$A$102</definedName>
    <definedName name="EP17_1">Limits!$A$99:$A$103</definedName>
    <definedName name="EP17_10">Limits!$A$90:$A$112</definedName>
    <definedName name="EP17_11">Limits!$A$89:$A$113</definedName>
    <definedName name="EP17_12">Limits!$A$88:$A$114</definedName>
    <definedName name="EP17_13">Limits!$A$87:$A$115</definedName>
    <definedName name="EP17_14">Limits!$A$86:$A$116</definedName>
    <definedName name="EP17_15">Limits!$A$85:$A$117</definedName>
    <definedName name="EP17_2">Limits!$A$98:$A$104</definedName>
    <definedName name="EP17_3">Limits!$A$97:$A$105</definedName>
    <definedName name="EP17_4">Limits!$A$96:$A$106</definedName>
    <definedName name="EP17_5">Limits!$A$95:$A$107</definedName>
    <definedName name="EP17_6">Limits!$A$94:$A$108</definedName>
    <definedName name="EP17_7">Limits!$A$93:$A$109</definedName>
    <definedName name="EP17_8">Limits!$A$92:$A$110</definedName>
    <definedName name="EP17_9">Limits!$A$91:$A$111</definedName>
    <definedName name="EP18_0">Limits!$A$101:$A$103</definedName>
    <definedName name="EP18_1">Limits!$A$100:$A$104</definedName>
    <definedName name="EP18_10">Limits!$A$91:$A$113</definedName>
    <definedName name="EP18_11">Limits!$A$90:$A$114</definedName>
    <definedName name="EP18_12">Limits!$A$89:$A$115</definedName>
    <definedName name="EP18_13">Limits!$A$88:$A$116</definedName>
    <definedName name="EP18_14">Limits!$A$87:$A$117</definedName>
    <definedName name="EP18_15">Limits!$A$86:$A$118</definedName>
    <definedName name="EP18_2">Limits!$A$99:$A$105</definedName>
    <definedName name="EP18_3">Limits!$A$98:$A$106</definedName>
    <definedName name="EP18_4">Limits!$A$97:$A$107</definedName>
    <definedName name="EP18_5">Limits!$A$96:$A$108</definedName>
    <definedName name="EP18_6">Limits!$A$95:$A$109</definedName>
    <definedName name="EP18_7">Limits!$A$94:$A$110</definedName>
    <definedName name="EP18_8">Limits!$A$93:$A$111</definedName>
    <definedName name="EP18_9">Limits!$A$92:$A$112</definedName>
    <definedName name="EP19_0">Limits!$A$102:$A$104</definedName>
    <definedName name="EP19_1">Limits!$A$101:$A$105</definedName>
    <definedName name="EP19_10">Limits!$A$92:$A$114</definedName>
    <definedName name="EP19_11">Limits!$A$91:$A$115</definedName>
    <definedName name="EP19_12">Limits!$A$90:$A$116</definedName>
    <definedName name="EP19_13">Limits!$A$89:$A$117</definedName>
    <definedName name="EP19_14">Limits!$A$88:$A$118</definedName>
    <definedName name="EP19_15">Limits!$A$87:$A$119</definedName>
    <definedName name="EP19_2">Limits!$A$100:$A$106</definedName>
    <definedName name="EP19_3">Limits!$A$99:$A$107</definedName>
    <definedName name="EP19_4">Limits!$A$98:$A$108</definedName>
    <definedName name="EP19_5">Limits!$A$97:$A$109</definedName>
    <definedName name="EP19_6">Limits!$A$96:$A$110</definedName>
    <definedName name="EP19_7">Limits!$A$95:$A$111</definedName>
    <definedName name="EP19_8">Limits!$A$94:$A$112</definedName>
    <definedName name="EP19_9">Limits!$A$93:$A$113</definedName>
    <definedName name="EP20_0">Limits!$A$103:$A$105</definedName>
    <definedName name="EP20_1">Limits!$A$102:$A$106</definedName>
    <definedName name="EP20_10">Limits!$A$93:$A$115</definedName>
    <definedName name="EP20_11">Limits!$A$92:$A$116</definedName>
    <definedName name="EP20_12">Limits!$A$91:$A$117</definedName>
    <definedName name="EP20_13">Limits!$A$90:$A$118</definedName>
    <definedName name="EP20_14">Limits!$A$89:$A$119</definedName>
    <definedName name="EP20_15">Limits!$A$88:$A$120</definedName>
    <definedName name="EP20_2">Limits!$A$101:$A$107</definedName>
    <definedName name="EP20_3">Limits!$A$100:$A$108</definedName>
    <definedName name="EP20_4">Limits!$A$99:$A$109</definedName>
    <definedName name="EP20_5">Limits!$A$98:$A$110</definedName>
    <definedName name="EP20_6">Limits!$A$97:$A$111</definedName>
    <definedName name="EP20_7">Limits!$A$96:$A$112</definedName>
    <definedName name="EP20_8">Limits!$A$95:$A$113</definedName>
    <definedName name="EP20_9">Limits!$A$94:$A$114</definedName>
    <definedName name="EP21_0">Limits!$A$104:$A$106</definedName>
    <definedName name="EP21_1">Limits!$A$103:$A$107</definedName>
    <definedName name="EP21_10">Limits!$A$94:$A$116</definedName>
    <definedName name="EP21_11">Limits!$A$93:$A$117</definedName>
    <definedName name="EP21_12">Limits!$A$92:$A$118</definedName>
    <definedName name="EP21_13">Limits!$A$91:$A$119</definedName>
    <definedName name="EP21_14">Limits!$A$90:$A$120</definedName>
    <definedName name="EP21_15">Limits!$A$89:$A$121</definedName>
    <definedName name="EP21_2">Limits!$A$102:$A$108</definedName>
    <definedName name="EP21_3">Limits!$A$101:$A$109</definedName>
    <definedName name="EP21_4">Limits!$A$100:$A$110</definedName>
    <definedName name="EP21_5">Limits!$A$99:$A$111</definedName>
    <definedName name="EP21_6">Limits!$A$98:$A$112</definedName>
    <definedName name="EP21_7">Limits!$A$97:$A$113</definedName>
    <definedName name="EP21_8">Limits!$A$96:$A$114</definedName>
    <definedName name="EP21_9">Limits!$A$95:$A$115</definedName>
    <definedName name="EP22_0">Limits!$A$105:$A$107</definedName>
    <definedName name="EP22_1">Limits!$A$104:$A$108</definedName>
    <definedName name="EP22_10">Limits!$A$95:$A$117</definedName>
    <definedName name="EP22_11">Limits!$A$94:$A$118</definedName>
    <definedName name="EP22_12">Limits!$A$93:$A$119</definedName>
    <definedName name="EP22_13">Limits!$A$92:$A$120</definedName>
    <definedName name="EP22_14">Limits!$A$91:$A$121</definedName>
    <definedName name="EP22_15">Limits!$A$90:$A$122</definedName>
    <definedName name="EP22_2">Limits!$A$103:$A$109</definedName>
    <definedName name="EP22_3">Limits!$A$102:$A$110</definedName>
    <definedName name="EP22_4">Limits!$A$101:$A$111</definedName>
    <definedName name="EP22_5">Limits!$A$100:$A$112</definedName>
    <definedName name="EP22_6">Limits!$A$99:$A$113</definedName>
    <definedName name="EP22_7">Limits!$A$98:$A$114</definedName>
    <definedName name="EP22_8">Limits!$A$97:$A$115</definedName>
    <definedName name="EP22_9">Limits!$A$96:$A$116</definedName>
    <definedName name="EP23_0">Limits!$A$106:$A$108</definedName>
    <definedName name="EP23_1">Limits!$A$105:$A$109</definedName>
    <definedName name="EP23_10">Limits!$A$96:$A$118</definedName>
    <definedName name="EP23_11">Limits!$A$95:$A$119</definedName>
    <definedName name="EP23_12">Limits!$A$94:$A$120</definedName>
    <definedName name="EP23_13">Limits!$A$93:$A$121</definedName>
    <definedName name="EP23_14">Limits!$A$92:$A$122</definedName>
    <definedName name="EP23_15">Limits!$A$91:$A$123</definedName>
    <definedName name="EP23_2">Limits!$A$104:$A$110</definedName>
    <definedName name="EP23_3">Limits!$A$103:$A$111</definedName>
    <definedName name="EP23_4">Limits!$A$102:$A$112</definedName>
    <definedName name="EP23_5">Limits!$A$101:$A$113</definedName>
    <definedName name="EP23_6">Limits!$A$100:$A$114</definedName>
    <definedName name="EP23_7">Limits!$A$99:$A$115</definedName>
    <definedName name="EP23_8">Limits!$A$98:$A$116</definedName>
    <definedName name="EP23_9">Limits!$A$97:$A$117</definedName>
    <definedName name="EP24_0">Limits!$A$107:$A$109</definedName>
    <definedName name="EP24_1">Limits!$A$106:$A$110</definedName>
    <definedName name="EP24_10">Limits!$A$97:$A$119</definedName>
    <definedName name="EP24_11">Limits!$A$96:$A$120</definedName>
    <definedName name="EP24_12">Limits!$A$95:$A$121</definedName>
    <definedName name="EP24_13">Limits!$A$94:$A$122</definedName>
    <definedName name="EP24_14">Limits!$A$93:$A$123</definedName>
    <definedName name="EP24_15">Limits!$A$92:$A$124</definedName>
    <definedName name="EP24_2">Limits!$A$105:$A$111</definedName>
    <definedName name="EP24_3">Limits!$A$104:$A$112</definedName>
    <definedName name="EP24_4">Limits!$A$103:$A$113</definedName>
    <definedName name="EP24_5">Limits!$A$102:$A$114</definedName>
    <definedName name="EP24_6">Limits!$A$101:$A$115</definedName>
    <definedName name="EP24_7">Limits!$A$100:$A$116</definedName>
    <definedName name="EP24_8">Limits!$A$99:$A$117</definedName>
    <definedName name="EP24_9">Limits!$A$98:$A$118</definedName>
    <definedName name="EP25_0">Limits!$A$108:$A$110</definedName>
    <definedName name="EP25_1">Limits!$A$107:$A$111</definedName>
    <definedName name="EP25_10">Limits!$A$98:$A$120</definedName>
    <definedName name="EP25_11">Limits!$A$97:$A$121</definedName>
    <definedName name="EP25_12">Limits!$A$96:$A$122</definedName>
    <definedName name="EP25_13">Limits!$A$95:$A$123</definedName>
    <definedName name="EP25_14">Limits!$A$94:$A$124</definedName>
    <definedName name="EP25_15">Limits!$A$93:$A$125</definedName>
    <definedName name="EP25_2">Limits!$A$106:$A$112</definedName>
    <definedName name="EP25_3">Limits!$A$105:$A$113</definedName>
    <definedName name="EP25_4">Limits!$A$104:$A$114</definedName>
    <definedName name="EP25_5">Limits!$A$103:$A$115</definedName>
    <definedName name="EP25_6">Limits!$A$102:$A$116</definedName>
    <definedName name="EP25_7">Limits!$A$101:$A$117</definedName>
    <definedName name="EP25_8">Limits!$A$100:$A$118</definedName>
    <definedName name="EP25_9">Limits!$A$99:$A$119</definedName>
    <definedName name="EP26_0">Limits!$A$109:$A$111</definedName>
    <definedName name="EP26_1">Limits!$A$108:$A$112</definedName>
    <definedName name="EP26_10">Limits!$A$99:$A$121</definedName>
    <definedName name="EP26_11">Limits!$A$98:$A$122</definedName>
    <definedName name="EP26_12">Limits!$A$97:$A$123</definedName>
    <definedName name="EP26_13">Limits!$A$96:$A$124</definedName>
    <definedName name="EP26_14">Limits!$A$95:$A$125</definedName>
    <definedName name="EP26_15">Limits!$A$94:$A$126</definedName>
    <definedName name="EP26_2">Limits!$A$107:$A$113</definedName>
    <definedName name="EP26_3">Limits!$A$106:$A$114</definedName>
    <definedName name="EP26_4">Limits!$A$105:$A$115</definedName>
    <definedName name="EP26_5">Limits!$A$104:$A$116</definedName>
    <definedName name="EP26_6">Limits!$A$103:$A$117</definedName>
    <definedName name="EP26_7">Limits!$A$102:$A$118</definedName>
    <definedName name="EP26_8">Limits!$A$101:$A$119</definedName>
    <definedName name="EP26_9">Limits!$A$100:$A$120</definedName>
    <definedName name="EP27_0">Limits!$A$110:$A$112</definedName>
    <definedName name="EP27_1">Limits!$A$109:$A$113</definedName>
    <definedName name="EP27_10">Limits!$A$100:$A$122</definedName>
    <definedName name="EP27_11">Limits!$A$99:$A$123</definedName>
    <definedName name="EP27_12">Limits!$A$98:$A$124</definedName>
    <definedName name="EP27_13">Limits!$A$97:$A$125</definedName>
    <definedName name="EP27_14">Limits!$A$96:$A$126</definedName>
    <definedName name="EP27_15">Limits!$A$95:$A$127</definedName>
    <definedName name="EP27_2">Limits!$A$108:$A$114</definedName>
    <definedName name="EP27_3">Limits!$A$107:$A$115</definedName>
    <definedName name="EP27_4">Limits!$A$106:$A$116</definedName>
    <definedName name="EP27_5">Limits!$A$105:$A$117</definedName>
    <definedName name="EP27_6">Limits!$A$104:$A$118</definedName>
    <definedName name="EP27_7">Limits!$A$103:$A$119</definedName>
    <definedName name="EP27_8">Limits!$A$102:$A$120</definedName>
    <definedName name="EP27_9">Limits!$A$101:$A$121</definedName>
    <definedName name="EP28_0">Limits!$A$111:$A$113</definedName>
    <definedName name="EP28_1">Limits!$A$110:$A$114</definedName>
    <definedName name="EP28_10">Limits!$A$101:$A$123</definedName>
    <definedName name="EP28_11">Limits!$A$100:$A$124</definedName>
    <definedName name="EP28_12">Limits!$A$99:$A$125</definedName>
    <definedName name="EP28_13">Limits!$A$98:$A$126</definedName>
    <definedName name="EP28_14">Limits!$A$97:$A$127</definedName>
    <definedName name="EP28_15">Limits!$A$96:$A$128</definedName>
    <definedName name="EP28_2">Limits!$A$109:$A$115</definedName>
    <definedName name="EP28_3">Limits!$A$108:$A$116</definedName>
    <definedName name="EP28_4">Limits!$A$107:$A$117</definedName>
    <definedName name="EP28_5">Limits!$A$106:$A$118</definedName>
    <definedName name="EP28_6">Limits!$A$105:$A$119</definedName>
    <definedName name="EP28_7">Limits!$A$104:$A$120</definedName>
    <definedName name="EP28_8">Limits!$A$103:$A$121</definedName>
    <definedName name="EP28_9">Limits!$A$102:$A$122</definedName>
    <definedName name="EP29_0">Limits!$A$112:$A$114</definedName>
    <definedName name="EP29_1">Limits!$A$111:$A$115</definedName>
    <definedName name="EP29_10">Limits!$A$102:$A$124</definedName>
    <definedName name="EP29_11">Limits!$A$101:$A$125</definedName>
    <definedName name="EP29_12">Limits!$A$100:$A$126</definedName>
    <definedName name="EP29_13">Limits!$A$99:$A$127</definedName>
    <definedName name="EP29_14">Limits!$A$98:$A$128</definedName>
    <definedName name="EP29_15">Limits!$A$97:$A$129</definedName>
    <definedName name="EP29_2">Limits!$A$110:$A$116</definedName>
    <definedName name="EP29_3">Limits!$A$109:$A$117</definedName>
    <definedName name="EP29_4">Limits!$A$108:$A$118</definedName>
    <definedName name="EP29_5">Limits!$A$107:$A$119</definedName>
    <definedName name="EP29_6">Limits!$A$106:$A$120</definedName>
    <definedName name="EP29_7">Limits!$A$105:$A$121</definedName>
    <definedName name="EP29_8">Limits!$A$104:$A$122</definedName>
    <definedName name="EP29_9">Limits!$A$103:$A$123</definedName>
    <definedName name="EP30_0">Limits!$A$113:$A$115</definedName>
    <definedName name="EP30_1">Limits!$A$112:$A$116</definedName>
    <definedName name="EP30_10">Limits!$A$103:$A$125</definedName>
    <definedName name="EP30_11">Limits!$A$102:$A$126</definedName>
    <definedName name="EP30_12">Limits!$A$101:$A$127</definedName>
    <definedName name="EP30_13">Limits!$A$100:$A$128</definedName>
    <definedName name="EP30_14">Limits!$A$99:$A$129</definedName>
    <definedName name="EP30_15">Limits!$A$98:$A$130</definedName>
    <definedName name="EP30_2">Limits!$A$111:$A$117</definedName>
    <definedName name="EP30_3">Limits!$A$110:$A$118</definedName>
    <definedName name="EP30_4">Limits!$A$109:$A$119</definedName>
    <definedName name="EP30_5">Limits!$A$108:$A$120</definedName>
    <definedName name="EP30_6">Limits!$A$107:$A$121</definedName>
    <definedName name="EP30_7">Limits!$A$106:$A$122</definedName>
    <definedName name="EP30_8">Limits!$A$105:$A$123</definedName>
    <definedName name="EP30_9">Limits!$A$104:$A$124</definedName>
    <definedName name="EP31_0">Limits!$A$114:$A$116</definedName>
    <definedName name="EP31_1">Limits!$A$113:$A$117</definedName>
    <definedName name="EP31_10">Limits!$A$104:$A$126</definedName>
    <definedName name="EP31_11">Limits!$A$103:$A$127</definedName>
    <definedName name="EP31_12">Limits!$A$102:$A$128</definedName>
    <definedName name="EP31_13">Limits!$A$101:$A$129</definedName>
    <definedName name="EP31_14">Limits!$A$100:$A$130</definedName>
    <definedName name="EP31_15">Limits!$A$99:$A$131</definedName>
    <definedName name="EP31_2">Limits!$A$112:$A$118</definedName>
    <definedName name="EP31_3">Limits!$A$111:$A$119</definedName>
    <definedName name="EP31_4">Limits!$A$110:$A$120</definedName>
    <definedName name="EP31_5">Limits!$A$109:$A$121</definedName>
    <definedName name="EP31_6">Limits!$A$108:$A$122</definedName>
    <definedName name="EP31_7">Limits!$A$107:$A$123</definedName>
    <definedName name="EP31_8">Limits!$A$106:$A$124</definedName>
    <definedName name="EP31_9">Limits!$A$105:$A$125</definedName>
    <definedName name="EP32_0">Limits!$A$115:$A$117</definedName>
    <definedName name="EP32_1">Limits!$A$114:$A$118</definedName>
    <definedName name="EP32_10">Limits!$A$105:$A$127</definedName>
    <definedName name="EP32_11">Limits!$A$104:$A$128</definedName>
    <definedName name="EP32_12">Limits!$A$103:$A$129</definedName>
    <definedName name="EP32_13">Limits!$A$102:$A$130</definedName>
    <definedName name="EP32_14">Limits!$A$101:$A$131</definedName>
    <definedName name="EP32_15">Limits!$A$100:$A$132</definedName>
    <definedName name="EP32_2">Limits!$A$113:$A$119</definedName>
    <definedName name="EP32_3">Limits!$A$112:$A$120</definedName>
    <definedName name="EP32_4">Limits!$A$111:$A$121</definedName>
    <definedName name="EP32_5">Limits!$A$110:$A$122</definedName>
    <definedName name="EP32_6">Limits!$A$109:$A$123</definedName>
    <definedName name="EP32_7">Limits!$A$108:$A$124</definedName>
    <definedName name="EP32_8">Limits!$A$107:$A$125</definedName>
    <definedName name="EP32_9">Limits!$A$106:$A$126</definedName>
    <definedName name="EP33_0">Limits!$A$116:$A$118</definedName>
    <definedName name="EP33_1">Limits!$A$115:$A$119</definedName>
    <definedName name="EP33_10">Limits!$A$106:$A$128</definedName>
    <definedName name="EP33_11">Limits!$A$105:$A$129</definedName>
    <definedName name="EP33_12">Limits!$A$104:$A$130</definedName>
    <definedName name="EP33_13">Limits!$A$103:$A$131</definedName>
    <definedName name="EP33_14">Limits!$A$102:$A$132</definedName>
    <definedName name="EP33_15">Limits!$A$101:$A$133</definedName>
    <definedName name="EP33_2">Limits!$A$114:$A$120</definedName>
    <definedName name="EP33_3">Limits!$A$113:$A$121</definedName>
    <definedName name="EP33_4">Limits!$A$112:$A$122</definedName>
    <definedName name="EP33_5">Limits!$A$111:$A$123</definedName>
    <definedName name="EP33_6">Limits!$A$110:$A$124</definedName>
    <definedName name="EP33_7">Limits!$A$109:$A$125</definedName>
    <definedName name="EP33_8">Limits!$A$108:$A$126</definedName>
    <definedName name="EP33_9">Limits!$A$107:$A$127</definedName>
    <definedName name="EP34_0">Limits!$A$117:$A$119</definedName>
    <definedName name="EP34_1">Limits!$A$116:$A$120</definedName>
    <definedName name="EP34_10">Limits!$A$107:$A$129</definedName>
    <definedName name="EP34_11">Limits!$A$106:$A$130</definedName>
    <definedName name="EP34_12">Limits!$A$105:$A$131</definedName>
    <definedName name="EP34_13">Limits!$A$104:$A$132</definedName>
    <definedName name="EP34_14">Limits!$A$103:$A$133</definedName>
    <definedName name="EP34_15">Limits!$A$102:$A$134</definedName>
    <definedName name="EP34_2">Limits!$A$115:$A$121</definedName>
    <definedName name="EP34_3">Limits!$A$114:$A$122</definedName>
    <definedName name="EP34_4">Limits!$A$113:$A$123</definedName>
    <definedName name="EP34_5">Limits!$A$112:$A$124</definedName>
    <definedName name="EP34_6">Limits!$A$111:$A$125</definedName>
    <definedName name="EP34_7">Limits!$A$110:$A$126</definedName>
    <definedName name="EP34_8">Limits!$A$109:$A$127</definedName>
    <definedName name="EP34_9">Limits!$A$108:$A$128</definedName>
    <definedName name="EP35_0">Limits!$A$118:$A$120</definedName>
    <definedName name="EP35_1">Limits!$A$117:$A$121</definedName>
    <definedName name="EP35_10">Limits!$A$108:$A$130</definedName>
    <definedName name="EP35_11">Limits!$A$107:$A$131</definedName>
    <definedName name="EP35_12">Limits!$A$106:$A$132</definedName>
    <definedName name="EP35_13">Limits!$A$105:$A$133</definedName>
    <definedName name="EP35_14">Limits!$A$104:$A$134</definedName>
    <definedName name="EP35_15">Limits!$A$103:$A$135</definedName>
    <definedName name="EP35_2">Limits!$A$116:$A$122</definedName>
    <definedName name="EP35_3">Limits!$A$115:$A$123</definedName>
    <definedName name="EP35_4">Limits!$A$114:$A$124</definedName>
    <definedName name="EP35_5">Limits!$A$113:$A$125</definedName>
    <definedName name="EP35_6">Limits!$A$112:$A$126</definedName>
    <definedName name="EP35_7">Limits!$A$111:$A$127</definedName>
    <definedName name="EP35_8">Limits!$A$110:$A$128</definedName>
    <definedName name="EP35_9">Limits!$A$109:$A$129</definedName>
    <definedName name="EP36_0">Limits!$A$119:$A$121</definedName>
    <definedName name="EP36_1">Limits!$A$118:$A$122</definedName>
    <definedName name="EP36_10">Limits!$A$109:$A$131</definedName>
    <definedName name="EP36_11">Limits!$A$108:$A$132</definedName>
    <definedName name="EP36_12">Limits!$A$107:$A$133</definedName>
    <definedName name="EP36_13">Limits!$A$106:$A$134</definedName>
    <definedName name="EP36_14">Limits!$A$105:$A$135</definedName>
    <definedName name="EP36_15">Limits!$A$104:$A$136</definedName>
    <definedName name="EP36_2">Limits!$A$117:$A$123</definedName>
    <definedName name="EP36_3">Limits!$A$116:$A$124</definedName>
    <definedName name="EP36_4">Limits!$A$115:$A$125</definedName>
    <definedName name="EP36_5">Limits!$A$114:$A$126</definedName>
    <definedName name="EP36_6">Limits!$A$113:$A$127</definedName>
    <definedName name="EP36_7">Limits!$A$112:$A$128</definedName>
    <definedName name="EP36_8">Limits!$A$111:$A$129</definedName>
    <definedName name="EP36_9">Limits!$A$110:$A$130</definedName>
    <definedName name="EP37_0">Limits!$A$120:$A$122</definedName>
    <definedName name="EP37_1">Limits!$A$119:$A$123</definedName>
    <definedName name="EP37_10">Limits!$A$110:$A$132</definedName>
    <definedName name="EP37_11">Limits!$A$109:$A$133</definedName>
    <definedName name="EP37_12">Limits!$A$108:$A$134</definedName>
    <definedName name="EP37_13">Limits!$A$107:$A$135</definedName>
    <definedName name="EP37_14">Limits!$A$106:$A$136</definedName>
    <definedName name="EP37_15">Limits!$A$105:$A$137</definedName>
    <definedName name="EP37_2">Limits!$A$118:$A$124</definedName>
    <definedName name="EP37_3">Limits!$A$117:$A$125</definedName>
    <definedName name="EP37_4">Limits!$A$116:$A$126</definedName>
    <definedName name="EP37_5">Limits!$A$115:$A$127</definedName>
    <definedName name="EP37_6">Limits!$A$114:$A$128</definedName>
    <definedName name="EP37_7">Limits!$A$113:$A$129</definedName>
    <definedName name="EP37_8">Limits!$A$112:$A$130</definedName>
    <definedName name="EP37_9">Limits!$A$111:$A$131</definedName>
    <definedName name="EP38_0">Limits!$A$121:$A$123</definedName>
    <definedName name="EP38_1">Limits!$A$120:$A$124</definedName>
    <definedName name="EP38_10">Limits!$A$111:$A$133</definedName>
    <definedName name="EP38_11">Limits!$A$110:$A$134</definedName>
    <definedName name="EP38_12">Limits!$A$109:$A$135</definedName>
    <definedName name="EP38_13">Limits!$A$108:$A$136</definedName>
    <definedName name="EP38_14">Limits!$A$107:$A$137</definedName>
    <definedName name="EP38_15">Limits!$A$106:$A$138</definedName>
    <definedName name="EP38_2">Limits!$A$119:$A$125</definedName>
    <definedName name="EP38_3">Limits!$A$118:$A$126</definedName>
    <definedName name="EP38_4">Limits!$A$117:$A$127</definedName>
    <definedName name="EP38_5">Limits!$A$116:$A$128</definedName>
    <definedName name="EP38_6">Limits!$A$115:$A$129</definedName>
    <definedName name="EP38_7">Limits!$A$114:$A$130</definedName>
    <definedName name="EP38_8">Limits!$A$113:$A$131</definedName>
    <definedName name="EP38_9">Limits!$A$112:$A$132</definedName>
    <definedName name="EP39_0">Limits!$A$122:$A$124</definedName>
    <definedName name="EP39_1">Limits!$A$121:$A$125</definedName>
    <definedName name="EP39_10">Limits!$A$112:$A$134</definedName>
    <definedName name="EP39_11">Limits!$A$111:$A$135</definedName>
    <definedName name="EP39_12">Limits!$A$110:$A$136</definedName>
    <definedName name="EP39_13">Limits!$A$109:$A$137</definedName>
    <definedName name="EP39_14">Limits!$A$108:$A$138</definedName>
    <definedName name="EP39_15">Limits!$A$107:$A$139</definedName>
    <definedName name="EP39_2">Limits!$A$120:$A$126</definedName>
    <definedName name="EP39_3">Limits!$A$119:$A$127</definedName>
    <definedName name="EP39_4">Limits!$A$118:$A$128</definedName>
    <definedName name="EP39_5">Limits!$A$117:$A$129</definedName>
    <definedName name="EP39_6">Limits!$A$116:$A$130</definedName>
    <definedName name="EP39_7">Limits!$A$115:$A$131</definedName>
    <definedName name="EP39_8">Limits!$A$114:$A$132</definedName>
    <definedName name="EP39_9">Limits!$A$113:$A$133</definedName>
    <definedName name="EP40_0">Limits!$A$123:$A$125</definedName>
    <definedName name="EP40_1">Limits!$A$122:$A$126</definedName>
    <definedName name="EP40_10">Limits!$A$113:$A$135</definedName>
    <definedName name="EP40_11">Limits!$A$112:$A$136</definedName>
    <definedName name="EP40_12">Limits!$A$111:$A$137</definedName>
    <definedName name="EP40_13">Limits!$A$110:$A$138</definedName>
    <definedName name="EP40_14">Limits!$A$109:$A$139</definedName>
    <definedName name="EP40_15">Limits!$A$108:$A$140</definedName>
    <definedName name="EP40_2">Limits!$A$121:$A$127</definedName>
    <definedName name="EP40_3">Limits!$A$120:$A$128</definedName>
    <definedName name="EP40_4">Limits!$A$119:$A$129</definedName>
    <definedName name="EP40_5">Limits!$A$118:$A$130</definedName>
    <definedName name="EP40_6">Limits!$A$117:$A$131</definedName>
    <definedName name="EP40_7">Limits!$A$116:$A$132</definedName>
    <definedName name="EP40_8">Limits!$A$115:$A$133</definedName>
    <definedName name="EP40_9">Limits!$A$114:$A$134</definedName>
    <definedName name="EP41_0">Limits!$A$124:$A$126</definedName>
    <definedName name="EP41_1">Limits!$A$123:$A$127</definedName>
    <definedName name="EP41_10">Limits!$A$114:$A$136</definedName>
    <definedName name="EP41_11">Limits!$A$113:$A$137</definedName>
    <definedName name="EP41_12">Limits!$A$112:$A$138</definedName>
    <definedName name="EP41_13">Limits!$A$111:$A$139</definedName>
    <definedName name="EP41_14">Limits!$A$110:$A$140</definedName>
    <definedName name="EP41_15">Limits!$A$109:$A$141</definedName>
    <definedName name="EP41_2">Limits!$A$122:$A$128</definedName>
    <definedName name="EP41_3">Limits!$A$121:$A$129</definedName>
    <definedName name="EP41_4">Limits!$A$120:$A$130</definedName>
    <definedName name="EP41_5">Limits!$A$119:$A$131</definedName>
    <definedName name="EP41_6">Limits!$A$118:$A$132</definedName>
    <definedName name="EP41_7">Limits!$A$117:$A$133</definedName>
    <definedName name="EP41_8">Limits!$A$116:$A$134</definedName>
    <definedName name="EP41_9">Limits!$A$115:$A$135</definedName>
    <definedName name="EP42_0">Limits!$A$125:$A$127</definedName>
    <definedName name="EP42_1">Limits!$A$124:$A$128</definedName>
    <definedName name="EP42_10">Limits!$A$115:$A$137</definedName>
    <definedName name="EP42_11">Limits!$A$114:$A$138</definedName>
    <definedName name="EP42_12">Limits!$A$113:$A$139</definedName>
    <definedName name="EP42_13">Limits!$A$112:$A$140</definedName>
    <definedName name="EP42_14">Limits!$A$111:$A$141</definedName>
    <definedName name="EP42_15">Limits!$A$110:$A$142</definedName>
    <definedName name="EP42_2">Limits!$A$123:$A$129</definedName>
    <definedName name="EP42_3">Limits!$A$122:$A$130</definedName>
    <definedName name="EP42_4">Limits!$A$121:$A$131</definedName>
    <definedName name="EP42_5">Limits!$A$120:$A$132</definedName>
    <definedName name="EP42_6">Limits!$A$119:$A$133</definedName>
    <definedName name="EP42_7">Limits!$A$118:$A$134</definedName>
    <definedName name="EP42_8">Limits!$A$117:$A$135</definedName>
    <definedName name="EP42_9">Limits!$A$116:$A$136</definedName>
    <definedName name="EP43_0">Limits!$A$126:$A$128</definedName>
    <definedName name="EP43_1">Limits!$A$125:$A$129</definedName>
    <definedName name="EP43_10">Limits!$A$116:$A$138</definedName>
    <definedName name="EP43_11">Limits!$A$115:$A$139</definedName>
    <definedName name="EP43_12">Limits!$A$114:$A$140</definedName>
    <definedName name="EP43_13">Limits!$A$113:$A$141</definedName>
    <definedName name="EP43_14">Limits!$A$112:$A$142</definedName>
    <definedName name="EP43_15">Limits!$A$111:$A$143</definedName>
    <definedName name="EP43_2">Limits!$A$124:$A$130</definedName>
    <definedName name="EP43_3">Limits!$A$123:$A$131</definedName>
    <definedName name="EP43_4">Limits!$A$122:$A$132</definedName>
    <definedName name="EP43_5">Limits!$A$121:$A$133</definedName>
    <definedName name="EP43_6">Limits!$A$120:$A$134</definedName>
    <definedName name="EP43_7">Limits!$A$119:$A$135</definedName>
    <definedName name="EP43_8">Limits!$A$118:$A$136</definedName>
    <definedName name="EP43_9">Limits!$A$117:$A$137</definedName>
    <definedName name="EP44_0">Limits!$A$127:$A$129</definedName>
    <definedName name="EP44_1">Limits!$A$126:$A$130</definedName>
    <definedName name="EP44_10">Limits!$A$117:$A$139</definedName>
    <definedName name="EP44_11">Limits!$A$116:$A$140</definedName>
    <definedName name="EP44_12">Limits!$A$115:$A$141</definedName>
    <definedName name="EP44_13">Limits!$A$114:$A$142</definedName>
    <definedName name="EP44_14">Limits!$A$113:$A$143</definedName>
    <definedName name="EP44_15">Limits!$A$112:$A$144</definedName>
    <definedName name="EP44_2">Limits!$A$125:$A$131</definedName>
    <definedName name="EP44_3">Limits!$A$124:$A$132</definedName>
    <definedName name="EP44_4">Limits!$A$123:$A$133</definedName>
    <definedName name="EP44_5">Limits!$A$122:$A$134</definedName>
    <definedName name="EP44_6">Limits!$A$121:$A$135</definedName>
    <definedName name="EP44_7">Limits!$A$120:$A$136</definedName>
    <definedName name="EP44_8">Limits!$A$119:$A$137</definedName>
    <definedName name="EP44_9">Limits!$A$118:$A$138</definedName>
    <definedName name="EP45_0">Limits!$A$128:$A$130</definedName>
    <definedName name="EP45_1">Limits!$A$127:$A$131</definedName>
    <definedName name="EP45_10">Limits!$A$118:$A$140</definedName>
    <definedName name="EP45_11">Limits!$A$117:$A$141</definedName>
    <definedName name="EP45_12">Limits!$A$116:$A$142</definedName>
    <definedName name="EP45_13">Limits!$A$115:$A$143</definedName>
    <definedName name="EP45_14">Limits!$A$114:$A$144</definedName>
    <definedName name="EP45_15">Limits!$A$113:$A$145</definedName>
    <definedName name="EP45_2">Limits!$A$126:$A$132</definedName>
    <definedName name="EP45_3">Limits!$A$125:$A$133</definedName>
    <definedName name="EP45_4">Limits!$A$124:$A$134</definedName>
    <definedName name="EP45_5">Limits!$A$123:$A$135</definedName>
    <definedName name="EP45_6">Limits!$A$122:$A$136</definedName>
    <definedName name="EP45_7">Limits!$A$121:$A$137</definedName>
    <definedName name="EP45_8">Limits!$A$120:$A$138</definedName>
    <definedName name="EP45_9">Limits!$A$119:$A$139</definedName>
    <definedName name="EP46_0">Limits!$A$129:$A$131</definedName>
    <definedName name="EP46_1">Limits!$A$128:$A$132</definedName>
    <definedName name="EP46_10">Limits!$A$119:$A$141</definedName>
    <definedName name="EP46_11">Limits!$A$118:$A$142</definedName>
    <definedName name="EP46_12">Limits!$A$117:$A$143</definedName>
    <definedName name="EP46_13">Limits!$A$116:$A$144</definedName>
    <definedName name="EP46_14">Limits!$A$115:$A$145</definedName>
    <definedName name="EP46_15">Limits!$A$114:$A$146</definedName>
    <definedName name="EP46_2">Limits!$A$127:$A$133</definedName>
    <definedName name="EP46_3">Limits!$A$126:$A$134</definedName>
    <definedName name="EP46_4">Limits!$A$125:$A$135</definedName>
    <definedName name="EP46_5">Limits!$A$124:$A$136</definedName>
    <definedName name="EP46_6">Limits!$A$123:$A$137</definedName>
    <definedName name="EP46_7">Limits!$A$122:$A$138</definedName>
    <definedName name="EP46_8">Limits!$A$121:$A$139</definedName>
    <definedName name="EP46_9">Limits!$A$120:$A$140</definedName>
    <definedName name="EP47_0">Limits!$A$130:$A$132</definedName>
    <definedName name="EP47_1">Limits!$A$129:$A$133</definedName>
    <definedName name="EP47_10">Limits!$A$120:$A$142</definedName>
    <definedName name="EP47_11">Limits!$A$119:$A$143</definedName>
    <definedName name="EP47_12">Limits!$A$118:$A$144</definedName>
    <definedName name="EP47_13">Limits!$A$117:$A$145</definedName>
    <definedName name="EP47_14">Limits!$A$116:$A$146</definedName>
    <definedName name="EP47_15">Limits!$A$115:$A$147</definedName>
    <definedName name="EP47_2">Limits!$A$128:$A$134</definedName>
    <definedName name="EP47_3">Limits!$A$127:$A$135</definedName>
    <definedName name="EP47_4">Limits!$A$126:$A$136</definedName>
    <definedName name="EP47_5">Limits!$A$125:$A$137</definedName>
    <definedName name="EP47_6">Limits!$A$124:$A$138</definedName>
    <definedName name="EP47_7">Limits!$A$123:$A$139</definedName>
    <definedName name="EP47_8">Limits!$A$122:$A$140</definedName>
    <definedName name="EP47_9">Limits!$A$121:$A$141</definedName>
    <definedName name="EP48_0">Limits!$A$131:$A$133</definedName>
    <definedName name="EP48_1">Limits!$A$130:$A$134</definedName>
    <definedName name="EP48_10">Limits!$A$121:$A$143</definedName>
    <definedName name="EP48_11">Limits!$A$120:$A$144</definedName>
    <definedName name="EP48_12">Limits!$A$119:$A$145</definedName>
    <definedName name="EP48_13">Limits!$A$118:$A$146</definedName>
    <definedName name="EP48_14">Limits!$A$117:$A$147</definedName>
    <definedName name="EP48_15">Limits!$A$116:$A$147</definedName>
    <definedName name="EP48_2">Limits!$A$129:$A$135</definedName>
    <definedName name="EP48_3">Limits!$A$128:$A$136</definedName>
    <definedName name="EP48_4">Limits!$A$127:$A$137</definedName>
    <definedName name="EP48_5">Limits!$A$126:$A$138</definedName>
    <definedName name="EP48_6">Limits!$A$125:$A$139</definedName>
    <definedName name="EP48_7">Limits!$A$124:$A$140</definedName>
    <definedName name="EP48_8">Limits!$A$123:$A$141</definedName>
    <definedName name="EP48_9">Limits!$A$122:$A$142</definedName>
    <definedName name="EP49_0">Limits!$A$132:$A$134</definedName>
    <definedName name="EP49_1">Limits!$A$131:$A$135</definedName>
    <definedName name="EP49_10">Limits!$A$122:$A$144</definedName>
    <definedName name="EP49_11">Limits!$A$121:$A$145</definedName>
    <definedName name="EP49_12">Limits!$A$120:$A$146</definedName>
    <definedName name="EP49_13">Limits!$A$119:$A$147</definedName>
    <definedName name="EP49_14">Limits!$A$118:$A$147</definedName>
    <definedName name="EP49_15">Limits!$A$117:$A$147</definedName>
    <definedName name="EP49_2">Limits!$A$130:$A$136</definedName>
    <definedName name="EP49_3">Limits!$A$129:$A$137</definedName>
    <definedName name="EP49_4">Limits!$A$128:$A$138</definedName>
    <definedName name="EP49_5">Limits!$A$127:$A$139</definedName>
    <definedName name="EP49_6">Limits!$A$126:$A$140</definedName>
    <definedName name="EP49_7">Limits!$A$125:$A$141</definedName>
    <definedName name="EP49_8">Limits!$A$124:$A$142</definedName>
    <definedName name="EP49_9">Limits!$A$123:$A$143</definedName>
    <definedName name="EP50_0">Limits!$A$133:$A$135</definedName>
    <definedName name="EP50_1">Limits!$A$132:$A$136</definedName>
    <definedName name="EP50_10">Limits!$A$123:$A$145</definedName>
    <definedName name="EP50_11">Limits!$A$122:$A$146</definedName>
    <definedName name="EP50_12">Limits!$A$121:$A$147</definedName>
    <definedName name="EP50_13">Limits!$A$120:$A$147</definedName>
    <definedName name="EP50_14">Limits!$A$119:$A$147</definedName>
    <definedName name="EP50_15">Limits!$A$118:$A$147</definedName>
    <definedName name="EP50_2">Limits!$A$131:$A$137</definedName>
    <definedName name="EP50_3">Limits!$A$130:$A$138</definedName>
    <definedName name="EP50_4">Limits!$A$129:$A$139</definedName>
    <definedName name="EP50_5">Limits!$A$128:$A$140</definedName>
    <definedName name="EP50_6">Limits!$A$127:$A$141</definedName>
    <definedName name="EP50_7">Limits!$A$126:$A$142</definedName>
    <definedName name="EP50_8">Limits!$A$125:$A$143</definedName>
    <definedName name="EP50_9">Limits!$A$124:$A$144</definedName>
    <definedName name="EP51_0">Limits!$A$134:$A$136</definedName>
    <definedName name="EP51_1">Limits!$A$133:$A$137</definedName>
    <definedName name="EP51_10">Limits!$A$124:$A$146</definedName>
    <definedName name="EP51_11">Limits!$A$123:$A$147</definedName>
    <definedName name="EP51_12">Limits!$A$122:$A$147</definedName>
    <definedName name="EP51_13">Limits!$A$121:$A$147</definedName>
    <definedName name="EP51_14">Limits!$A$120:$A$147</definedName>
    <definedName name="EP51_15">Limits!$A$119:$A$147</definedName>
    <definedName name="EP51_2">Limits!$A$132:$A$138</definedName>
    <definedName name="EP51_3">Limits!$A$131:$A$139</definedName>
    <definedName name="EP51_4">Limits!$A$130:$A$140</definedName>
    <definedName name="EP51_5">Limits!$A$129:$A$141</definedName>
    <definedName name="EP51_6">Limits!$A$128:$A$142</definedName>
    <definedName name="EP51_7">Limits!$A$127:$A$143</definedName>
    <definedName name="EP51_8">Limits!$A$126:$A$144</definedName>
    <definedName name="EP51_9">Limits!$A$125:$A$145</definedName>
    <definedName name="EP52_0">Limits!$A$135:$A$137</definedName>
    <definedName name="EP52_1">Limits!$A$134:$A$138</definedName>
    <definedName name="EP52_10">Limits!$A$125:$A$147</definedName>
    <definedName name="EP52_11">Limits!$A$124:$A$147</definedName>
    <definedName name="EP52_12">Limits!$A$123:$A$147</definedName>
    <definedName name="EP52_13">Limits!$A$122:$A$147</definedName>
    <definedName name="EP52_14">Limits!$A$121:$A$147</definedName>
    <definedName name="EP52_15">Limits!$A$120:$A$147</definedName>
    <definedName name="EP52_2">Limits!$A$133:$A$139</definedName>
    <definedName name="EP52_3">Limits!$A$132:$A$140</definedName>
    <definedName name="EP52_4">Limits!$A$131:$A$141</definedName>
    <definedName name="EP52_5">Limits!$A$130:$A$142</definedName>
    <definedName name="EP52_6">Limits!$A$129:$A$143</definedName>
    <definedName name="EP52_7">Limits!$A$128:$A$144</definedName>
    <definedName name="EP52_8">Limits!$A$127:$A$145</definedName>
    <definedName name="EP52_9">Limits!$A$126:$A$146</definedName>
    <definedName name="EP53_0">Limits!$A$136:$A$138</definedName>
    <definedName name="EP53_1">Limits!$A$135:$A$139</definedName>
    <definedName name="EP53_10">Limits!$A$126:$A$147</definedName>
    <definedName name="EP53_11">Limits!$A$125:$A$147</definedName>
    <definedName name="EP53_12">Limits!$A$124:$A$147</definedName>
    <definedName name="EP53_13">Limits!$A$123:$A$147</definedName>
    <definedName name="EP53_14">Limits!$A$122:$A$147</definedName>
    <definedName name="EP53_15">Limits!$A$121:$A$147</definedName>
    <definedName name="EP53_2">Limits!$A$134:$A$140</definedName>
    <definedName name="EP53_3">Limits!$A$133:$A$141</definedName>
    <definedName name="EP53_4">Limits!$A$132:$A$142</definedName>
    <definedName name="EP53_5">Limits!$A$131:$A$143</definedName>
    <definedName name="EP53_6">Limits!$A$130:$A$144</definedName>
    <definedName name="EP53_7">Limits!$A$129:$A$145</definedName>
    <definedName name="EP53_8">Limits!$A$128:$A$146</definedName>
    <definedName name="EP53_9">Limits!$A$127:$A$147</definedName>
    <definedName name="EP54_0">Limits!$A$137:$A$139</definedName>
    <definedName name="EP54_1">Limits!$A$136:$A$140</definedName>
    <definedName name="EP54_10">Limits!$A$127:$A$147</definedName>
    <definedName name="EP54_11">Limits!$A$126:$A$147</definedName>
    <definedName name="EP54_12">Limits!$A$125:$A$147</definedName>
    <definedName name="EP54_13">Limits!$A$124:$A$147</definedName>
    <definedName name="EP54_14">Limits!$A$123:$A$147</definedName>
    <definedName name="EP54_15">Limits!$A$122:$A$147</definedName>
    <definedName name="EP54_2">Limits!$A$135:$A$141</definedName>
    <definedName name="EP54_3">Limits!$A$134:$A$142</definedName>
    <definedName name="EP54_4">Limits!$A$133:$A$143</definedName>
    <definedName name="EP54_5">Limits!$A$132:$A$144</definedName>
    <definedName name="EP54_6">Limits!$A$131:$A$145</definedName>
    <definedName name="EP54_7">Limits!$A$130:$A$146</definedName>
    <definedName name="EP54_8">Limits!$A$129:$A$147</definedName>
    <definedName name="EP54_9">Limits!$A$128:$A$147</definedName>
    <definedName name="EP55_0">Limits!$A$138:$A$140</definedName>
    <definedName name="EP55_1">Limits!$A$137:$A$141</definedName>
    <definedName name="EP55_10">Limits!$A$128:$A$147</definedName>
    <definedName name="EP55_11">Limits!$A$127:$A$147</definedName>
    <definedName name="EP55_12">Limits!$A$126:$A$147</definedName>
    <definedName name="EP55_13">Limits!$A$125:$A$147</definedName>
    <definedName name="EP55_14">Limits!$A$124:$A$147</definedName>
    <definedName name="EP55_15">Limits!$A$123:$A$147</definedName>
    <definedName name="EP55_2">Limits!$A$136:$A$142</definedName>
    <definedName name="EP55_3">Limits!$A$135:$A$143</definedName>
    <definedName name="EP55_4">Limits!$A$134:$A$144</definedName>
    <definedName name="EP55_5">Limits!$A$133:$A$145</definedName>
    <definedName name="EP55_6">Limits!$A$132:$A$146</definedName>
    <definedName name="EP55_7">Limits!$A$131:$A$147</definedName>
    <definedName name="EP55_8">Limits!$A$130:$A$147</definedName>
    <definedName name="EP55_9">Limits!$A$129:$A$147</definedName>
    <definedName name="EP56_0">Limits!$A$139:$A$141</definedName>
    <definedName name="EP56_1">Limits!$A$138:$A$142</definedName>
    <definedName name="EP56_10">Limits!$A$129:$A$147</definedName>
    <definedName name="EP56_11">Limits!$A$128:$A$147</definedName>
    <definedName name="EP56_12">Limits!$A$127:$A$147</definedName>
    <definedName name="EP56_13">Limits!$A$126:$A$147</definedName>
    <definedName name="EP56_14">Limits!$A$125:$A$147</definedName>
    <definedName name="EP56_15">Limits!$A$124:$A$147</definedName>
    <definedName name="EP56_2">Limits!$A$137:$A$143</definedName>
    <definedName name="EP56_3">Limits!$A$136:$A$144</definedName>
    <definedName name="EP56_4">Limits!$A$135:$A$145</definedName>
    <definedName name="EP56_5">Limits!$A$134:$A$146</definedName>
    <definedName name="EP56_6">Limits!$A$133:$A$147</definedName>
    <definedName name="EP56_7">Limits!$A$132:$A$147</definedName>
    <definedName name="EP56_8">Limits!$A$131:$A$147</definedName>
    <definedName name="EP56_9">Limits!$A$130:$A$147</definedName>
    <definedName name="EP57_0">Limits!$A$140:$A$142</definedName>
    <definedName name="EP57_1">Limits!$A$139:$A$143</definedName>
    <definedName name="EP57_10">Limits!$A$130:$A$147</definedName>
    <definedName name="EP57_11">Limits!$A$129:$A$147</definedName>
    <definedName name="EP57_12">Limits!$A$128:$A$147</definedName>
    <definedName name="EP57_13">Limits!$A$127:$A$147</definedName>
    <definedName name="EP57_14">Limits!$A$126:$A$147</definedName>
    <definedName name="EP57_15">Limits!$A$125:$A$147</definedName>
    <definedName name="EP57_2">Limits!$A$138:$A$144</definedName>
    <definedName name="EP57_3">Limits!$A$137:$A$145</definedName>
    <definedName name="EP57_4">Limits!$A$136:$A$146</definedName>
    <definedName name="EP57_5">Limits!$A$135:$A$147</definedName>
    <definedName name="EP57_6">Limits!$A$134:$A$147</definedName>
    <definedName name="EP57_7">Limits!$A$133:$A$147</definedName>
    <definedName name="EP57_8">Limits!$A$132:$A$147</definedName>
    <definedName name="EP57_9">Limits!$A$131:$A$147</definedName>
    <definedName name="EP58_0">Limits!$A$141:$A$143</definedName>
    <definedName name="EP58_1">Limits!$A$140:$A$144</definedName>
    <definedName name="EP58_10">Limits!$A$131:$A$147</definedName>
    <definedName name="EP58_11">Limits!$A$130:$A$147</definedName>
    <definedName name="EP58_12">Limits!$A$129:$A$147</definedName>
    <definedName name="EP58_13">Limits!$A$128:$A$147</definedName>
    <definedName name="EP58_14">Limits!$A$127:$A$147</definedName>
    <definedName name="EP58_15">Limits!$A$126:$A$147</definedName>
    <definedName name="EP58_2">Limits!$A$139:$A$145</definedName>
    <definedName name="EP58_3">Limits!$A$138:$A$146</definedName>
    <definedName name="EP58_4">Limits!$A$137:$A$147</definedName>
    <definedName name="EP58_5">Limits!$A$136:$A$147</definedName>
    <definedName name="EP58_6">Limits!$A$135:$A$147</definedName>
    <definedName name="EP58_7">Limits!$A$134:$A$147</definedName>
    <definedName name="EP58_8">Limits!$A$133:$A$147</definedName>
    <definedName name="EP58_9">Limits!$A$132:$A$147</definedName>
    <definedName name="EP59_0">Limits!$A$142:$A$144</definedName>
    <definedName name="EP59_1">Limits!$A$141:$A$145</definedName>
    <definedName name="EP59_10">Limits!$A$132:$A$147</definedName>
    <definedName name="EP59_11">Limits!$A$131:$A$147</definedName>
    <definedName name="EP59_12">Limits!$A$130:$A$147</definedName>
    <definedName name="EP59_13">Limits!$A$129:$A$147</definedName>
    <definedName name="EP59_14">Limits!$A$128:$A$147</definedName>
    <definedName name="EP59_15">Limits!$A$127:$A$147</definedName>
    <definedName name="EP59_2">Limits!$A$140:$A$146</definedName>
    <definedName name="EP59_3">Limits!$A$139:$A$147</definedName>
    <definedName name="EP59_4">Limits!$A$138:$A$147</definedName>
    <definedName name="EP59_5">Limits!$A$137:$A$147</definedName>
    <definedName name="EP59_6">Limits!$A$136:$A$147</definedName>
    <definedName name="EP59_7">Limits!$A$135:$A$147</definedName>
    <definedName name="EP59_8">Limits!$A$134:$A$147</definedName>
    <definedName name="EP59_9">Limits!$A$133:$A$147</definedName>
    <definedName name="EP60_0">Limits!$A$143:$A$145</definedName>
    <definedName name="EP60_1">Limits!$A$142:$A$146</definedName>
    <definedName name="EP60_10">Limits!$A$133:$A$147</definedName>
    <definedName name="EP60_11">Limits!$A$132:$A$147</definedName>
    <definedName name="EP60_12">Limits!$A$131:$A$147</definedName>
    <definedName name="EP60_13">Limits!$A$130:$A$147</definedName>
    <definedName name="EP60_14">Limits!$A$129:$A$147</definedName>
    <definedName name="EP60_15">Limits!$A$128:$A$147</definedName>
    <definedName name="EP60_2">Limits!$A$141:$A$147</definedName>
    <definedName name="EP60_3">Limits!$A$140:$A$147</definedName>
    <definedName name="EP60_4">Limits!$A$139:$A$147</definedName>
    <definedName name="EP60_5">Limits!$A$138:$A$147</definedName>
    <definedName name="EP60_6">Limits!$A$137:$A$147</definedName>
    <definedName name="EP60_7">Limits!$A$136:$A$147</definedName>
    <definedName name="EP60_8">Limits!$A$135:$A$147</definedName>
    <definedName name="EP60_9">Limits!$A$134:$A$147</definedName>
    <definedName name="EP61_0">Limits!$A$144:$A$146</definedName>
    <definedName name="EP61_1">Limits!$A$143:$A$147</definedName>
    <definedName name="EP61_10">Limits!$A$134:$A$147</definedName>
    <definedName name="EP61_11">Limits!$A$133:$A$147</definedName>
    <definedName name="EP61_12">Limits!$A$132:$A$147</definedName>
    <definedName name="EP61_13">Limits!$A$131:$A$147</definedName>
    <definedName name="EP61_14">Limits!$A$130:$A$147</definedName>
    <definedName name="EP61_15">Limits!$A$129:$A$147</definedName>
    <definedName name="EP61_2">Limits!$A$142:$A$147</definedName>
    <definedName name="EP61_3">Limits!$A$141:$A$147</definedName>
    <definedName name="EP61_4">Limits!$A$140:$A$147</definedName>
    <definedName name="EP61_5">Limits!$A$139:$A$147</definedName>
    <definedName name="EP61_6">Limits!$A$138:$A$147</definedName>
    <definedName name="EP61_7">Limits!$A$137:$A$147</definedName>
    <definedName name="EP61_8">Limits!$A$136:$A$147</definedName>
    <definedName name="EP61_9">Limits!$A$135:$A$147</definedName>
    <definedName name="EP62_0">Limits!$A$145:$A$147</definedName>
    <definedName name="EP62_1">Limits!$A$144:$A$147</definedName>
    <definedName name="EP62_10">Limits!$A$135:$A$147</definedName>
    <definedName name="EP62_11">Limits!$A$134:$A$147</definedName>
    <definedName name="EP62_12">Limits!$A$133:$A$147</definedName>
    <definedName name="EP62_13">Limits!$A$132:$A$147</definedName>
    <definedName name="EP62_14">Limits!$A$131:$A$147</definedName>
    <definedName name="EP62_15">Limits!$A$130:$A$147</definedName>
    <definedName name="EP62_2">Limits!$A$143:$A$147</definedName>
    <definedName name="EP62_3">Limits!$A$142:$A$147</definedName>
    <definedName name="EP62_4">Limits!$A$141:$A$147</definedName>
    <definedName name="EP62_5">Limits!$A$140:$A$147</definedName>
    <definedName name="EP62_6">Limits!$A$139:$A$147</definedName>
    <definedName name="EP62_7">Limits!$A$138:$A$147</definedName>
    <definedName name="EP62_8">Limits!$A$137:$A$147</definedName>
    <definedName name="EP62_9">Limits!$A$136:$A$147</definedName>
    <definedName name="EP63_0">Limits!$A$146:$A$147</definedName>
    <definedName name="EP63_1">Limits!$A$145:$A$147</definedName>
    <definedName name="EP63_10">Limits!$A$136:$A$147</definedName>
    <definedName name="EP63_11">Limits!$A$135:$A$147</definedName>
    <definedName name="EP63_12">Limits!$A$134:$A$147</definedName>
    <definedName name="EP63_13">Limits!$A$133:$A$147</definedName>
    <definedName name="EP63_14">Limits!$A$132:$A$147</definedName>
    <definedName name="EP63_15">Limits!$A$131:$A$147</definedName>
    <definedName name="EP63_2">Limits!$A$144:$A$147</definedName>
    <definedName name="EP63_3">Limits!$A$143:$A$147</definedName>
    <definedName name="EP63_4">Limits!$A$142:$A$147</definedName>
    <definedName name="EP63_5">Limits!$A$141:$A$147</definedName>
    <definedName name="EP63_6">Limits!$A$140:$A$147</definedName>
    <definedName name="EP63_7">Limits!$A$139:$A$147</definedName>
    <definedName name="EP63_8">Limits!$A$138:$A$147</definedName>
    <definedName name="EP63_9">Limits!$A$137:$A$147</definedName>
    <definedName name="EPHS_1">'CAN Clocking'!$AA$149</definedName>
    <definedName name="EPHS_2">'CAN Clocking'!$AA$156</definedName>
    <definedName name="EPROP">'CAN Clocking'!$AA$141</definedName>
    <definedName name="ERJW">'CAN Clocking'!$T$141</definedName>
    <definedName name="FlexCAN_Jump_Values_Extended">Limits!$A$49:$Q$81</definedName>
    <definedName name="FlexCAN_Jump_Values_Normal">Limits!$A$39:$E$47</definedName>
    <definedName name="FlexCAN_Prop_Jump_Values_Extended">Limits!$A$83:$Q$147</definedName>
    <definedName name="FlexCAN_Prop_Jump_Values_FD">Limits!$A$149:$E$181</definedName>
    <definedName name="FPHS_1">'CAN Clocking'!$AA$173</definedName>
    <definedName name="FPHS_2">'CAN Clocking'!$AA$180</definedName>
    <definedName name="FPROP">'CAN Clocking'!$AA$165</definedName>
    <definedName name="FRJW">'CAN Clocking'!$U$165</definedName>
    <definedName name="J0_0">Limits!$A$40:$A$41</definedName>
    <definedName name="J0_1">Limits!$A$40:$A$42</definedName>
    <definedName name="J0_2">Limits!$A$40:$A$43</definedName>
    <definedName name="J0_3">Limits!$A$40:$A$44</definedName>
    <definedName name="J1_0">Limits!$A$40:$A$42</definedName>
    <definedName name="J1_1">Limits!$A$40:$A$43</definedName>
    <definedName name="J1_2">Limits!$A$40:$A$44</definedName>
    <definedName name="J1_3">Limits!$A$40:$A$45</definedName>
    <definedName name="J2_0">Limits!$A$41:$A$43</definedName>
    <definedName name="J2_1">Limits!$A$40:$A$44</definedName>
    <definedName name="J2_2">Limits!$A$40:$A$45</definedName>
    <definedName name="J2_3">Limits!$A$40:$A$46</definedName>
    <definedName name="J3_0">Limits!$A$42:$A$44</definedName>
    <definedName name="J3_1">Limits!$A$41:$A$45</definedName>
    <definedName name="J3_2">Limits!$A$40:$A$46</definedName>
    <definedName name="J3_3">Limits!$A$40:$A$47</definedName>
    <definedName name="J4_0">Limits!$A$43:$A$45</definedName>
    <definedName name="J4_1">Limits!$A$42:$A$46</definedName>
    <definedName name="J4_2">Limits!$A$41:$A$47</definedName>
    <definedName name="J4_3">Limits!$A$40:$A$47</definedName>
    <definedName name="J5_0">Limits!$A$44:$A$46</definedName>
    <definedName name="J5_1">Limits!$A$43:$A$47</definedName>
    <definedName name="J5_2">Limits!$A$42:$A$47</definedName>
    <definedName name="J5_3">Limits!$A$41:$A$47</definedName>
    <definedName name="J6_0">Limits!$A$45:$A$47</definedName>
    <definedName name="J6_1">Limits!$A$44:$A$47</definedName>
    <definedName name="J6_2">Limits!$A$43:$A$47</definedName>
    <definedName name="J6_3">Limits!$A$42:$A$47</definedName>
    <definedName name="J7_0">Limits!$A$46:$A$47</definedName>
    <definedName name="J7_1">Limits!$A$45:$A$47</definedName>
    <definedName name="J7_2">Limits!$A$44:$A$47</definedName>
    <definedName name="J7_3">Limits!$A$43:$A$47</definedName>
    <definedName name="JW">'CAN Clocking'!$M$122</definedName>
    <definedName name="PHS_1">'CAN Clocking'!$Q$115</definedName>
    <definedName name="PHS_2">'CAN Clocking'!$Q$129</definedName>
    <definedName name="PROP">'CAN Clocking'!$Q$122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93" i="13" l="1"/>
  <c r="L77" i="26" l="1"/>
  <c r="L25" i="26"/>
  <c r="L20" i="26"/>
  <c r="L41" i="26"/>
  <c r="L42" i="26"/>
  <c r="L43" i="26"/>
  <c r="L40" i="26"/>
  <c r="L44" i="26"/>
  <c r="L45" i="26"/>
  <c r="L39" i="26"/>
  <c r="L51" i="26"/>
  <c r="L59" i="26"/>
  <c r="L58" i="26"/>
  <c r="L57" i="26"/>
  <c r="L55" i="26" l="1"/>
  <c r="L38" i="26"/>
  <c r="L54" i="26"/>
  <c r="L53" i="26"/>
  <c r="L37" i="26"/>
  <c r="L52" i="26"/>
  <c r="L50" i="26"/>
  <c r="L49" i="26"/>
  <c r="L48" i="26"/>
  <c r="L47" i="26"/>
  <c r="L46" i="26"/>
  <c r="L33" i="26"/>
  <c r="L34" i="26"/>
  <c r="L35" i="26"/>
  <c r="L27" i="26"/>
  <c r="L28" i="26"/>
  <c r="L26" i="26" l="1"/>
  <c r="L32" i="26"/>
  <c r="L31" i="26"/>
  <c r="L30" i="26"/>
  <c r="L29" i="26"/>
  <c r="L36" i="26"/>
  <c r="L19" i="26"/>
  <c r="B15" i="26"/>
  <c r="B16" i="26"/>
  <c r="B14" i="26"/>
  <c r="B13" i="26"/>
  <c r="B12" i="26"/>
  <c r="B11" i="26"/>
  <c r="B10" i="26"/>
  <c r="AQ141" i="13"/>
  <c r="AQ137" i="13"/>
  <c r="E17" i="17"/>
  <c r="AM38" i="18" l="1"/>
  <c r="AL27" i="18"/>
  <c r="AL18" i="18"/>
  <c r="AL9" i="18"/>
  <c r="H35" i="18"/>
  <c r="H32" i="18"/>
  <c r="G27" i="18"/>
  <c r="G24" i="18"/>
  <c r="G11" i="18"/>
  <c r="G8" i="18"/>
  <c r="Y22" i="24"/>
  <c r="E38" i="24"/>
  <c r="F30" i="24"/>
  <c r="I9" i="24"/>
  <c r="AK198" i="13"/>
  <c r="AK188" i="13"/>
  <c r="AK178" i="13"/>
  <c r="AK173" i="13"/>
  <c r="AI151" i="13"/>
  <c r="AI147" i="13"/>
  <c r="AK134" i="13"/>
  <c r="AI132" i="13"/>
  <c r="AI128" i="13"/>
  <c r="AJ122" i="13"/>
  <c r="AK25" i="13" l="1"/>
  <c r="AR19" i="13"/>
  <c r="I178" i="13"/>
  <c r="J133" i="13"/>
  <c r="J130" i="13"/>
  <c r="J123" i="13"/>
  <c r="H121" i="13"/>
  <c r="J117" i="13"/>
  <c r="H115" i="13"/>
  <c r="J112" i="13"/>
  <c r="H110" i="13"/>
  <c r="J106" i="13"/>
  <c r="H104" i="13"/>
  <c r="BS70" i="15"/>
  <c r="BS60" i="15"/>
  <c r="AP66" i="15"/>
  <c r="AM57" i="15"/>
  <c r="J92" i="13"/>
  <c r="BS51" i="15"/>
  <c r="BS42" i="15"/>
  <c r="AP47" i="15"/>
  <c r="AM39" i="15"/>
  <c r="J81" i="13"/>
  <c r="BS31" i="15"/>
  <c r="BS23" i="15"/>
  <c r="AP27" i="15"/>
  <c r="AM19" i="15"/>
  <c r="J71" i="13"/>
  <c r="H61" i="13"/>
  <c r="F54" i="13"/>
  <c r="H49" i="13"/>
  <c r="H42" i="13"/>
  <c r="H38" i="13"/>
  <c r="F14" i="13"/>
  <c r="F10" i="13"/>
  <c r="AO90" i="19"/>
  <c r="AO80" i="19"/>
  <c r="AO71" i="19"/>
  <c r="AO62" i="19"/>
  <c r="AO52" i="19"/>
  <c r="AO44" i="19"/>
  <c r="M47" i="19"/>
  <c r="L17" i="26"/>
  <c r="L16" i="26"/>
  <c r="L11" i="26"/>
  <c r="L14" i="26"/>
  <c r="L13" i="26"/>
  <c r="L9" i="26"/>
  <c r="L8" i="26"/>
  <c r="I167" i="26" l="1"/>
  <c r="I165" i="26"/>
  <c r="I102" i="26"/>
  <c r="I94" i="26"/>
  <c r="B73" i="26"/>
  <c r="B72" i="26"/>
  <c r="B70" i="26"/>
  <c r="B68" i="26"/>
  <c r="B69" i="26"/>
  <c r="B65" i="26"/>
  <c r="B64" i="26"/>
  <c r="B71" i="26"/>
  <c r="B67" i="26"/>
  <c r="B66" i="26"/>
  <c r="B63" i="26"/>
  <c r="B62" i="26"/>
  <c r="B61" i="26"/>
  <c r="B60" i="26"/>
  <c r="B57" i="26" l="1"/>
  <c r="B59" i="26"/>
  <c r="B55" i="26"/>
  <c r="B58" i="26"/>
  <c r="B56" i="26"/>
  <c r="B54" i="26"/>
  <c r="B53" i="26"/>
  <c r="B52" i="26"/>
  <c r="B51" i="26"/>
  <c r="B50" i="26"/>
  <c r="B48" i="26"/>
  <c r="B47" i="26"/>
  <c r="B46" i="26"/>
  <c r="B44" i="26"/>
  <c r="B45" i="26"/>
  <c r="B49" i="26"/>
  <c r="B43" i="26"/>
  <c r="L15" i="26" s="1"/>
  <c r="B42" i="26"/>
  <c r="B41" i="26"/>
  <c r="B40" i="26"/>
  <c r="B39" i="26"/>
  <c r="B38" i="26"/>
  <c r="B37" i="26"/>
  <c r="B36" i="26"/>
  <c r="B35" i="26"/>
  <c r="B34" i="26"/>
  <c r="L10" i="26" s="1"/>
  <c r="B33" i="26"/>
  <c r="B32" i="26"/>
  <c r="B31" i="26"/>
  <c r="B30" i="26"/>
  <c r="B27" i="26"/>
  <c r="B26" i="26"/>
  <c r="B25" i="26"/>
  <c r="J38" i="12"/>
  <c r="I11" i="26" l="1"/>
  <c r="L24" i="26"/>
  <c r="B24" i="26"/>
  <c r="B23" i="26"/>
  <c r="B22" i="26"/>
  <c r="B21" i="26"/>
  <c r="B20" i="26"/>
  <c r="B19" i="26"/>
  <c r="B18" i="26"/>
  <c r="B17" i="26"/>
  <c r="C21" i="4" l="1"/>
  <c r="C22" i="4" s="1"/>
  <c r="C23" i="4" s="1"/>
  <c r="C24" i="4" s="1"/>
  <c r="C15" i="3"/>
  <c r="C16" i="3" s="1"/>
  <c r="C17" i="3" s="1"/>
  <c r="C18" i="3" s="1"/>
  <c r="M19" i="19" l="1"/>
  <c r="H127" i="13"/>
  <c r="H22" i="13"/>
  <c r="H56" i="18"/>
  <c r="AL60" i="15" l="1"/>
  <c r="AL42" i="15"/>
  <c r="AL23" i="15"/>
  <c r="AO70" i="15" l="1"/>
  <c r="AO31" i="15"/>
  <c r="AO51" i="15"/>
  <c r="G77" i="13"/>
  <c r="G87" i="13" s="1"/>
  <c r="G98" i="13" s="1"/>
  <c r="AO35" i="19" l="1"/>
  <c r="L46" i="12" s="1"/>
  <c r="M6" i="19"/>
  <c r="AT3" i="19"/>
  <c r="BC6" i="19" s="1"/>
  <c r="AO25" i="19"/>
  <c r="AO16" i="19"/>
  <c r="AO6" i="19"/>
  <c r="S3" i="19"/>
  <c r="AB30" i="19" s="1"/>
  <c r="BC16" i="19" l="1"/>
  <c r="BC25" i="19"/>
  <c r="AB20" i="19"/>
  <c r="BC62" i="19"/>
  <c r="BC91" i="19"/>
  <c r="BC53" i="19"/>
  <c r="BC81" i="19"/>
  <c r="BC43" i="19"/>
  <c r="BC71" i="19"/>
  <c r="BC34" i="19"/>
  <c r="L57" i="12" s="1"/>
  <c r="AB12" i="19"/>
  <c r="AB85" i="19"/>
  <c r="AB48" i="19"/>
  <c r="AB75" i="19"/>
  <c r="AB39" i="19"/>
  <c r="AB65" i="19"/>
  <c r="AB57" i="19"/>
  <c r="D16" i="12"/>
  <c r="Z7" i="13" s="1"/>
  <c r="AD7" i="13"/>
  <c r="I114" i="26" s="1"/>
  <c r="AB5" i="19"/>
  <c r="M38" i="19"/>
  <c r="M29" i="19"/>
  <c r="M12" i="19"/>
  <c r="F33" i="12" l="1"/>
  <c r="I10" i="26" s="1"/>
  <c r="I14" i="26"/>
  <c r="AB7" i="13"/>
  <c r="I98" i="26" s="1"/>
  <c r="T4" i="24"/>
  <c r="T110" i="24" s="1"/>
  <c r="L59" i="12"/>
  <c r="I15" i="26" s="1"/>
  <c r="R4" i="24"/>
  <c r="I132" i="26" s="1"/>
  <c r="AH65" i="24"/>
  <c r="I8" i="26"/>
  <c r="N4" i="24"/>
  <c r="N110" i="24" s="1"/>
  <c r="I12" i="26"/>
  <c r="I90" i="26"/>
  <c r="I78" i="26"/>
  <c r="G7" i="12"/>
  <c r="L22" i="26" s="1"/>
  <c r="V4" i="4"/>
  <c r="V3" i="4"/>
  <c r="U4" i="3"/>
  <c r="U3" i="3"/>
  <c r="L70" i="26" l="1"/>
  <c r="L23" i="26"/>
  <c r="AD65" i="24"/>
  <c r="R110" i="24"/>
  <c r="I146" i="26" s="1"/>
  <c r="D9" i="17"/>
  <c r="K7" i="13"/>
  <c r="F128" i="13" s="1"/>
  <c r="I136" i="26"/>
  <c r="AB65" i="24"/>
  <c r="I9" i="26"/>
  <c r="P4" i="24"/>
  <c r="P110" i="24" s="1"/>
  <c r="Q3" i="18"/>
  <c r="V7" i="4"/>
  <c r="U7" i="3"/>
  <c r="F36" i="24" l="1"/>
  <c r="D31" i="24" s="1"/>
  <c r="I77" i="26"/>
  <c r="I68" i="26"/>
  <c r="F10" i="17"/>
  <c r="J9" i="17" s="1"/>
  <c r="U9" i="17" s="1"/>
  <c r="AB9" i="17" s="1"/>
  <c r="I21" i="12"/>
  <c r="Q92" i="18"/>
  <c r="I127" i="26" l="1"/>
  <c r="AJ61" i="13"/>
  <c r="AF65" i="24" s="1"/>
  <c r="D12" i="3"/>
  <c r="E13" i="3"/>
  <c r="E12" i="3" s="1"/>
  <c r="Z210" i="13" l="1"/>
  <c r="V2" i="4" l="1"/>
  <c r="U2" i="3"/>
  <c r="N39" i="12"/>
  <c r="Z65" i="24"/>
  <c r="AM34" i="13"/>
  <c r="I89" i="26" l="1"/>
  <c r="L68" i="26"/>
  <c r="AB18" i="17"/>
  <c r="BH3" i="19"/>
  <c r="BT37" i="19" s="1"/>
  <c r="D14" i="3"/>
  <c r="E15" i="3"/>
  <c r="D16" i="3"/>
  <c r="E18" i="3"/>
  <c r="D15" i="3"/>
  <c r="E14" i="3"/>
  <c r="E16" i="3"/>
  <c r="E17" i="3"/>
  <c r="D17" i="3"/>
  <c r="D18" i="3"/>
  <c r="D22" i="4"/>
  <c r="D24" i="4"/>
  <c r="D20" i="4"/>
  <c r="D21" i="4"/>
  <c r="D23" i="4"/>
  <c r="N42" i="12"/>
  <c r="U41" i="12" s="1"/>
  <c r="I18" i="26" s="1"/>
  <c r="AD210" i="13"/>
  <c r="BT16" i="19" l="1"/>
  <c r="BT26" i="19"/>
  <c r="BT49" i="19"/>
  <c r="BT6" i="19"/>
  <c r="BK3" i="19"/>
  <c r="BT40" i="19" s="1"/>
  <c r="L12" i="26"/>
  <c r="AB210" i="13"/>
  <c r="AK130" i="13" s="1"/>
  <c r="L48" i="12"/>
  <c r="BT19" i="19" l="1"/>
  <c r="BT29" i="19"/>
  <c r="AF7" i="13"/>
  <c r="AF210" i="13" s="1"/>
  <c r="L21" i="26"/>
  <c r="K17" i="12"/>
  <c r="AQ65" i="24" s="1"/>
  <c r="AN82" i="24" s="1"/>
  <c r="BT52" i="19"/>
  <c r="BT9" i="19"/>
  <c r="V4" i="24"/>
  <c r="V110" i="24" s="1"/>
  <c r="I13" i="26"/>
  <c r="N13" i="15"/>
  <c r="N70" i="15" s="1"/>
  <c r="L13" i="15"/>
  <c r="L70" i="15" s="1"/>
  <c r="J13" i="15"/>
  <c r="J70" i="15" s="1"/>
  <c r="H13" i="15"/>
  <c r="H70" i="15" s="1"/>
  <c r="V27" i="12" l="1"/>
  <c r="T7" i="13" s="1"/>
  <c r="F59" i="13" s="1"/>
  <c r="C7" i="14" s="1"/>
  <c r="V10" i="12"/>
  <c r="I20" i="26" s="1"/>
  <c r="V29" i="12"/>
  <c r="L66" i="26" s="1"/>
  <c r="V8" i="12"/>
  <c r="O7" i="13" s="1"/>
  <c r="F60" i="13" s="1"/>
  <c r="I33" i="14" s="1"/>
  <c r="L75" i="26"/>
  <c r="AS82" i="24"/>
  <c r="AX83" i="24" s="1"/>
  <c r="I16" i="26"/>
  <c r="V21" i="12"/>
  <c r="V25" i="12"/>
  <c r="AI57" i="13"/>
  <c r="V18" i="12"/>
  <c r="V14" i="12"/>
  <c r="P33" i="12"/>
  <c r="I17" i="26" s="1"/>
  <c r="J75" i="13"/>
  <c r="I37" i="14"/>
  <c r="I194" i="26" s="1"/>
  <c r="I36" i="14"/>
  <c r="I193" i="26" s="1"/>
  <c r="I31" i="14"/>
  <c r="I191" i="26" s="1"/>
  <c r="E7" i="14"/>
  <c r="L64" i="26" l="1"/>
  <c r="I25" i="26"/>
  <c r="AH7" i="13"/>
  <c r="F126" i="13" s="1"/>
  <c r="I67" i="26" s="1"/>
  <c r="L18" i="26"/>
  <c r="I19" i="26"/>
  <c r="L60" i="26"/>
  <c r="X4" i="24"/>
  <c r="X110" i="24" s="1"/>
  <c r="I145" i="26" s="1"/>
  <c r="L7" i="26"/>
  <c r="W3" i="18"/>
  <c r="I22" i="18" s="1"/>
  <c r="E22" i="18" s="1"/>
  <c r="I26" i="26"/>
  <c r="AC3" i="18"/>
  <c r="I160" i="26" s="1"/>
  <c r="V7" i="13"/>
  <c r="V210" i="13" s="1"/>
  <c r="H123" i="13"/>
  <c r="L71" i="26"/>
  <c r="AP59" i="13"/>
  <c r="AT62" i="13" s="1"/>
  <c r="I148" i="26"/>
  <c r="L76" i="26"/>
  <c r="I97" i="26"/>
  <c r="I33" i="26"/>
  <c r="F40" i="13"/>
  <c r="I57" i="26"/>
  <c r="I66" i="26"/>
  <c r="H106" i="13"/>
  <c r="I103" i="26"/>
  <c r="I105" i="26"/>
  <c r="R7" i="13"/>
  <c r="H12" i="13" s="1"/>
  <c r="D11" i="13" s="1"/>
  <c r="D119" i="25" s="1"/>
  <c r="J137" i="25" s="1"/>
  <c r="P138" i="25" s="1"/>
  <c r="L63" i="26"/>
  <c r="P7" i="13"/>
  <c r="F48" i="13" s="1"/>
  <c r="L61" i="26"/>
  <c r="X7" i="13"/>
  <c r="I108" i="26" s="1"/>
  <c r="L62" i="26"/>
  <c r="M7" i="13"/>
  <c r="L65" i="26"/>
  <c r="Y3" i="18"/>
  <c r="I30" i="18" s="1"/>
  <c r="F30" i="18" s="1"/>
  <c r="AA3" i="18"/>
  <c r="F54" i="18" s="1"/>
  <c r="I159" i="26" s="1"/>
  <c r="I21" i="26"/>
  <c r="I23" i="26"/>
  <c r="L4" i="24"/>
  <c r="I140" i="26" s="1"/>
  <c r="I22" i="26"/>
  <c r="J4" i="24"/>
  <c r="U3" i="18"/>
  <c r="S3" i="18"/>
  <c r="AK57" i="13"/>
  <c r="I24" i="26"/>
  <c r="I99" i="26"/>
  <c r="E41" i="14"/>
  <c r="I190" i="26"/>
  <c r="I183" i="26"/>
  <c r="F13" i="15"/>
  <c r="F70" i="15" s="1"/>
  <c r="J85" i="13"/>
  <c r="J96" i="13" s="1"/>
  <c r="T210" i="13"/>
  <c r="I192" i="26"/>
  <c r="O210" i="13"/>
  <c r="AM168" i="25" l="1"/>
  <c r="AM146" i="25"/>
  <c r="AM119" i="25"/>
  <c r="AM109" i="25"/>
  <c r="AL61" i="13"/>
  <c r="F22" i="13"/>
  <c r="I29" i="26" s="1"/>
  <c r="AH210" i="13"/>
  <c r="AS138" i="13" s="1"/>
  <c r="AM31" i="13"/>
  <c r="I87" i="26" s="1"/>
  <c r="I161" i="26"/>
  <c r="AC92" i="18"/>
  <c r="I182" i="26" s="1"/>
  <c r="W92" i="18"/>
  <c r="L72" i="26"/>
  <c r="I91" i="26"/>
  <c r="I65" i="26"/>
  <c r="J110" i="24"/>
  <c r="D21" i="24"/>
  <c r="I125" i="26" s="1"/>
  <c r="I115" i="26"/>
  <c r="AP17" i="13"/>
  <c r="F31" i="13"/>
  <c r="I31" i="26" s="1"/>
  <c r="I25" i="18"/>
  <c r="E25" i="18" s="1"/>
  <c r="M34" i="18"/>
  <c r="E10" i="18"/>
  <c r="AL35" i="18"/>
  <c r="E6" i="18"/>
  <c r="I126" i="26"/>
  <c r="F58" i="13"/>
  <c r="B7" i="14" s="1"/>
  <c r="D8" i="13"/>
  <c r="D109" i="25" s="1"/>
  <c r="I104" i="26"/>
  <c r="I79" i="13"/>
  <c r="I111" i="26"/>
  <c r="I60" i="26"/>
  <c r="I70" i="26"/>
  <c r="I32" i="26"/>
  <c r="I64" i="26"/>
  <c r="I96" i="26"/>
  <c r="X210" i="13"/>
  <c r="I34" i="26"/>
  <c r="I110" i="26"/>
  <c r="G102" i="13"/>
  <c r="F109" i="13"/>
  <c r="I85" i="26"/>
  <c r="F36" i="13"/>
  <c r="I61" i="26"/>
  <c r="I58" i="26"/>
  <c r="I74" i="26"/>
  <c r="F114" i="13"/>
  <c r="F120" i="13"/>
  <c r="H117" i="13"/>
  <c r="F46" i="13"/>
  <c r="I109" i="26"/>
  <c r="I80" i="26"/>
  <c r="I112" i="26"/>
  <c r="I63" i="26"/>
  <c r="I83" i="26"/>
  <c r="I71" i="26"/>
  <c r="AM23" i="13"/>
  <c r="H69" i="13"/>
  <c r="B13" i="15" s="1"/>
  <c r="B70" i="15" s="1"/>
  <c r="I90" i="13"/>
  <c r="G131" i="13"/>
  <c r="H112" i="13"/>
  <c r="I62" i="26"/>
  <c r="I59" i="26"/>
  <c r="I113" i="26"/>
  <c r="I44" i="26"/>
  <c r="I69" i="26"/>
  <c r="I56" i="26"/>
  <c r="I37" i="26"/>
  <c r="I55" i="26"/>
  <c r="I75" i="26"/>
  <c r="AA92" i="18"/>
  <c r="I179" i="26" s="1"/>
  <c r="I27" i="26"/>
  <c r="I30" i="26"/>
  <c r="I88" i="26"/>
  <c r="I36" i="26"/>
  <c r="I107" i="26"/>
  <c r="I93" i="26"/>
  <c r="I49" i="26"/>
  <c r="I79" i="26"/>
  <c r="I106" i="26"/>
  <c r="I86" i="26"/>
  <c r="I72" i="26"/>
  <c r="P210" i="13"/>
  <c r="I120" i="26" s="1"/>
  <c r="I95" i="26"/>
  <c r="I50" i="26"/>
  <c r="I43" i="26"/>
  <c r="I81" i="26"/>
  <c r="I38" i="26"/>
  <c r="I116" i="26"/>
  <c r="I82" i="26"/>
  <c r="I92" i="26"/>
  <c r="U92" i="18"/>
  <c r="I143" i="26"/>
  <c r="I139" i="26"/>
  <c r="I135" i="26"/>
  <c r="I154" i="26"/>
  <c r="I156" i="26"/>
  <c r="Y92" i="18"/>
  <c r="AA20" i="24"/>
  <c r="D9" i="24"/>
  <c r="I123" i="26" s="1"/>
  <c r="I130" i="26"/>
  <c r="I133" i="26"/>
  <c r="I141" i="26"/>
  <c r="I137" i="26"/>
  <c r="I131" i="26"/>
  <c r="D28" i="24"/>
  <c r="I144" i="26"/>
  <c r="I138" i="26"/>
  <c r="I124" i="26"/>
  <c r="I129" i="26"/>
  <c r="L110" i="24"/>
  <c r="I76" i="26" s="1"/>
  <c r="H7" i="24"/>
  <c r="I134" i="26"/>
  <c r="I128" i="26"/>
  <c r="I142" i="26"/>
  <c r="AI16" i="18"/>
  <c r="AN16" i="18" s="1"/>
  <c r="AI25" i="18"/>
  <c r="AI8" i="18"/>
  <c r="AN8" i="18" s="1"/>
  <c r="S92" i="18"/>
  <c r="I163" i="26" s="1"/>
  <c r="AK149" i="13"/>
  <c r="AM132" i="13"/>
  <c r="AM195" i="13"/>
  <c r="AK126" i="13"/>
  <c r="AK144" i="13"/>
  <c r="I158" i="26"/>
  <c r="I157" i="26"/>
  <c r="I151" i="26"/>
  <c r="I153" i="26"/>
  <c r="I117" i="26"/>
  <c r="C41" i="14"/>
  <c r="I189" i="26"/>
  <c r="I188" i="26"/>
  <c r="K210" i="13"/>
  <c r="R210" i="13"/>
  <c r="M210" i="13"/>
  <c r="AM185" i="13" s="1"/>
  <c r="D13" i="15"/>
  <c r="F138" i="13"/>
  <c r="I73" i="26" s="1"/>
  <c r="H52" i="13"/>
  <c r="E50" i="13" s="1"/>
  <c r="L69" i="26" s="1"/>
  <c r="AK61" i="13" l="1"/>
  <c r="I119" i="26"/>
  <c r="I162" i="26"/>
  <c r="I101" i="26"/>
  <c r="I118" i="26"/>
  <c r="I181" i="26"/>
  <c r="I178" i="26"/>
  <c r="I177" i="26"/>
  <c r="AK68" i="13"/>
  <c r="AL120" i="13"/>
  <c r="F191" i="13"/>
  <c r="L74" i="26"/>
  <c r="I150" i="26"/>
  <c r="AO65" i="24"/>
  <c r="D21" i="25"/>
  <c r="J39" i="25" s="1"/>
  <c r="P40" i="25" s="1"/>
  <c r="AT17" i="13"/>
  <c r="I84" i="26"/>
  <c r="I152" i="26"/>
  <c r="I33" i="18"/>
  <c r="L73" i="26"/>
  <c r="I166" i="26"/>
  <c r="I149" i="26"/>
  <c r="D11" i="25"/>
  <c r="AM65" i="24"/>
  <c r="AO35" i="18"/>
  <c r="I173" i="26"/>
  <c r="I180" i="26"/>
  <c r="I100" i="26"/>
  <c r="AN176" i="13"/>
  <c r="AS135" i="13"/>
  <c r="I121" i="26"/>
  <c r="I174" i="26"/>
  <c r="F177" i="13"/>
  <c r="I122" i="26"/>
  <c r="I164" i="26"/>
  <c r="I170" i="26"/>
  <c r="I169" i="26"/>
  <c r="I147" i="26"/>
  <c r="I176" i="26"/>
  <c r="AK146" i="13"/>
  <c r="AM170" i="13"/>
  <c r="AN25" i="18"/>
  <c r="I172" i="26"/>
  <c r="I175" i="26"/>
  <c r="I171" i="26"/>
  <c r="I168" i="26"/>
  <c r="I35" i="26"/>
  <c r="I186" i="26"/>
  <c r="I187" i="26"/>
  <c r="I161" i="25"/>
  <c r="S162" i="25" s="1"/>
  <c r="AV119" i="25" s="1"/>
  <c r="I28" i="26"/>
  <c r="B41" i="14"/>
  <c r="K16" i="14"/>
  <c r="L67" i="26" s="1"/>
  <c r="U39" i="15"/>
  <c r="AC39" i="15" s="1"/>
  <c r="AG39" i="15" s="1"/>
  <c r="U57" i="15"/>
  <c r="AC57" i="15" s="1"/>
  <c r="AG57" i="15" s="1"/>
  <c r="D70" i="15"/>
  <c r="U19" i="15"/>
  <c r="AC19" i="15" s="1"/>
  <c r="AG19" i="15" s="1"/>
  <c r="AV168" i="25" l="1"/>
  <c r="AV146" i="25"/>
  <c r="AV109" i="25"/>
  <c r="AM48" i="25"/>
  <c r="AM70" i="25"/>
  <c r="AM11" i="25"/>
  <c r="AM21" i="25"/>
  <c r="AK55" i="15"/>
  <c r="AP56" i="15" s="1"/>
  <c r="AN64" i="15"/>
  <c r="I51" i="26" s="1"/>
  <c r="AK37" i="15"/>
  <c r="AP38" i="15" s="1"/>
  <c r="AN45" i="15"/>
  <c r="AR44" i="15" s="1"/>
  <c r="AK17" i="15"/>
  <c r="AP18" i="15" s="1"/>
  <c r="AN25" i="15"/>
  <c r="F33" i="18"/>
  <c r="I155" i="26"/>
  <c r="I63" i="25"/>
  <c r="S64" i="25" s="1"/>
  <c r="AV21" i="25" s="1"/>
  <c r="K20" i="25"/>
  <c r="K118" i="25"/>
  <c r="I184" i="26"/>
  <c r="I185" i="26"/>
  <c r="B14" i="3"/>
  <c r="B21" i="4"/>
  <c r="B20" i="4"/>
  <c r="D18" i="4"/>
  <c r="E19" i="4"/>
  <c r="V6" i="4"/>
  <c r="V5" i="4"/>
  <c r="U6" i="3"/>
  <c r="U5" i="3"/>
  <c r="AV70" i="25" l="1"/>
  <c r="AV48" i="25"/>
  <c r="AV11" i="25"/>
  <c r="AV20" i="15"/>
  <c r="AZ21" i="15" s="1"/>
  <c r="BD21" i="15" s="1"/>
  <c r="BJ22" i="15" s="1"/>
  <c r="AV57" i="15"/>
  <c r="AZ58" i="15" s="1"/>
  <c r="BD58" i="15" s="1"/>
  <c r="BJ58" i="15" s="1"/>
  <c r="BQ58" i="15" s="1"/>
  <c r="BW59" i="15" s="1"/>
  <c r="I54" i="26" s="1"/>
  <c r="I45" i="26"/>
  <c r="AV48" i="15"/>
  <c r="AZ49" i="15" s="1"/>
  <c r="BD50" i="15" s="1"/>
  <c r="BJ50" i="15" s="1"/>
  <c r="I47" i="26"/>
  <c r="AR24" i="15"/>
  <c r="I39" i="26"/>
  <c r="AV28" i="15"/>
  <c r="AZ29" i="15" s="1"/>
  <c r="BD29" i="15" s="1"/>
  <c r="BJ30" i="15" s="1"/>
  <c r="AR63" i="15"/>
  <c r="AV67" i="15"/>
  <c r="AZ68" i="15" s="1"/>
  <c r="BD69" i="15" s="1"/>
  <c r="BJ68" i="15" s="1"/>
  <c r="BQ68" i="15" s="1"/>
  <c r="BW69" i="15" s="1"/>
  <c r="I52" i="26" s="1"/>
  <c r="AV39" i="15"/>
  <c r="AZ40" i="15" s="1"/>
  <c r="BD40" i="15" s="1"/>
  <c r="BJ41" i="15" s="1"/>
  <c r="I53" i="26"/>
  <c r="I41" i="26"/>
  <c r="E18" i="4"/>
  <c r="E22" i="4"/>
  <c r="E21" i="4"/>
  <c r="E20" i="4"/>
  <c r="E23" i="4"/>
  <c r="E24" i="4"/>
  <c r="B22" i="4"/>
  <c r="B23" i="4"/>
  <c r="B24" i="4"/>
  <c r="B15" i="3"/>
  <c r="F13" i="3"/>
  <c r="F19" i="4"/>
  <c r="BQ29" i="15" l="1"/>
  <c r="BW30" i="15" s="1"/>
  <c r="I40" i="26" s="1"/>
  <c r="BQ40" i="15"/>
  <c r="BW41" i="15" s="1"/>
  <c r="I48" i="26" s="1"/>
  <c r="BQ49" i="15"/>
  <c r="BW50" i="15" s="1"/>
  <c r="I46" i="26" s="1"/>
  <c r="BQ21" i="15"/>
  <c r="BW22" i="15" s="1"/>
  <c r="I42" i="26" s="1"/>
  <c r="F16" i="3"/>
  <c r="F15" i="3"/>
  <c r="F17" i="3"/>
  <c r="F18" i="3"/>
  <c r="F14" i="3"/>
  <c r="F23" i="4"/>
  <c r="F24" i="4"/>
  <c r="F20" i="4"/>
  <c r="F21" i="4"/>
  <c r="F22" i="4"/>
  <c r="F18" i="4"/>
  <c r="B16" i="3"/>
  <c r="G13" i="3"/>
  <c r="F12" i="3"/>
  <c r="G19" i="4"/>
  <c r="G22" i="4" l="1"/>
  <c r="G21" i="4"/>
  <c r="G20" i="4"/>
  <c r="G23" i="4"/>
  <c r="G24" i="4"/>
  <c r="G15" i="3"/>
  <c r="G17" i="3"/>
  <c r="G16" i="3"/>
  <c r="G18" i="3"/>
  <c r="G14" i="3"/>
  <c r="G18" i="4"/>
  <c r="B17" i="3"/>
  <c r="H13" i="3"/>
  <c r="G12" i="3"/>
  <c r="H19" i="4"/>
  <c r="H22" i="4" l="1"/>
  <c r="H21" i="4"/>
  <c r="H20" i="4"/>
  <c r="H23" i="4"/>
  <c r="H24" i="4"/>
  <c r="H14" i="3"/>
  <c r="H16" i="3"/>
  <c r="H15" i="3"/>
  <c r="H17" i="3"/>
  <c r="H18" i="3"/>
  <c r="H18" i="4"/>
  <c r="B18" i="3"/>
  <c r="I13" i="3"/>
  <c r="H12" i="3"/>
  <c r="I19" i="4"/>
  <c r="I21" i="4" l="1"/>
  <c r="I20" i="4"/>
  <c r="I22" i="4"/>
  <c r="I23" i="4"/>
  <c r="I24" i="4"/>
  <c r="I16" i="3"/>
  <c r="I14" i="3"/>
  <c r="I17" i="3"/>
  <c r="I15" i="3"/>
  <c r="I18" i="3"/>
  <c r="I18" i="4"/>
  <c r="J13" i="3"/>
  <c r="I12" i="3"/>
  <c r="J19" i="4"/>
  <c r="J15" i="3" l="1"/>
  <c r="J18" i="3"/>
  <c r="J17" i="3"/>
  <c r="J14" i="3"/>
  <c r="J16" i="3"/>
  <c r="J20" i="4"/>
  <c r="J23" i="4"/>
  <c r="J24" i="4"/>
  <c r="J21" i="4"/>
  <c r="J22" i="4"/>
  <c r="J18" i="4"/>
  <c r="K13" i="3"/>
  <c r="J12" i="3"/>
  <c r="K19" i="4"/>
  <c r="K14" i="3" l="1"/>
  <c r="K16" i="3"/>
  <c r="K17" i="3"/>
  <c r="K18" i="3"/>
  <c r="K15" i="3"/>
  <c r="K20" i="4"/>
  <c r="K22" i="4"/>
  <c r="K23" i="4"/>
  <c r="K21" i="4"/>
  <c r="K24" i="4"/>
  <c r="K18" i="4"/>
  <c r="L13" i="3"/>
  <c r="K12" i="3"/>
  <c r="L19" i="4"/>
  <c r="L15" i="3" l="1"/>
  <c r="L14" i="3"/>
  <c r="L16" i="3"/>
  <c r="L17" i="3"/>
  <c r="L18" i="3"/>
  <c r="L20" i="4"/>
  <c r="L22" i="4"/>
  <c r="L23" i="4"/>
  <c r="L21" i="4"/>
  <c r="L24" i="4"/>
  <c r="L18" i="4"/>
  <c r="M13" i="3"/>
  <c r="L12" i="3"/>
  <c r="M19" i="4"/>
  <c r="M15" i="3" l="1"/>
  <c r="M17" i="3"/>
  <c r="M14" i="3"/>
  <c r="M18" i="3"/>
  <c r="M16" i="3"/>
  <c r="M20" i="4"/>
  <c r="M22" i="4"/>
  <c r="M21" i="4"/>
  <c r="M23" i="4"/>
  <c r="M24" i="4"/>
  <c r="M18" i="4"/>
  <c r="M12" i="3"/>
  <c r="N13" i="3"/>
  <c r="N19" i="4"/>
  <c r="N15" i="3" l="1"/>
  <c r="N17" i="3"/>
  <c r="N16" i="3"/>
  <c r="N14" i="3"/>
  <c r="N18" i="3"/>
  <c r="N23" i="4"/>
  <c r="N24" i="4"/>
  <c r="N22" i="4"/>
  <c r="N21" i="4"/>
  <c r="N20" i="4"/>
  <c r="N18" i="4"/>
  <c r="N12" i="3"/>
  <c r="O13" i="3"/>
  <c r="O19" i="4"/>
  <c r="O17" i="3" l="1"/>
  <c r="O16" i="3"/>
  <c r="O14" i="3"/>
  <c r="O18" i="3"/>
  <c r="O15" i="3"/>
  <c r="O21" i="4"/>
  <c r="O20" i="4"/>
  <c r="O22" i="4"/>
  <c r="O24" i="4"/>
  <c r="O23" i="4"/>
  <c r="O18" i="4"/>
  <c r="O12" i="3"/>
  <c r="P13" i="3"/>
  <c r="P19" i="4"/>
  <c r="P21" i="4" l="1"/>
  <c r="P20" i="4"/>
  <c r="P23" i="4"/>
  <c r="P22" i="4"/>
  <c r="P24" i="4"/>
  <c r="P15" i="3"/>
  <c r="P16" i="3"/>
  <c r="P17" i="3"/>
  <c r="P18" i="3"/>
  <c r="P14" i="3"/>
  <c r="P18" i="4"/>
  <c r="P12" i="3"/>
  <c r="Q13" i="3"/>
  <c r="Q19" i="4"/>
  <c r="Q22" i="4" l="1"/>
  <c r="Q21" i="4"/>
  <c r="Q20" i="4"/>
  <c r="Q23" i="4"/>
  <c r="Q24" i="4"/>
  <c r="Q16" i="3"/>
  <c r="Q17" i="3"/>
  <c r="Q18" i="3"/>
  <c r="Q15" i="3"/>
  <c r="Q14" i="3"/>
  <c r="Q18" i="4"/>
  <c r="Q12" i="3"/>
  <c r="R13" i="3"/>
  <c r="R19" i="4"/>
  <c r="R15" i="3" l="1"/>
  <c r="R16" i="3"/>
  <c r="R18" i="3"/>
  <c r="R17" i="3"/>
  <c r="R14" i="3"/>
  <c r="R23" i="4"/>
  <c r="R24" i="4"/>
  <c r="R20" i="4"/>
  <c r="R22" i="4"/>
  <c r="R21" i="4"/>
  <c r="R18" i="4"/>
  <c r="R12" i="3"/>
  <c r="S13" i="3"/>
  <c r="S19" i="4"/>
  <c r="S14" i="3" l="1"/>
  <c r="S16" i="3"/>
  <c r="S18" i="3"/>
  <c r="S17" i="3"/>
  <c r="S15" i="3"/>
  <c r="S22" i="4"/>
  <c r="S21" i="4"/>
  <c r="S20" i="4"/>
  <c r="S23" i="4"/>
  <c r="S24" i="4"/>
  <c r="S18" i="4"/>
  <c r="S12" i="3"/>
  <c r="T13" i="3"/>
  <c r="T19" i="4"/>
  <c r="T15" i="3" l="1"/>
  <c r="T14" i="3"/>
  <c r="T16" i="3"/>
  <c r="T18" i="3"/>
  <c r="T17" i="3"/>
  <c r="T22" i="4"/>
  <c r="T21" i="4"/>
  <c r="T20" i="4"/>
  <c r="T23" i="4"/>
  <c r="T24" i="4"/>
  <c r="T18" i="4"/>
  <c r="T12" i="3"/>
  <c r="U13" i="3"/>
  <c r="U19" i="4"/>
  <c r="U20" i="4" l="1"/>
  <c r="U22" i="4"/>
  <c r="U21" i="4"/>
  <c r="U23" i="4"/>
  <c r="U24" i="4"/>
  <c r="U15" i="3"/>
  <c r="U17" i="3"/>
  <c r="U14" i="3"/>
  <c r="U16" i="3"/>
  <c r="U18" i="3"/>
  <c r="U18" i="4"/>
  <c r="U12" i="3"/>
  <c r="V13" i="3"/>
  <c r="V19" i="4"/>
  <c r="V18" i="3" l="1"/>
  <c r="V16" i="3"/>
  <c r="V14" i="3"/>
  <c r="V17" i="3"/>
  <c r="V15" i="3"/>
  <c r="V23" i="4"/>
  <c r="V24" i="4"/>
  <c r="V20" i="4"/>
  <c r="V22" i="4"/>
  <c r="V21" i="4"/>
  <c r="V18" i="4"/>
  <c r="V12" i="3"/>
  <c r="W13" i="3"/>
  <c r="W19" i="4"/>
  <c r="W14" i="3" l="1"/>
  <c r="W16" i="3"/>
  <c r="W17" i="3"/>
  <c r="W18" i="3"/>
  <c r="W15" i="3"/>
  <c r="W22" i="4"/>
  <c r="W21" i="4"/>
  <c r="W20" i="4"/>
  <c r="W24" i="4"/>
  <c r="W23" i="4"/>
  <c r="W18" i="4"/>
  <c r="W12" i="3"/>
  <c r="X13" i="3"/>
  <c r="X19" i="4"/>
  <c r="X22" i="4" l="1"/>
  <c r="X21" i="4"/>
  <c r="X20" i="4"/>
  <c r="X23" i="4"/>
  <c r="X24" i="4"/>
  <c r="X17" i="3"/>
  <c r="X18" i="3"/>
  <c r="X14" i="3"/>
  <c r="X15" i="3"/>
  <c r="X16" i="3"/>
  <c r="X18" i="4"/>
  <c r="X12" i="3"/>
  <c r="Y13" i="3"/>
  <c r="Y19" i="4"/>
  <c r="Y22" i="4" l="1"/>
  <c r="Y21" i="4"/>
  <c r="Y20" i="4"/>
  <c r="Y24" i="4"/>
  <c r="Y23" i="4"/>
  <c r="Y16" i="3"/>
  <c r="Y14" i="3"/>
  <c r="Y17" i="3"/>
  <c r="Y18" i="3"/>
  <c r="Y15" i="3"/>
  <c r="Y18" i="4"/>
  <c r="Y12" i="3"/>
  <c r="Z13" i="3"/>
  <c r="Z19" i="4"/>
  <c r="Z23" i="4" l="1"/>
  <c r="Z24" i="4"/>
  <c r="Z21" i="4"/>
  <c r="Z20" i="4"/>
  <c r="Z22" i="4"/>
  <c r="Z18" i="3"/>
  <c r="Z14" i="3"/>
  <c r="Z16" i="3"/>
  <c r="Z17" i="3"/>
  <c r="Z15" i="3"/>
  <c r="Z18" i="4"/>
  <c r="Z12" i="3"/>
  <c r="AA13" i="3"/>
  <c r="AA19" i="4"/>
  <c r="AA20" i="4" l="1"/>
  <c r="AA22" i="4"/>
  <c r="AA21" i="4"/>
  <c r="AA23" i="4"/>
  <c r="AA24" i="4"/>
  <c r="AA18" i="3"/>
  <c r="AA16" i="3"/>
  <c r="AA17" i="3"/>
  <c r="AA15" i="3"/>
  <c r="AA14" i="3"/>
  <c r="AA18" i="4"/>
  <c r="AA12" i="3"/>
  <c r="AB13" i="3"/>
  <c r="AB19" i="4"/>
  <c r="AB20" i="4" l="1"/>
  <c r="AB22" i="4"/>
  <c r="AB23" i="4"/>
  <c r="AB21" i="4"/>
  <c r="AB24" i="4"/>
  <c r="AB18" i="3"/>
  <c r="AB17" i="3"/>
  <c r="AB15" i="3"/>
  <c r="AB14" i="3"/>
  <c r="AB16" i="3"/>
  <c r="AB18" i="4"/>
  <c r="AB12" i="3"/>
  <c r="AC13" i="3"/>
  <c r="AC19" i="4"/>
  <c r="AC21" i="4" l="1"/>
  <c r="AC20" i="4"/>
  <c r="AC22" i="4"/>
  <c r="AC24" i="4"/>
  <c r="AC23" i="4"/>
  <c r="AC15" i="3"/>
  <c r="AC16" i="3"/>
  <c r="AC18" i="3"/>
  <c r="AC14" i="3"/>
  <c r="AC17" i="3"/>
  <c r="AC18" i="4"/>
  <c r="AC12" i="3"/>
  <c r="AD13" i="3"/>
  <c r="AD19" i="4"/>
  <c r="AD22" i="4" l="1"/>
  <c r="AD23" i="4"/>
  <c r="AD24" i="4"/>
  <c r="AD21" i="4"/>
  <c r="AD20" i="4"/>
  <c r="AD15" i="3"/>
  <c r="AD17" i="3"/>
  <c r="AD14" i="3"/>
  <c r="AD16" i="3"/>
  <c r="AD18" i="3"/>
  <c r="AD18" i="4"/>
  <c r="AD12" i="3"/>
  <c r="AE13" i="3"/>
  <c r="AE19" i="4"/>
  <c r="AE17" i="3" l="1"/>
  <c r="AE15" i="3"/>
  <c r="AE14" i="3"/>
  <c r="AE16" i="3"/>
  <c r="AE18" i="3"/>
  <c r="AE21" i="4"/>
  <c r="AE20" i="4"/>
  <c r="AE22" i="4"/>
  <c r="AE23" i="4"/>
  <c r="AE24" i="4"/>
  <c r="AE18" i="4"/>
  <c r="AE12" i="3"/>
  <c r="AF13" i="3"/>
  <c r="AF19" i="4"/>
  <c r="AF21" i="4" l="1"/>
  <c r="AF20" i="4"/>
  <c r="AF23" i="4"/>
  <c r="AF22" i="4"/>
  <c r="AF24" i="4"/>
  <c r="AF14" i="3"/>
  <c r="AF15" i="3"/>
  <c r="AF17" i="3"/>
  <c r="AF18" i="3"/>
  <c r="AF16" i="3"/>
  <c r="AF18" i="4"/>
  <c r="AF12" i="3"/>
  <c r="AG13" i="3"/>
  <c r="AG19" i="4"/>
  <c r="AG22" i="4" l="1"/>
  <c r="AG21" i="4"/>
  <c r="AG20" i="4"/>
  <c r="AG24" i="4"/>
  <c r="AG23" i="4"/>
  <c r="AG14" i="3"/>
  <c r="AG16" i="3"/>
  <c r="AG15" i="3"/>
  <c r="AG17" i="3"/>
  <c r="AG18" i="3"/>
  <c r="AG18" i="4"/>
  <c r="AG12" i="3"/>
  <c r="AH13" i="3"/>
  <c r="AH19" i="4"/>
  <c r="AH23" i="4" l="1"/>
  <c r="AH24" i="4"/>
  <c r="AH21" i="4"/>
  <c r="AH20" i="4"/>
  <c r="AH22" i="4"/>
  <c r="AH18" i="3"/>
  <c r="AH17" i="3"/>
  <c r="AH15" i="3"/>
  <c r="AH16" i="3"/>
  <c r="AH14" i="3"/>
  <c r="AH18" i="4"/>
  <c r="AH12" i="3"/>
  <c r="AI13" i="3"/>
  <c r="AI19" i="4"/>
  <c r="AI15" i="3" l="1"/>
  <c r="AI14" i="3"/>
  <c r="AI16" i="3"/>
  <c r="AI17" i="3"/>
  <c r="AI18" i="3"/>
  <c r="AI22" i="4"/>
  <c r="AI21" i="4"/>
  <c r="AI20" i="4"/>
  <c r="AI23" i="4"/>
  <c r="AI24" i="4"/>
  <c r="AI18" i="4"/>
  <c r="AI12" i="3"/>
  <c r="AJ13" i="3"/>
  <c r="AJ19" i="4"/>
  <c r="AJ22" i="4" l="1"/>
  <c r="AJ21" i="4"/>
  <c r="AJ20" i="4"/>
  <c r="AJ23" i="4"/>
  <c r="AJ24" i="4"/>
  <c r="AJ17" i="3"/>
  <c r="AJ14" i="3"/>
  <c r="AJ15" i="3"/>
  <c r="AJ18" i="3"/>
  <c r="AJ16" i="3"/>
  <c r="AJ18" i="4"/>
  <c r="AJ12" i="3"/>
  <c r="AK13" i="3"/>
  <c r="AK19" i="4"/>
  <c r="AK22" i="4" l="1"/>
  <c r="AK21" i="4"/>
  <c r="AK20" i="4"/>
  <c r="AK23" i="4"/>
  <c r="AK24" i="4"/>
  <c r="AK15" i="3"/>
  <c r="AK18" i="3"/>
  <c r="AK14" i="3"/>
  <c r="AK16" i="3"/>
  <c r="AK17" i="3"/>
  <c r="AK18" i="4"/>
  <c r="AK12" i="3"/>
  <c r="AL13" i="3"/>
  <c r="AL19" i="4"/>
  <c r="AL23" i="4" l="1"/>
  <c r="AL24" i="4"/>
  <c r="AL20" i="4"/>
  <c r="AL22" i="4"/>
  <c r="AL21" i="4"/>
  <c r="AL17" i="3"/>
  <c r="AL16" i="3"/>
  <c r="AL14" i="3"/>
  <c r="AL18" i="3"/>
  <c r="AL15" i="3"/>
  <c r="AL18" i="4"/>
  <c r="AL12" i="3"/>
  <c r="AM13" i="3"/>
  <c r="AM19" i="4"/>
  <c r="AM22" i="4" l="1"/>
  <c r="AM21" i="4"/>
  <c r="AM20" i="4"/>
  <c r="AM23" i="4"/>
  <c r="AM24" i="4"/>
  <c r="AM17" i="3"/>
  <c r="AM15" i="3"/>
  <c r="AM18" i="3"/>
  <c r="AM14" i="3"/>
  <c r="AM16" i="3"/>
  <c r="AM18" i="4"/>
  <c r="AM12" i="3"/>
  <c r="AN13" i="3"/>
  <c r="AN19" i="4"/>
  <c r="AN22" i="4" l="1"/>
  <c r="AN21" i="4"/>
  <c r="AN20" i="4"/>
  <c r="AN23" i="4"/>
  <c r="AN24" i="4"/>
  <c r="AN14" i="3"/>
  <c r="AN17" i="3"/>
  <c r="AN16" i="3"/>
  <c r="AN15" i="3"/>
  <c r="AN18" i="3"/>
  <c r="AN18" i="4"/>
  <c r="AN12" i="3"/>
  <c r="AO13" i="3"/>
  <c r="AO19" i="4"/>
  <c r="AO21" i="4" l="1"/>
  <c r="AO20" i="4"/>
  <c r="AO22" i="4"/>
  <c r="AO23" i="4"/>
  <c r="AO24" i="4"/>
  <c r="AO16" i="3"/>
  <c r="AO14" i="3"/>
  <c r="AO17" i="3"/>
  <c r="AO15" i="3"/>
  <c r="AO18" i="3"/>
  <c r="AO18" i="4"/>
  <c r="AO12" i="3"/>
  <c r="AP13" i="3"/>
  <c r="AP19" i="4"/>
  <c r="AP21" i="4" l="1"/>
  <c r="AP23" i="4"/>
  <c r="AP24" i="4"/>
  <c r="AP20" i="4"/>
  <c r="AP22" i="4"/>
  <c r="AP15" i="3"/>
  <c r="AP18" i="3"/>
  <c r="AP16" i="3"/>
  <c r="AP14" i="3"/>
  <c r="AP17" i="3"/>
  <c r="AP18" i="4"/>
  <c r="AP12" i="3"/>
  <c r="AQ13" i="3"/>
  <c r="AQ19" i="4"/>
  <c r="AQ20" i="4" l="1"/>
  <c r="AQ22" i="4"/>
  <c r="AQ21" i="4"/>
  <c r="AQ23" i="4"/>
  <c r="AQ24" i="4"/>
  <c r="AQ14" i="3"/>
  <c r="AQ16" i="3"/>
  <c r="AQ17" i="3"/>
  <c r="AQ15" i="3"/>
  <c r="AQ18" i="3"/>
  <c r="AQ18" i="4"/>
  <c r="AQ12" i="3"/>
  <c r="AR13" i="3"/>
  <c r="AR19" i="4"/>
  <c r="AR20" i="4" l="1"/>
  <c r="AR22" i="4"/>
  <c r="AR23" i="4"/>
  <c r="AR21" i="4"/>
  <c r="AR24" i="4"/>
  <c r="AR16" i="3"/>
  <c r="AR17" i="3"/>
  <c r="AR15" i="3"/>
  <c r="AR18" i="3"/>
  <c r="AR14" i="3"/>
  <c r="AR18" i="4"/>
  <c r="AR12" i="3"/>
  <c r="AS13" i="3"/>
  <c r="AS19" i="4"/>
  <c r="AS22" i="4" l="1"/>
  <c r="AS21" i="4"/>
  <c r="AS20" i="4"/>
  <c r="AS23" i="4"/>
  <c r="AS24" i="4"/>
  <c r="AS18" i="3"/>
  <c r="AS17" i="3"/>
  <c r="AS16" i="3"/>
  <c r="AS15" i="3"/>
  <c r="AS14" i="3"/>
  <c r="AS18" i="4"/>
  <c r="AS12" i="3"/>
  <c r="AT13" i="3"/>
  <c r="AT19" i="4"/>
  <c r="AT22" i="4" l="1"/>
  <c r="AT23" i="4"/>
  <c r="AT24" i="4"/>
  <c r="AT20" i="4"/>
  <c r="AT21" i="4"/>
  <c r="AT15" i="3"/>
  <c r="AT17" i="3"/>
  <c r="AT14" i="3"/>
  <c r="AT16" i="3"/>
  <c r="AT18" i="3"/>
  <c r="AT18" i="4"/>
  <c r="AT12" i="3"/>
  <c r="AU13" i="3"/>
  <c r="AU19" i="4"/>
  <c r="AU21" i="4" l="1"/>
  <c r="AU20" i="4"/>
  <c r="AU22" i="4"/>
  <c r="AU24" i="4"/>
  <c r="AU23" i="4"/>
  <c r="AU16" i="3"/>
  <c r="AU18" i="3"/>
  <c r="AU15" i="3"/>
  <c r="AU17" i="3"/>
  <c r="AU14" i="3"/>
  <c r="AU18" i="4"/>
  <c r="AU12" i="3"/>
  <c r="AV13" i="3"/>
  <c r="AV19" i="4"/>
  <c r="AV21" i="4" l="1"/>
  <c r="AV20" i="4"/>
  <c r="AV22" i="4"/>
  <c r="AV23" i="4"/>
  <c r="AV24" i="4"/>
  <c r="AV16" i="3"/>
  <c r="AV18" i="3"/>
  <c r="AV17" i="3"/>
  <c r="AV15" i="3"/>
  <c r="AV14" i="3"/>
  <c r="AV18" i="4"/>
  <c r="AV12" i="3"/>
  <c r="AW13" i="3"/>
  <c r="AW19" i="4"/>
  <c r="AW21" i="4" l="1"/>
  <c r="AW22" i="4"/>
  <c r="AW20" i="4"/>
  <c r="AW23" i="4"/>
  <c r="AW24" i="4"/>
  <c r="AW18" i="3"/>
  <c r="AW16" i="3"/>
  <c r="AW14" i="3"/>
  <c r="AW17" i="3"/>
  <c r="AW15" i="3"/>
  <c r="AW18" i="4"/>
  <c r="AW12" i="3"/>
  <c r="AX13" i="3"/>
  <c r="AX19" i="4"/>
  <c r="AX23" i="4" l="1"/>
  <c r="AX24" i="4"/>
  <c r="AX22" i="4"/>
  <c r="AX21" i="4"/>
  <c r="AX20" i="4"/>
  <c r="AX15" i="3"/>
  <c r="AX18" i="3"/>
  <c r="AX17" i="3"/>
  <c r="AX16" i="3"/>
  <c r="AX14" i="3"/>
  <c r="AX18" i="4"/>
  <c r="AX12" i="3"/>
  <c r="AY13" i="3"/>
  <c r="AY19" i="4"/>
  <c r="AY22" i="4" l="1"/>
  <c r="AY21" i="4"/>
  <c r="AY20" i="4"/>
  <c r="AY23" i="4"/>
  <c r="AY24" i="4"/>
  <c r="AY16" i="3"/>
  <c r="AY15" i="3"/>
  <c r="AY17" i="3"/>
  <c r="AY14" i="3"/>
  <c r="AY18" i="3"/>
  <c r="AY18" i="4"/>
  <c r="AY12" i="3"/>
  <c r="AZ13" i="3"/>
  <c r="AZ19" i="4"/>
  <c r="AZ22" i="4" l="1"/>
  <c r="AZ21" i="4"/>
  <c r="AZ20" i="4"/>
  <c r="AZ23" i="4"/>
  <c r="AZ24" i="4"/>
  <c r="AZ15" i="3"/>
  <c r="AZ14" i="3"/>
  <c r="AZ17" i="3"/>
  <c r="AZ18" i="3"/>
  <c r="AZ16" i="3"/>
  <c r="AZ18" i="4"/>
  <c r="AZ12" i="3"/>
  <c r="BA13" i="3"/>
  <c r="BA19" i="4"/>
  <c r="BA20" i="4" l="1"/>
  <c r="BA22" i="4"/>
  <c r="BA21" i="4"/>
  <c r="BA23" i="4"/>
  <c r="BA24" i="4"/>
  <c r="BA15" i="3"/>
  <c r="BA17" i="3"/>
  <c r="BA18" i="3"/>
  <c r="BA14" i="3"/>
  <c r="BA16" i="3"/>
  <c r="BA18" i="4"/>
  <c r="BA12" i="3"/>
  <c r="BB13" i="3"/>
  <c r="BB19" i="4"/>
  <c r="BB23" i="4" l="1"/>
  <c r="BB20" i="4"/>
  <c r="BB24" i="4"/>
  <c r="BB21" i="4"/>
  <c r="BB22" i="4"/>
  <c r="BB15" i="3"/>
  <c r="BB17" i="3"/>
  <c r="BB18" i="3"/>
  <c r="BB14" i="3"/>
  <c r="BB16" i="3"/>
  <c r="BB18" i="4"/>
  <c r="BB12" i="3"/>
  <c r="BC13" i="3"/>
  <c r="BC19" i="4"/>
  <c r="BC22" i="4" l="1"/>
  <c r="BC21" i="4"/>
  <c r="BC20" i="4"/>
  <c r="BC24" i="4"/>
  <c r="BC23" i="4"/>
  <c r="BC17" i="3"/>
  <c r="BC18" i="3"/>
  <c r="BC15" i="3"/>
  <c r="BC14" i="3"/>
  <c r="BC16" i="3"/>
  <c r="BC18" i="4"/>
  <c r="BC12" i="3"/>
  <c r="BD13" i="3"/>
  <c r="BD19" i="4"/>
  <c r="BD22" i="4" l="1"/>
  <c r="BD21" i="4"/>
  <c r="BD20" i="4"/>
  <c r="BD23" i="4"/>
  <c r="BD24" i="4"/>
  <c r="BD15" i="3"/>
  <c r="BD17" i="3"/>
  <c r="BD14" i="3"/>
  <c r="BD16" i="3"/>
  <c r="BD18" i="3"/>
  <c r="BD18" i="4"/>
  <c r="BD12" i="3"/>
  <c r="BE13" i="3"/>
  <c r="BE19" i="4"/>
  <c r="BE21" i="4" l="1"/>
  <c r="BE22" i="4"/>
  <c r="BE20" i="4"/>
  <c r="BE24" i="4"/>
  <c r="BE23" i="4"/>
  <c r="BE17" i="3"/>
  <c r="BE16" i="3"/>
  <c r="BE14" i="3"/>
  <c r="BE15" i="3"/>
  <c r="BE18" i="3"/>
  <c r="BE18" i="4"/>
  <c r="BE12" i="3"/>
  <c r="BF13" i="3"/>
  <c r="BF19" i="4"/>
  <c r="BF23" i="4" l="1"/>
  <c r="BF21" i="4"/>
  <c r="BF24" i="4"/>
  <c r="BF20" i="4"/>
  <c r="BF22" i="4"/>
  <c r="BF18" i="3"/>
  <c r="BF16" i="3"/>
  <c r="BF15" i="3"/>
  <c r="BF14" i="3"/>
  <c r="BF17" i="3"/>
  <c r="BF18" i="4"/>
  <c r="BF12" i="3"/>
  <c r="BG13" i="3"/>
  <c r="BG19" i="4"/>
  <c r="BG18" i="3" l="1"/>
  <c r="BG16" i="3"/>
  <c r="BG14" i="3"/>
  <c r="BG17" i="3"/>
  <c r="BG15" i="3"/>
  <c r="BG20" i="4"/>
  <c r="BG22" i="4"/>
  <c r="BG21" i="4"/>
  <c r="BG23" i="4"/>
  <c r="BG24" i="4"/>
  <c r="BG18" i="4"/>
  <c r="BG12" i="3"/>
  <c r="BH13" i="3"/>
  <c r="BH19" i="4"/>
  <c r="BH14" i="3" l="1"/>
  <c r="BH16" i="3"/>
  <c r="BH15" i="3"/>
  <c r="BH17" i="3"/>
  <c r="BH18" i="3"/>
  <c r="BH20" i="4"/>
  <c r="BH22" i="4"/>
  <c r="BH21" i="4"/>
  <c r="BH23" i="4"/>
  <c r="BH24" i="4"/>
  <c r="BH18" i="4"/>
  <c r="BH12" i="3"/>
  <c r="BI13" i="3"/>
  <c r="BI19" i="4"/>
  <c r="BI20" i="4" l="1"/>
  <c r="BI21" i="4"/>
  <c r="BI22" i="4"/>
  <c r="BI24" i="4"/>
  <c r="BI23" i="4"/>
  <c r="BI15" i="3"/>
  <c r="BI16" i="3"/>
  <c r="BI17" i="3"/>
  <c r="BI18" i="3"/>
  <c r="BI14" i="3"/>
  <c r="BI18" i="4"/>
  <c r="BI12" i="3"/>
  <c r="BJ13" i="3"/>
  <c r="BJ19" i="4"/>
  <c r="BJ17" i="3" l="1"/>
  <c r="BJ14" i="3"/>
  <c r="BJ16" i="3"/>
  <c r="BJ18" i="3"/>
  <c r="BJ15" i="3"/>
  <c r="BJ23" i="4"/>
  <c r="BJ22" i="4"/>
  <c r="BJ24" i="4"/>
  <c r="BJ21" i="4"/>
  <c r="BJ20" i="4"/>
  <c r="BJ18" i="4"/>
  <c r="BJ12" i="3"/>
  <c r="BK13" i="3"/>
  <c r="BK19" i="4"/>
  <c r="BK21" i="4" l="1"/>
  <c r="BK20" i="4"/>
  <c r="BK22" i="4"/>
  <c r="BK23" i="4"/>
  <c r="BK24" i="4"/>
  <c r="BK17" i="3"/>
  <c r="BK14" i="3"/>
  <c r="BK15" i="3"/>
  <c r="BK18" i="3"/>
  <c r="BK16" i="3"/>
  <c r="BK18" i="4"/>
  <c r="BK12" i="3"/>
  <c r="BL13" i="3"/>
  <c r="BL19" i="4"/>
  <c r="BL21" i="4" l="1"/>
  <c r="BL20" i="4"/>
  <c r="BL23" i="4"/>
  <c r="BL22" i="4"/>
  <c r="BL24" i="4"/>
  <c r="BL17" i="3"/>
  <c r="BL14" i="3"/>
  <c r="BL16" i="3"/>
  <c r="BL15" i="3"/>
  <c r="BL18" i="3"/>
  <c r="BL18" i="4"/>
  <c r="BL12" i="3"/>
  <c r="BM13" i="3"/>
  <c r="BM19" i="4"/>
  <c r="BM21" i="4" l="1"/>
  <c r="BM20" i="4"/>
  <c r="BM22" i="4"/>
  <c r="BM24" i="4"/>
  <c r="BM23" i="4"/>
  <c r="BM17" i="3"/>
  <c r="BM14" i="3"/>
  <c r="BM18" i="3"/>
  <c r="BM16" i="3"/>
  <c r="BM15" i="3"/>
  <c r="BM18" i="4"/>
  <c r="BM12" i="3"/>
  <c r="BN13" i="3"/>
  <c r="BN19" i="4"/>
  <c r="BN22" i="4" l="1"/>
  <c r="BN23" i="4"/>
  <c r="BN24" i="4"/>
  <c r="BN20" i="4"/>
  <c r="BN21" i="4"/>
  <c r="BN18" i="3"/>
  <c r="BN16" i="3"/>
  <c r="BN14" i="3"/>
  <c r="BN15" i="3"/>
  <c r="BN17" i="3"/>
  <c r="BN18" i="4"/>
  <c r="BN12" i="3"/>
  <c r="BO13" i="3"/>
  <c r="BO19" i="4"/>
  <c r="BO21" i="4" l="1"/>
  <c r="BO20" i="4"/>
  <c r="BO23" i="4"/>
  <c r="BO24" i="4"/>
  <c r="BO22" i="4"/>
  <c r="BO18" i="3"/>
  <c r="BO16" i="3"/>
  <c r="BO14" i="3"/>
  <c r="BO17" i="3"/>
  <c r="BO15" i="3"/>
  <c r="BO18" i="4"/>
  <c r="BO12" i="3"/>
  <c r="BP13" i="3"/>
  <c r="BP19" i="4"/>
  <c r="BP21" i="4" l="1"/>
  <c r="BP20" i="4"/>
  <c r="BP23" i="4"/>
  <c r="BP22" i="4"/>
  <c r="BP24" i="4"/>
  <c r="BP14" i="3"/>
  <c r="BP15" i="3"/>
  <c r="BP17" i="3"/>
  <c r="BP16" i="3"/>
  <c r="BP18" i="3"/>
  <c r="BP18" i="4"/>
  <c r="BP12" i="3"/>
  <c r="BQ13" i="3"/>
  <c r="BQ19" i="4"/>
  <c r="BQ20" i="4" l="1"/>
  <c r="BQ21" i="4"/>
  <c r="BQ22" i="4"/>
  <c r="BQ23" i="4"/>
  <c r="BQ24" i="4"/>
  <c r="BQ16" i="3"/>
  <c r="BQ14" i="3"/>
  <c r="BQ15" i="3"/>
  <c r="BQ18" i="3"/>
  <c r="BQ17" i="3"/>
  <c r="BQ18" i="4"/>
  <c r="BQ12" i="3"/>
  <c r="BR13" i="3"/>
  <c r="BR19" i="4"/>
  <c r="BR15" i="3" l="1"/>
  <c r="BR17" i="3"/>
  <c r="BR16" i="3"/>
  <c r="BR18" i="3"/>
  <c r="BR14" i="3"/>
  <c r="BR23" i="4"/>
  <c r="BR24" i="4"/>
  <c r="BR22" i="4"/>
  <c r="BR20" i="4"/>
  <c r="BR21" i="4"/>
  <c r="BR18" i="4"/>
  <c r="BR12" i="3"/>
  <c r="BS13" i="3"/>
  <c r="BS19" i="4"/>
  <c r="BS21" i="4" l="1"/>
  <c r="BS20" i="4"/>
  <c r="BS22" i="4"/>
  <c r="BS23" i="4"/>
  <c r="BS24" i="4"/>
  <c r="BS15" i="3"/>
  <c r="BS14" i="3"/>
  <c r="BS17" i="3"/>
  <c r="BS18" i="3"/>
  <c r="BS16" i="3"/>
  <c r="BS18" i="4"/>
  <c r="BS12" i="3"/>
  <c r="BT13" i="3"/>
  <c r="BT19" i="4"/>
  <c r="BT21" i="4" l="1"/>
  <c r="BT20" i="4"/>
  <c r="BT22" i="4"/>
  <c r="BT23" i="4"/>
  <c r="BT24" i="4"/>
  <c r="BT14" i="3"/>
  <c r="BT15" i="3"/>
  <c r="BT17" i="3"/>
  <c r="BT16" i="3"/>
  <c r="BT18" i="3"/>
  <c r="BT18" i="4"/>
  <c r="BT12" i="3"/>
  <c r="BU13" i="3"/>
  <c r="BU19" i="4"/>
  <c r="BU20" i="4" l="1"/>
  <c r="BU21" i="4"/>
  <c r="BU23" i="4"/>
  <c r="BU24" i="4"/>
  <c r="BU22" i="4"/>
  <c r="BU14" i="3"/>
  <c r="BU16" i="3"/>
  <c r="BU15" i="3"/>
  <c r="BU18" i="3"/>
  <c r="BU17" i="3"/>
  <c r="BU18" i="4"/>
  <c r="BU12" i="3"/>
  <c r="BV13" i="3"/>
  <c r="BV19" i="4"/>
  <c r="BV15" i="3" l="1"/>
  <c r="BV17" i="3"/>
  <c r="BV18" i="3"/>
  <c r="BV16" i="3"/>
  <c r="BV14" i="3"/>
  <c r="BV20" i="4"/>
  <c r="BV23" i="4"/>
  <c r="BV24" i="4"/>
  <c r="BV22" i="4"/>
  <c r="BV21" i="4"/>
  <c r="BV18" i="4"/>
  <c r="BV12" i="3"/>
  <c r="BW13" i="3"/>
  <c r="BW19" i="4"/>
  <c r="BW20" i="4" l="1"/>
  <c r="BW23" i="4"/>
  <c r="BW21" i="4"/>
  <c r="BW24" i="4"/>
  <c r="BW22" i="4"/>
  <c r="BW16" i="3"/>
  <c r="BW14" i="3"/>
  <c r="BW17" i="3"/>
  <c r="BW15" i="3"/>
  <c r="BW18" i="3"/>
  <c r="BW18" i="4"/>
  <c r="BW12" i="3"/>
  <c r="BX13" i="3"/>
  <c r="BX19" i="4"/>
  <c r="BX20" i="4" l="1"/>
  <c r="BX23" i="4"/>
  <c r="BX21" i="4"/>
  <c r="BX22" i="4"/>
  <c r="BX24" i="4"/>
  <c r="BX16" i="3"/>
  <c r="BX17" i="3"/>
  <c r="BX18" i="3"/>
  <c r="BX15" i="3"/>
  <c r="BX14" i="3"/>
  <c r="BX18" i="4"/>
  <c r="BX12" i="3"/>
  <c r="BY13" i="3"/>
  <c r="BY19" i="4"/>
  <c r="BY20" i="4" l="1"/>
  <c r="BY21" i="4"/>
  <c r="BY23" i="4"/>
  <c r="BY24" i="4"/>
  <c r="BY22" i="4"/>
  <c r="BY15" i="3"/>
  <c r="BY18" i="3"/>
  <c r="BY16" i="3"/>
  <c r="BY17" i="3"/>
  <c r="BY14" i="3"/>
  <c r="BY18" i="4"/>
  <c r="BY12" i="3"/>
  <c r="BZ13" i="3"/>
  <c r="BZ19" i="4"/>
  <c r="BZ23" i="4" l="1"/>
  <c r="BZ24" i="4"/>
  <c r="BZ22" i="4"/>
  <c r="BZ21" i="4"/>
  <c r="BZ20" i="4"/>
  <c r="BZ16" i="3"/>
  <c r="BZ17" i="3"/>
  <c r="BZ14" i="3"/>
  <c r="BZ18" i="3"/>
  <c r="BZ15" i="3"/>
  <c r="BZ18" i="4"/>
  <c r="BZ12" i="3"/>
  <c r="CA13" i="3"/>
  <c r="CA19" i="4"/>
  <c r="CA21" i="4" l="1"/>
  <c r="CA20" i="4"/>
  <c r="CA22" i="4"/>
  <c r="CA24" i="4"/>
  <c r="CA23" i="4"/>
  <c r="CA18" i="3"/>
  <c r="CA14" i="3"/>
  <c r="CA16" i="3"/>
  <c r="CA17" i="3"/>
  <c r="CA15" i="3"/>
  <c r="CA18" i="4"/>
  <c r="CA12" i="3"/>
  <c r="CB13" i="3"/>
  <c r="CB19" i="4"/>
  <c r="CB16" i="3" l="1"/>
  <c r="CB17" i="3"/>
  <c r="CB18" i="3"/>
  <c r="CB15" i="3"/>
  <c r="CB14" i="3"/>
  <c r="CB21" i="4"/>
  <c r="CB20" i="4"/>
  <c r="CB23" i="4"/>
  <c r="CB22" i="4"/>
  <c r="CB24" i="4"/>
  <c r="CB18" i="4"/>
  <c r="CB12" i="3"/>
  <c r="CC13" i="3"/>
  <c r="CC19" i="4"/>
  <c r="CC18" i="3" l="1"/>
  <c r="CC14" i="3"/>
  <c r="CC17" i="3"/>
  <c r="CC15" i="3"/>
  <c r="CC16" i="3"/>
  <c r="CC21" i="4"/>
  <c r="CC20" i="4"/>
  <c r="CC23" i="4"/>
  <c r="CC24" i="4"/>
  <c r="CC22" i="4"/>
  <c r="CC18" i="4"/>
  <c r="CC12" i="3"/>
  <c r="CD13" i="3"/>
  <c r="CD19" i="4"/>
  <c r="CD22" i="4" l="1"/>
  <c r="CD23" i="4"/>
  <c r="CD24" i="4"/>
  <c r="CD20" i="4"/>
  <c r="CD21" i="4"/>
  <c r="CD18" i="3"/>
  <c r="CD14" i="3"/>
  <c r="CD16" i="3"/>
  <c r="CD17" i="3"/>
  <c r="CD15" i="3"/>
  <c r="CD18" i="4"/>
  <c r="CD12" i="3"/>
  <c r="CE13" i="3"/>
  <c r="CE19" i="4"/>
  <c r="CE16" i="3" l="1"/>
  <c r="CE14" i="3"/>
  <c r="CE15" i="3"/>
  <c r="CE17" i="3"/>
  <c r="CE18" i="3"/>
  <c r="CE21" i="4"/>
  <c r="CE20" i="4"/>
  <c r="CE23" i="4"/>
  <c r="CE24" i="4"/>
  <c r="CE22" i="4"/>
  <c r="CE18" i="4"/>
  <c r="CE12" i="3"/>
  <c r="CF13" i="3"/>
  <c r="CF19" i="4"/>
  <c r="CF21" i="4" l="1"/>
  <c r="CF20" i="4"/>
  <c r="CF23" i="4"/>
  <c r="CF22" i="4"/>
  <c r="CF24" i="4"/>
  <c r="CF14" i="3"/>
  <c r="CF15" i="3"/>
  <c r="CF16" i="3"/>
  <c r="CF18" i="3"/>
  <c r="CF17" i="3"/>
  <c r="CF18" i="4"/>
  <c r="CF12" i="3"/>
  <c r="CG13" i="3"/>
  <c r="CG19" i="4"/>
  <c r="CG20" i="4" l="1"/>
  <c r="CG21" i="4"/>
  <c r="CG22" i="4"/>
  <c r="CG23" i="4"/>
  <c r="CG24" i="4"/>
  <c r="CG15" i="3"/>
  <c r="CG17" i="3"/>
  <c r="CG16" i="3"/>
  <c r="CG14" i="3"/>
  <c r="CG18" i="3"/>
  <c r="CG18" i="4"/>
  <c r="CG12" i="3"/>
  <c r="CH13" i="3"/>
  <c r="CH19" i="4"/>
  <c r="CH14" i="3" l="1"/>
  <c r="CH15" i="3"/>
  <c r="CH18" i="3"/>
  <c r="CH16" i="3"/>
  <c r="CH17" i="3"/>
  <c r="CH23" i="4"/>
  <c r="CH24" i="4"/>
  <c r="CH22" i="4"/>
  <c r="CH20" i="4"/>
  <c r="CH21" i="4"/>
  <c r="CH18" i="4"/>
  <c r="CH12" i="3"/>
  <c r="CI13" i="3"/>
  <c r="CI19" i="4"/>
  <c r="CI14" i="3" l="1"/>
  <c r="CI16" i="3"/>
  <c r="CI18" i="3"/>
  <c r="CI15" i="3"/>
  <c r="CI17" i="3"/>
  <c r="CI21" i="4"/>
  <c r="CI22" i="4"/>
  <c r="CI20" i="4"/>
  <c r="CI24" i="4"/>
  <c r="CI23" i="4"/>
  <c r="CI18" i="4"/>
  <c r="CI12" i="3"/>
  <c r="CJ13" i="3"/>
  <c r="CJ19" i="4"/>
  <c r="CJ21" i="4" l="1"/>
  <c r="CJ22" i="4"/>
  <c r="CJ20" i="4"/>
  <c r="CJ23" i="4"/>
  <c r="CJ24" i="4"/>
  <c r="CJ17" i="3"/>
  <c r="CJ18" i="3"/>
  <c r="CJ14" i="3"/>
  <c r="CJ16" i="3"/>
  <c r="CJ15" i="3"/>
  <c r="CJ18" i="4"/>
  <c r="CJ12" i="3"/>
  <c r="CK13" i="3"/>
  <c r="CK19" i="4"/>
  <c r="CK14" i="3" l="1"/>
  <c r="CK16" i="3"/>
  <c r="CK15" i="3"/>
  <c r="CK17" i="3"/>
  <c r="CK18" i="3"/>
  <c r="CK21" i="4"/>
  <c r="CK20" i="4"/>
  <c r="CK22" i="4"/>
  <c r="CK24" i="4"/>
  <c r="CK23" i="4"/>
  <c r="CK18" i="4"/>
  <c r="CK12" i="3"/>
  <c r="CL13" i="3"/>
  <c r="CL19" i="4"/>
  <c r="CL23" i="4" l="1"/>
  <c r="CL24" i="4"/>
  <c r="CL22" i="4"/>
  <c r="CL21" i="4"/>
  <c r="CL20" i="4"/>
  <c r="CL18" i="3"/>
  <c r="CL14" i="3"/>
  <c r="CL16" i="3"/>
  <c r="CL15" i="3"/>
  <c r="CL17" i="3"/>
  <c r="CL18" i="4"/>
  <c r="CL12" i="3"/>
  <c r="CM13" i="3"/>
  <c r="CM19" i="4"/>
  <c r="CM20" i="4" l="1"/>
  <c r="CM21" i="4"/>
  <c r="CM23" i="4"/>
  <c r="CM24" i="4"/>
  <c r="CM22" i="4"/>
  <c r="CM18" i="3"/>
  <c r="CM16" i="3"/>
  <c r="CM14" i="3"/>
  <c r="CM17" i="3"/>
  <c r="CM15" i="3"/>
  <c r="CM18" i="4"/>
  <c r="CM12" i="3"/>
  <c r="CN13" i="3"/>
  <c r="CN19" i="4"/>
  <c r="CN20" i="4" l="1"/>
  <c r="CN23" i="4"/>
  <c r="CN22" i="4"/>
  <c r="CN21" i="4"/>
  <c r="CN24" i="4"/>
  <c r="CN14" i="3"/>
  <c r="CN15" i="3"/>
  <c r="CN16" i="3"/>
  <c r="CN18" i="3"/>
  <c r="CN17" i="3"/>
  <c r="CN18" i="4"/>
  <c r="CN12" i="3"/>
  <c r="CO13" i="3"/>
  <c r="CO19" i="4"/>
  <c r="CO21" i="4" l="1"/>
  <c r="CO20" i="4"/>
  <c r="CO22" i="4"/>
  <c r="CO24" i="4"/>
  <c r="CO23" i="4"/>
  <c r="CO18" i="3"/>
  <c r="CO16" i="3"/>
  <c r="CO15" i="3"/>
  <c r="CO17" i="3"/>
  <c r="CO14" i="3"/>
  <c r="CO18" i="4"/>
  <c r="CO12" i="3"/>
  <c r="CP13" i="3"/>
  <c r="CP19" i="4"/>
  <c r="CP23" i="4" l="1"/>
  <c r="CP24" i="4"/>
  <c r="CP22" i="4"/>
  <c r="CP21" i="4"/>
  <c r="CP20" i="4"/>
  <c r="CP14" i="3"/>
  <c r="CP15" i="3"/>
  <c r="CP17" i="3"/>
  <c r="CP16" i="3"/>
  <c r="CP18" i="3"/>
  <c r="CP18" i="4"/>
  <c r="CP12" i="3"/>
  <c r="CQ13" i="3"/>
  <c r="CQ19" i="4"/>
  <c r="CQ21" i="4" l="1"/>
  <c r="CQ20" i="4"/>
  <c r="CQ22" i="4"/>
  <c r="CQ23" i="4"/>
  <c r="CQ24" i="4"/>
  <c r="CQ15" i="3"/>
  <c r="CQ14" i="3"/>
  <c r="CQ17" i="3"/>
  <c r="CQ16" i="3"/>
  <c r="CQ18" i="3"/>
  <c r="CQ18" i="4"/>
  <c r="CQ12" i="3"/>
  <c r="CR13" i="3"/>
  <c r="CR19" i="4"/>
  <c r="CR21" i="4" l="1"/>
  <c r="CR20" i="4"/>
  <c r="CR22" i="4"/>
  <c r="CR24" i="4"/>
  <c r="CR23" i="4"/>
  <c r="CR14" i="3"/>
  <c r="CR15" i="3"/>
  <c r="CR17" i="3"/>
  <c r="CR16" i="3"/>
  <c r="CR18" i="3"/>
  <c r="CR18" i="4"/>
  <c r="CR12" i="3"/>
  <c r="CS13" i="3"/>
  <c r="CS19" i="4"/>
  <c r="CS23" i="4" l="1"/>
  <c r="CS21" i="4"/>
  <c r="CS20" i="4"/>
  <c r="CS22" i="4"/>
  <c r="CS24" i="4"/>
  <c r="CS14" i="3"/>
  <c r="CS17" i="3"/>
  <c r="CS15" i="3"/>
  <c r="CS18" i="3"/>
  <c r="CS16" i="3"/>
  <c r="CS18" i="4"/>
  <c r="CS12" i="3"/>
  <c r="CT13" i="3"/>
  <c r="CT19" i="4"/>
  <c r="CT22" i="4" l="1"/>
  <c r="CT23" i="4"/>
  <c r="CT24" i="4"/>
  <c r="CT21" i="4"/>
  <c r="CT20" i="4"/>
  <c r="CT18" i="3"/>
  <c r="CT14" i="3"/>
  <c r="CT15" i="3"/>
  <c r="CT17" i="3"/>
  <c r="CT16" i="3"/>
  <c r="CT18" i="4"/>
  <c r="CT12" i="3"/>
  <c r="CU13" i="3"/>
  <c r="CU19" i="4"/>
  <c r="CU21" i="4" l="1"/>
  <c r="CU20" i="4"/>
  <c r="CU24" i="4"/>
  <c r="CU23" i="4"/>
  <c r="CU22" i="4"/>
  <c r="CU15" i="3"/>
  <c r="CU18" i="3"/>
  <c r="CU16" i="3"/>
  <c r="CU17" i="3"/>
  <c r="CU14" i="3"/>
  <c r="CU18" i="4"/>
  <c r="CU12" i="3"/>
  <c r="CV13" i="3"/>
  <c r="CV19" i="4"/>
  <c r="CV21" i="4" l="1"/>
  <c r="CV20" i="4"/>
  <c r="CV22" i="4"/>
  <c r="CV24" i="4"/>
  <c r="CV23" i="4"/>
  <c r="CV16" i="3"/>
  <c r="CV17" i="3"/>
  <c r="CV18" i="3"/>
  <c r="CV14" i="3"/>
  <c r="CV15" i="3"/>
  <c r="CV18" i="4"/>
  <c r="CV12" i="3"/>
  <c r="CW13" i="3"/>
  <c r="CW19" i="4"/>
  <c r="CW15" i="3" l="1"/>
  <c r="CW18" i="3"/>
  <c r="CW14" i="3"/>
  <c r="CW17" i="3"/>
  <c r="CW16" i="3"/>
  <c r="CW20" i="4"/>
  <c r="CW21" i="4"/>
  <c r="CW23" i="4"/>
  <c r="CW22" i="4"/>
  <c r="CW24" i="4"/>
  <c r="CW18" i="4"/>
  <c r="CW12" i="3"/>
  <c r="CX13" i="3"/>
  <c r="CX19" i="4"/>
  <c r="CX24" i="4" l="1"/>
  <c r="CX22" i="4"/>
  <c r="CX23" i="4"/>
  <c r="CX20" i="4"/>
  <c r="CX21" i="4"/>
  <c r="CX17" i="3"/>
  <c r="CX18" i="3"/>
  <c r="CX16" i="3"/>
  <c r="CX15" i="3"/>
  <c r="CX14" i="3"/>
  <c r="CX18" i="4"/>
  <c r="CX12" i="3"/>
  <c r="CY13" i="3"/>
  <c r="CY19" i="4"/>
  <c r="CY21" i="4" l="1"/>
  <c r="CY20" i="4"/>
  <c r="CY22" i="4"/>
  <c r="CY23" i="4"/>
  <c r="CY24" i="4"/>
  <c r="CY15" i="3"/>
  <c r="CY18" i="3"/>
  <c r="CY14" i="3"/>
  <c r="CY16" i="3"/>
  <c r="CY17" i="3"/>
  <c r="CY18" i="4"/>
  <c r="CY12" i="3"/>
  <c r="CZ13" i="3"/>
  <c r="CZ19" i="4"/>
  <c r="CZ21" i="4" l="1"/>
  <c r="CZ22" i="4"/>
  <c r="CZ20" i="4"/>
  <c r="CZ24" i="4"/>
  <c r="CZ23" i="4"/>
  <c r="CZ14" i="3"/>
  <c r="CZ17" i="3"/>
  <c r="CZ18" i="3"/>
  <c r="CZ15" i="3"/>
  <c r="CZ16" i="3"/>
  <c r="CZ18" i="4"/>
  <c r="CZ12" i="3"/>
  <c r="DA13" i="3"/>
  <c r="DA19" i="4"/>
  <c r="DA20" i="4" l="1"/>
  <c r="DA21" i="4"/>
  <c r="DA23" i="4"/>
  <c r="DA22" i="4"/>
  <c r="DA24" i="4"/>
  <c r="DA14" i="3"/>
  <c r="DA17" i="3"/>
  <c r="DA16" i="3"/>
  <c r="DA18" i="3"/>
  <c r="DA15" i="3"/>
  <c r="DA18" i="4"/>
  <c r="DA12" i="3"/>
  <c r="DB13" i="3"/>
  <c r="DB19" i="4"/>
  <c r="DB21" i="4" l="1"/>
  <c r="DB24" i="4"/>
  <c r="DB22" i="4"/>
  <c r="DB23" i="4"/>
  <c r="DB20" i="4"/>
  <c r="DB15" i="3"/>
  <c r="DB18" i="3"/>
  <c r="DB14" i="3"/>
  <c r="DB17" i="3"/>
  <c r="DB16" i="3"/>
  <c r="DB18" i="4"/>
  <c r="DB12" i="3"/>
  <c r="DC13" i="3"/>
  <c r="DC19" i="4"/>
  <c r="DC20" i="4" l="1"/>
  <c r="DC21" i="4"/>
  <c r="DC22" i="4"/>
  <c r="DC23" i="4"/>
  <c r="DC24" i="4"/>
  <c r="DC17" i="3"/>
  <c r="DC16" i="3"/>
  <c r="DC18" i="3"/>
  <c r="DC14" i="3"/>
  <c r="DC15" i="3"/>
  <c r="DC18" i="4"/>
  <c r="DC12" i="3"/>
  <c r="DD13" i="3"/>
  <c r="DD19" i="4"/>
  <c r="DD20" i="4" l="1"/>
  <c r="DD22" i="4"/>
  <c r="DD21" i="4"/>
  <c r="DD24" i="4"/>
  <c r="DD23" i="4"/>
  <c r="DD16" i="3"/>
  <c r="DD18" i="3"/>
  <c r="DD14" i="3"/>
  <c r="DD15" i="3"/>
  <c r="DD17" i="3"/>
  <c r="DD18" i="4"/>
  <c r="DD12" i="3"/>
  <c r="DE13" i="3"/>
  <c r="DE19" i="4"/>
  <c r="DE20" i="4" l="1"/>
  <c r="DE21" i="4"/>
  <c r="DE23" i="4"/>
  <c r="DE24" i="4"/>
  <c r="DE22" i="4"/>
  <c r="DE18" i="3"/>
  <c r="DE16" i="3"/>
  <c r="DE17" i="3"/>
  <c r="DE14" i="3"/>
  <c r="DE15" i="3"/>
  <c r="DE18" i="4"/>
  <c r="DE12" i="3"/>
  <c r="DF13" i="3"/>
  <c r="DF19" i="4"/>
  <c r="DF24" i="4" l="1"/>
  <c r="DF22" i="4"/>
  <c r="DF23" i="4"/>
  <c r="DF20" i="4"/>
  <c r="DF21" i="4"/>
  <c r="DF16" i="3"/>
  <c r="DF15" i="3"/>
  <c r="DF14" i="3"/>
  <c r="DF17" i="3"/>
  <c r="DF18" i="3"/>
  <c r="DF18" i="4"/>
  <c r="DF12" i="3"/>
  <c r="DG13" i="3"/>
  <c r="DG19" i="4"/>
  <c r="DG21" i="4" l="1"/>
  <c r="DG20" i="4"/>
  <c r="DG22" i="4"/>
  <c r="DG23" i="4"/>
  <c r="DG24" i="4"/>
  <c r="DG18" i="3"/>
  <c r="DG15" i="3"/>
  <c r="DG16" i="3"/>
  <c r="DG17" i="3"/>
  <c r="DG14" i="3"/>
  <c r="DG18" i="4"/>
  <c r="DG12" i="3"/>
  <c r="DH13" i="3"/>
  <c r="DH19" i="4"/>
  <c r="DH21" i="4" l="1"/>
  <c r="DH20" i="4"/>
  <c r="DH22" i="4"/>
  <c r="DH23" i="4"/>
  <c r="DH24" i="4"/>
  <c r="DH18" i="3"/>
  <c r="DH16" i="3"/>
  <c r="DH17" i="3"/>
  <c r="DH14" i="3"/>
  <c r="DH15" i="3"/>
  <c r="DH18" i="4"/>
  <c r="DH12" i="3"/>
  <c r="DI13" i="3"/>
  <c r="DI19" i="4"/>
  <c r="DI21" i="4" l="1"/>
  <c r="DI20" i="4"/>
  <c r="DI24" i="4"/>
  <c r="DI22" i="4"/>
  <c r="DI23" i="4"/>
  <c r="DI17" i="3"/>
  <c r="DI14" i="3"/>
  <c r="DI18" i="3"/>
  <c r="DI15" i="3"/>
  <c r="DI16" i="3"/>
  <c r="DI18" i="4"/>
  <c r="DI12" i="3"/>
  <c r="DJ13" i="3"/>
  <c r="DJ19" i="4"/>
  <c r="DJ22" i="4" l="1"/>
  <c r="DJ23" i="4"/>
  <c r="DJ24" i="4"/>
  <c r="DJ21" i="4"/>
  <c r="DJ20" i="4"/>
  <c r="DJ18" i="3"/>
  <c r="DJ16" i="3"/>
  <c r="DJ14" i="3"/>
  <c r="DJ17" i="3"/>
  <c r="DJ15" i="3"/>
  <c r="DJ18" i="4"/>
  <c r="DJ12" i="3"/>
  <c r="DK13" i="3"/>
  <c r="DK19" i="4"/>
  <c r="DK15" i="3" l="1"/>
  <c r="DK16" i="3"/>
  <c r="DK14" i="3"/>
  <c r="DK17" i="3"/>
  <c r="DK18" i="3"/>
  <c r="DK21" i="4"/>
  <c r="DK20" i="4"/>
  <c r="DK22" i="4"/>
  <c r="DK24" i="4"/>
  <c r="DK23" i="4"/>
  <c r="DK18" i="4"/>
  <c r="DK12" i="3"/>
  <c r="DL13" i="3"/>
  <c r="DL19" i="4"/>
  <c r="DL21" i="4" l="1"/>
  <c r="DL20" i="4"/>
  <c r="DL22" i="4"/>
  <c r="DL24" i="4"/>
  <c r="DL23" i="4"/>
  <c r="DL17" i="3"/>
  <c r="DL15" i="3"/>
  <c r="DL14" i="3"/>
  <c r="DL16" i="3"/>
  <c r="DL18" i="3"/>
  <c r="DL18" i="4"/>
  <c r="DL12" i="3"/>
  <c r="DM13" i="3"/>
  <c r="DM19" i="4"/>
  <c r="DM20" i="4" l="1"/>
  <c r="DM21" i="4"/>
  <c r="DM22" i="4"/>
  <c r="DM23" i="4"/>
  <c r="DM24" i="4"/>
  <c r="DM16" i="3"/>
  <c r="DM15" i="3"/>
  <c r="DM14" i="3"/>
  <c r="DM18" i="3"/>
  <c r="DM17" i="3"/>
  <c r="DM18" i="4"/>
  <c r="DM12" i="3"/>
  <c r="DN13" i="3"/>
  <c r="DN19" i="4"/>
  <c r="DN20" i="4" l="1"/>
  <c r="DN24" i="4"/>
  <c r="DN22" i="4"/>
  <c r="DN23" i="4"/>
  <c r="DN21" i="4"/>
  <c r="DN15" i="3"/>
  <c r="DN17" i="3"/>
  <c r="DN14" i="3"/>
  <c r="DN18" i="3"/>
  <c r="DN16" i="3"/>
  <c r="DN18" i="4"/>
  <c r="DN12" i="3"/>
  <c r="DO13" i="3"/>
  <c r="DO19" i="4"/>
  <c r="DO18" i="3" l="1"/>
  <c r="DO14" i="3"/>
  <c r="DO15" i="3"/>
  <c r="DO16" i="3"/>
  <c r="DO17" i="3"/>
  <c r="DO21" i="4"/>
  <c r="DO20" i="4"/>
  <c r="DO22" i="4"/>
  <c r="DO23" i="4"/>
  <c r="DO24" i="4"/>
  <c r="DO18" i="4"/>
  <c r="DO12" i="3"/>
  <c r="DP13" i="3"/>
  <c r="DP19" i="4"/>
  <c r="DP21" i="4" l="1"/>
  <c r="DP22" i="4"/>
  <c r="DP20" i="4"/>
  <c r="DP24" i="4"/>
  <c r="DP23" i="4"/>
  <c r="DP17" i="3"/>
  <c r="DP15" i="3"/>
  <c r="DP16" i="3"/>
  <c r="DP14" i="3"/>
  <c r="DP18" i="3"/>
  <c r="DP18" i="4"/>
  <c r="DP12" i="3"/>
  <c r="DQ13" i="3"/>
  <c r="DQ19" i="4"/>
  <c r="DQ21" i="4" l="1"/>
  <c r="DQ20" i="4"/>
  <c r="DQ22" i="4"/>
  <c r="DQ23" i="4"/>
  <c r="DQ24" i="4"/>
  <c r="DQ17" i="3"/>
  <c r="DQ14" i="3"/>
  <c r="DQ16" i="3"/>
  <c r="DQ15" i="3"/>
  <c r="DQ18" i="3"/>
  <c r="DQ18" i="4"/>
  <c r="DQ12" i="3"/>
  <c r="DR13" i="3"/>
  <c r="DR19" i="4"/>
  <c r="DR21" i="4" l="1"/>
  <c r="DR24" i="4"/>
  <c r="DR22" i="4"/>
  <c r="DR23" i="4"/>
  <c r="DR20" i="4"/>
  <c r="DR18" i="3"/>
  <c r="DR15" i="3"/>
  <c r="DR16" i="3"/>
  <c r="DR14" i="3"/>
  <c r="DR17" i="3"/>
  <c r="DR18" i="4"/>
  <c r="DR12" i="3"/>
  <c r="DS13" i="3"/>
  <c r="DS19" i="4"/>
  <c r="DS17" i="3" l="1"/>
  <c r="DS15" i="3"/>
  <c r="DS16" i="3"/>
  <c r="DS18" i="3"/>
  <c r="DS14" i="3"/>
  <c r="DT19" i="4"/>
  <c r="DT18" i="4" s="1"/>
  <c r="DS20" i="4"/>
  <c r="DS21" i="4"/>
  <c r="DS24" i="4"/>
  <c r="DS23" i="4"/>
  <c r="DS22" i="4"/>
  <c r="DT13" i="3"/>
  <c r="DS18" i="4"/>
  <c r="DS12" i="3"/>
  <c r="DU19" i="4" l="1"/>
  <c r="DU22" i="4" s="1"/>
  <c r="DT16" i="3"/>
  <c r="DT15" i="3"/>
  <c r="DT14" i="3"/>
  <c r="DT17" i="3"/>
  <c r="DT18" i="3"/>
  <c r="DT20" i="4"/>
  <c r="DT21" i="4"/>
  <c r="DT22" i="4"/>
  <c r="DT24" i="4"/>
  <c r="DT23" i="4"/>
  <c r="DU20" i="4"/>
  <c r="DU24" i="4"/>
  <c r="DU18" i="4"/>
  <c r="DV19" i="4"/>
  <c r="DT12" i="3"/>
  <c r="DU13" i="3"/>
  <c r="DU23" i="4" l="1"/>
  <c r="DU21" i="4"/>
  <c r="DU15" i="3"/>
  <c r="DU16" i="3"/>
  <c r="DU18" i="3"/>
  <c r="DU17" i="3"/>
  <c r="DU14" i="3"/>
  <c r="DV24" i="4"/>
  <c r="DV22" i="4"/>
  <c r="DV23" i="4"/>
  <c r="DV21" i="4"/>
  <c r="DV20" i="4"/>
  <c r="DV18" i="4"/>
  <c r="DW19" i="4"/>
  <c r="DU12" i="3"/>
  <c r="DV13" i="3"/>
  <c r="DW21" i="4" l="1"/>
  <c r="DW20" i="4"/>
  <c r="DW22" i="4"/>
  <c r="DW24" i="4"/>
  <c r="DW23" i="4"/>
  <c r="DV17" i="3"/>
  <c r="DV16" i="3"/>
  <c r="DV14" i="3"/>
  <c r="DV15" i="3"/>
  <c r="DV18" i="3"/>
  <c r="DX19" i="4"/>
  <c r="DW18" i="4"/>
  <c r="DW13" i="3"/>
  <c r="DV12" i="3"/>
  <c r="DW15" i="3" l="1"/>
  <c r="DW14" i="3"/>
  <c r="DW17" i="3"/>
  <c r="DW16" i="3"/>
  <c r="DW18" i="3"/>
  <c r="DX21" i="4"/>
  <c r="DX20" i="4"/>
  <c r="DX22" i="4"/>
  <c r="DX23" i="4"/>
  <c r="DX24" i="4"/>
  <c r="DX18" i="4"/>
  <c r="DY19" i="4"/>
  <c r="DW12" i="3"/>
  <c r="DX13" i="3"/>
  <c r="DY21" i="4" l="1"/>
  <c r="DY20" i="4"/>
  <c r="DY22" i="4"/>
  <c r="DY23" i="4"/>
  <c r="DY24" i="4"/>
  <c r="DX14" i="3"/>
  <c r="DX16" i="3"/>
  <c r="DX17" i="3"/>
  <c r="DX18" i="3"/>
  <c r="DX15" i="3"/>
  <c r="DY18" i="4"/>
  <c r="DZ19" i="4"/>
  <c r="DX12" i="3"/>
  <c r="DY13" i="3"/>
  <c r="DZ22" i="4" l="1"/>
  <c r="DZ23" i="4"/>
  <c r="DZ20" i="4"/>
  <c r="DZ24" i="4"/>
  <c r="DZ21" i="4"/>
  <c r="DY14" i="3"/>
  <c r="DY16" i="3"/>
  <c r="DY17" i="3"/>
  <c r="DY15" i="3"/>
  <c r="DY18" i="3"/>
  <c r="DZ18" i="4"/>
  <c r="EA19" i="4"/>
  <c r="DY12" i="3"/>
  <c r="DZ13" i="3"/>
  <c r="EA21" i="4" l="1"/>
  <c r="EA20" i="4"/>
  <c r="EA24" i="4"/>
  <c r="EA23" i="4"/>
  <c r="EA22" i="4"/>
  <c r="DZ18" i="3"/>
  <c r="DZ14" i="3"/>
  <c r="DZ16" i="3"/>
  <c r="DZ15" i="3"/>
  <c r="DZ17" i="3"/>
  <c r="EB19" i="4"/>
  <c r="EA18" i="4"/>
  <c r="EA13" i="3"/>
  <c r="DZ12" i="3"/>
  <c r="EA16" i="3" l="1"/>
  <c r="EA17" i="3"/>
  <c r="EA18" i="3"/>
  <c r="EA15" i="3"/>
  <c r="EA14" i="3"/>
  <c r="EB21" i="4"/>
  <c r="EB20" i="4"/>
  <c r="EB22" i="4"/>
  <c r="EB24" i="4"/>
  <c r="EB23" i="4"/>
  <c r="EB18" i="4"/>
  <c r="EC19" i="4"/>
  <c r="EA12" i="3"/>
  <c r="EB13" i="3"/>
  <c r="EC21" i="4" l="1"/>
  <c r="EC20" i="4"/>
  <c r="EC23" i="4"/>
  <c r="EC24" i="4"/>
  <c r="EC22" i="4"/>
  <c r="EB14" i="3"/>
  <c r="EB17" i="3"/>
  <c r="EB18" i="3"/>
  <c r="EB15" i="3"/>
  <c r="EB16" i="3"/>
  <c r="EC18" i="4"/>
  <c r="ED19" i="4"/>
  <c r="EC13" i="3"/>
  <c r="EB12" i="3"/>
  <c r="ED24" i="4" l="1"/>
  <c r="ED22" i="4"/>
  <c r="ED20" i="4"/>
  <c r="ED23" i="4"/>
  <c r="ED21" i="4"/>
  <c r="EC17" i="3"/>
  <c r="EC16" i="3"/>
  <c r="EC18" i="3"/>
  <c r="EC14" i="3"/>
  <c r="EC15" i="3"/>
  <c r="ED18" i="4"/>
  <c r="EE19" i="4"/>
  <c r="EC12" i="3"/>
  <c r="ED13" i="3"/>
  <c r="EE21" i="4" l="1"/>
  <c r="EE20" i="4"/>
  <c r="EE22" i="4"/>
  <c r="EE23" i="4"/>
  <c r="EE24" i="4"/>
  <c r="ED15" i="3"/>
  <c r="ED17" i="3"/>
  <c r="ED16" i="3"/>
  <c r="ED14" i="3"/>
  <c r="ED18" i="3"/>
  <c r="EF19" i="4"/>
  <c r="EE18" i="4"/>
  <c r="EE13" i="3"/>
  <c r="ED12" i="3"/>
  <c r="EE15" i="3" l="1"/>
  <c r="EE17" i="3"/>
  <c r="EE18" i="3"/>
  <c r="EE14" i="3"/>
  <c r="EE16" i="3"/>
  <c r="EF21" i="4"/>
  <c r="EF20" i="4"/>
  <c r="EF22" i="4"/>
  <c r="EF24" i="4"/>
  <c r="EF23" i="4"/>
  <c r="EF18" i="4"/>
  <c r="EG19" i="4"/>
  <c r="EE12" i="3"/>
  <c r="EF13" i="3"/>
  <c r="EG20" i="4" l="1"/>
  <c r="EG21" i="4"/>
  <c r="EG24" i="4"/>
  <c r="EG23" i="4"/>
  <c r="EG22" i="4"/>
  <c r="EF15" i="3"/>
  <c r="EF17" i="3"/>
  <c r="EF18" i="3"/>
  <c r="EF14" i="3"/>
  <c r="EF16" i="3"/>
  <c r="EG18" i="4"/>
  <c r="EH19" i="4"/>
  <c r="EF12" i="3"/>
  <c r="EG13" i="3"/>
  <c r="EH22" i="4" l="1"/>
  <c r="EH21" i="4"/>
  <c r="EH23" i="4"/>
  <c r="EH20" i="4"/>
  <c r="EH24" i="4"/>
  <c r="EG14" i="3"/>
  <c r="EG17" i="3"/>
  <c r="EG15" i="3"/>
  <c r="EG18" i="3"/>
  <c r="EG16" i="3"/>
  <c r="EH18" i="4"/>
  <c r="EI19" i="4"/>
  <c r="EG12" i="3"/>
  <c r="EH13" i="3"/>
  <c r="EI20" i="4" l="1"/>
  <c r="EI21" i="4"/>
  <c r="EI22" i="4"/>
  <c r="EI23" i="4"/>
  <c r="EI24" i="4"/>
  <c r="EH15" i="3"/>
  <c r="EH14" i="3"/>
  <c r="EH18" i="3"/>
  <c r="EH17" i="3"/>
  <c r="EH16" i="3"/>
  <c r="EJ19" i="4"/>
  <c r="EI18" i="4"/>
  <c r="EI13" i="3"/>
  <c r="EH12" i="3"/>
  <c r="EI16" i="3" l="1"/>
  <c r="EI15" i="3"/>
  <c r="EI18" i="3"/>
  <c r="EI17" i="3"/>
  <c r="EI14" i="3"/>
  <c r="EJ20" i="4"/>
  <c r="EJ21" i="4"/>
  <c r="EJ22" i="4"/>
  <c r="EJ24" i="4"/>
  <c r="EJ23" i="4"/>
  <c r="EJ18" i="4"/>
  <c r="EK19" i="4"/>
  <c r="EI12" i="3"/>
  <c r="EJ13" i="3"/>
  <c r="EK20" i="4" l="1"/>
  <c r="EK21" i="4"/>
  <c r="EK23" i="4"/>
  <c r="EK24" i="4"/>
  <c r="EK22" i="4"/>
  <c r="EJ16" i="3"/>
  <c r="EJ18" i="3"/>
  <c r="EJ15" i="3"/>
  <c r="EJ14" i="3"/>
  <c r="EJ17" i="3"/>
  <c r="EL19" i="4"/>
  <c r="EK18" i="4"/>
  <c r="EJ12" i="3"/>
  <c r="EK13" i="3"/>
  <c r="EL24" i="4" l="1"/>
  <c r="EL22" i="4"/>
  <c r="EL23" i="4"/>
  <c r="EL21" i="4"/>
  <c r="EL20" i="4"/>
  <c r="EK17" i="3"/>
  <c r="EK15" i="3"/>
  <c r="EK14" i="3"/>
  <c r="EK16" i="3"/>
  <c r="EK18" i="3"/>
  <c r="EM19" i="4"/>
  <c r="EL18" i="4"/>
  <c r="EL13" i="3"/>
  <c r="EK12" i="3"/>
  <c r="EM21" i="4" l="1"/>
  <c r="EM20" i="4"/>
  <c r="EM22" i="4"/>
  <c r="EM24" i="4"/>
  <c r="EM23" i="4"/>
  <c r="EL17" i="3"/>
  <c r="EL16" i="3"/>
  <c r="EL15" i="3"/>
  <c r="EL18" i="3"/>
  <c r="EL14" i="3"/>
  <c r="EN19" i="4"/>
  <c r="EM18" i="4"/>
  <c r="EL12" i="3"/>
  <c r="EM13" i="3"/>
  <c r="EN21" i="4" l="1"/>
  <c r="EN20" i="4"/>
  <c r="EN22" i="4"/>
  <c r="EN23" i="4"/>
  <c r="EN24" i="4"/>
  <c r="EM17" i="3"/>
  <c r="EM18" i="3"/>
  <c r="EM15" i="3"/>
  <c r="EM16" i="3"/>
  <c r="EM14" i="3"/>
  <c r="EN18" i="4"/>
  <c r="EN13" i="3"/>
  <c r="EM12" i="3"/>
  <c r="EN18" i="3" l="1"/>
  <c r="EN14" i="3"/>
  <c r="EN16" i="3"/>
  <c r="EN17" i="3"/>
  <c r="EN15" i="3"/>
  <c r="EN12" i="3"/>
</calcChain>
</file>

<file path=xl/sharedStrings.xml><?xml version="1.0" encoding="utf-8"?>
<sst xmlns="http://schemas.openxmlformats.org/spreadsheetml/2006/main" count="2315" uniqueCount="1742">
  <si>
    <t>VCO0 (min)</t>
  </si>
  <si>
    <t>VCO0 (max)</t>
  </si>
  <si>
    <t>PLL0DV[PREDIV]</t>
  </si>
  <si>
    <t>PLL0 reference</t>
  </si>
  <si>
    <t>VCO frequency spec violated</t>
  </si>
  <si>
    <t>Requested F(phi)</t>
  </si>
  <si>
    <t>F(phi) greater than requested</t>
  </si>
  <si>
    <t>Use this table to select PLL0DV[RFDPHI1] based upon PLL0DV[MFD] selected on previous tab.
I.E Look in the same column number as in the table on the previous tab.
Any of the unshaded frequencies in that column can be used in cell G10 on the next tab.</t>
  </si>
  <si>
    <t>Do not change these numbers</t>
  </si>
  <si>
    <t>Clock Name</t>
  </si>
  <si>
    <t>Max (MHz)</t>
  </si>
  <si>
    <r>
      <t xml:space="preserve">If </t>
    </r>
    <r>
      <rPr>
        <sz val="10"/>
        <color rgb="FFFF0000"/>
        <rFont val="Calibri"/>
        <family val="2"/>
        <scheme val="minor"/>
      </rPr>
      <t>RED</t>
    </r>
    <r>
      <rPr>
        <sz val="10"/>
        <color theme="1"/>
        <rFont val="Calibri"/>
        <family val="2"/>
        <scheme val="minor"/>
      </rPr>
      <t>: (PLL0 reference / PREDIV) not within PFD min/max specs. Choose a different PREDIV.</t>
    </r>
  </si>
  <si>
    <t>Target Frequency</t>
  </si>
  <si>
    <t>Clock domain out of range</t>
  </si>
  <si>
    <t>FMPLL1_PHI</t>
  </si>
  <si>
    <t>FMPLL0_PHI</t>
  </si>
  <si>
    <t>FMPLL_PHI0 reference</t>
  </si>
  <si>
    <t>PLLDV[RFDPHI]</t>
  </si>
  <si>
    <t>PLLDV[MFD]</t>
  </si>
  <si>
    <t>FMPLL_VCO  (min)</t>
  </si>
  <si>
    <t>FMPLL_VCO (max)</t>
  </si>
  <si>
    <t>FMPLL Input (min)</t>
  </si>
  <si>
    <t>FMPLL Input (max)</t>
  </si>
  <si>
    <t>FMPLL_PHI0 (min)</t>
  </si>
  <si>
    <t>FMPLL_PHI0 (max)</t>
  </si>
  <si>
    <t>FMPLL_PHI1 (min)</t>
  </si>
  <si>
    <t>FMPLL_PHI1 (max)</t>
  </si>
  <si>
    <t>Fractional Numerator</t>
  </si>
  <si>
    <t>Fractional Denominator</t>
  </si>
  <si>
    <t>PLLDV[RFDPHI1]</t>
  </si>
  <si>
    <t>FMPLL PHI0 reference frequency is out of range</t>
  </si>
  <si>
    <t>FMPLL PHI1 reference frequency is out of range</t>
  </si>
  <si>
    <t>PHI0 (max)</t>
  </si>
  <si>
    <t>PHI1 (max)</t>
  </si>
  <si>
    <t>F160</t>
  </si>
  <si>
    <t>S160</t>
  </si>
  <si>
    <t>S80</t>
  </si>
  <si>
    <t>FS80</t>
  </si>
  <si>
    <t>S40</t>
  </si>
  <si>
    <t>F40</t>
  </si>
  <si>
    <t>F80</t>
  </si>
  <si>
    <t>F20</t>
  </si>
  <si>
    <t>VCO frequency spec violated (PLL only)</t>
  </si>
  <si>
    <t>CAN_LP_CLK</t>
  </si>
  <si>
    <t>uSDHC_CARD_CLK</t>
  </si>
  <si>
    <t>Min (MHz)</t>
  </si>
  <si>
    <t>USB_CLK</t>
  </si>
  <si>
    <t>ENET_TIMER_CLK</t>
  </si>
  <si>
    <t>RTC_CLK</t>
  </si>
  <si>
    <t>ADC_CLK</t>
  </si>
  <si>
    <t>ENET HCLK</t>
  </si>
  <si>
    <t>Rev</t>
  </si>
  <si>
    <t>Date</t>
  </si>
  <si>
    <t>Author</t>
  </si>
  <si>
    <t>Comments</t>
  </si>
  <si>
    <t>David Chung</t>
  </si>
  <si>
    <t>Initial</t>
  </si>
  <si>
    <r>
      <t xml:space="preserve">Change these values at </t>
    </r>
    <r>
      <rPr>
        <b/>
        <i/>
        <sz val="16"/>
        <color theme="1"/>
        <rFont val="Calibri"/>
        <family val="2"/>
        <scheme val="minor"/>
      </rPr>
      <t>Target Frequency</t>
    </r>
  </si>
  <si>
    <r>
      <t xml:space="preserve">Use this table to select PLL0DV[MFD] and PLL0DV[RFDPHI] based upon PLL reference frequency and PLL0DV[PREDIV] entered at </t>
    </r>
    <r>
      <rPr>
        <b/>
        <i/>
        <sz val="14"/>
        <color theme="1"/>
        <rFont val="Calibri"/>
        <family val="2"/>
        <scheme val="minor"/>
      </rPr>
      <t>Target Frequency</t>
    </r>
    <r>
      <rPr>
        <b/>
        <sz val="14"/>
        <color theme="1"/>
        <rFont val="Calibri"/>
        <family val="2"/>
        <scheme val="minor"/>
      </rPr>
      <t>.
Look for green shaded cell.
If there is no green shaded cell, try another PLL reference frequency or different PLL0DV[PREDIV] value.</t>
    </r>
  </si>
  <si>
    <t>Updated SAI Clocking</t>
  </si>
  <si>
    <t>PLL input/output frequency is out of range</t>
  </si>
  <si>
    <t>Added in-depth CAN clocking and register summary tab.</t>
  </si>
  <si>
    <t>Register</t>
  </si>
  <si>
    <t>Value</t>
  </si>
  <si>
    <t>MC_ME_RESET_MC</t>
  </si>
  <si>
    <t>0x00130090</t>
  </si>
  <si>
    <t>MC_ME_SAFE_MC</t>
  </si>
  <si>
    <t>0xX0X30010</t>
  </si>
  <si>
    <t>MC_ME_DRUN_MC</t>
  </si>
  <si>
    <t>MC_ME_STOP_MC</t>
  </si>
  <si>
    <t>MC_ME_STANDBY_MC</t>
  </si>
  <si>
    <t>LPU_RUN_CF</t>
  </si>
  <si>
    <t>LPU_STOP_CF</t>
  </si>
  <si>
    <t>LPU_STANDBY_CF</t>
  </si>
  <si>
    <t>LPU_MDIS</t>
  </si>
  <si>
    <t>SIRC_CTL</t>
  </si>
  <si>
    <t>SXOSC_CTL</t>
  </si>
  <si>
    <t>FXOSC_CTL</t>
  </si>
  <si>
    <t>FIRC_CTL</t>
  </si>
  <si>
    <t>MC_CGM_SC_DC0</t>
  </si>
  <si>
    <t>MC_CGM_SC_DC1</t>
  </si>
  <si>
    <t>MC_CGM_SC_DC2</t>
  </si>
  <si>
    <t>MC_CGM_SC_DC5</t>
  </si>
  <si>
    <t>MC_CGM_SC_DC3</t>
  </si>
  <si>
    <t>0x80030000</t>
  </si>
  <si>
    <t>MC_CGM_SC_DC4</t>
  </si>
  <si>
    <t>0x80010000</t>
  </si>
  <si>
    <t>MC_CGM_AC2_SC</t>
  </si>
  <si>
    <t>MC_CGM_AC3_SC</t>
  </si>
  <si>
    <t>MC_CGM_AC4_SC</t>
  </si>
  <si>
    <t>MC_CGM_AC5_SC</t>
  </si>
  <si>
    <t>MC_CGM_AC6_SC</t>
  </si>
  <si>
    <t>MC_CGM_AC6_DC0</t>
  </si>
  <si>
    <t>MC_CGM_AC9_SC</t>
  </si>
  <si>
    <t>MC_CGM_AC8_SC</t>
  </si>
  <si>
    <t>MC_CGM_CLKOUT1_SC</t>
  </si>
  <si>
    <t>MC_CGM_CLKOUT1_DC</t>
  </si>
  <si>
    <t>PLLDIG_PLLDV</t>
  </si>
  <si>
    <t>PLLDIG_PLLFD</t>
  </si>
  <si>
    <t>PLLDIG_PLLCAL3</t>
  </si>
  <si>
    <t>CAN1:7_CTRL1</t>
  </si>
  <si>
    <t>CAN0_CTRL1</t>
  </si>
  <si>
    <t>CAN0_CBT</t>
  </si>
  <si>
    <t>CAN0_MCR</t>
  </si>
  <si>
    <t>CAN0_FDCTRL</t>
  </si>
  <si>
    <t>CAN0_FDCBT</t>
  </si>
  <si>
    <t>CAN1:7_CBT</t>
  </si>
  <si>
    <t>CAN1:7_MCR</t>
  </si>
  <si>
    <t>CAN1:7_FDCTRL</t>
  </si>
  <si>
    <t>CAN1:7_FDCBT</t>
  </si>
  <si>
    <t>FR_MCR</t>
  </si>
  <si>
    <t>STM1:2_CR</t>
  </si>
  <si>
    <t>ADC1_MCR</t>
  </si>
  <si>
    <t>STM0_CR</t>
  </si>
  <si>
    <t>RTC_RTCC</t>
  </si>
  <si>
    <t>ADC0_MCR</t>
  </si>
  <si>
    <t>I2S0_MCR</t>
  </si>
  <si>
    <t>I2S0_MDR</t>
  </si>
  <si>
    <t>I2S0_TCR2</t>
  </si>
  <si>
    <t>I2S0_RCR2</t>
  </si>
  <si>
    <t>I2S0_TSCR</t>
  </si>
  <si>
    <t>I2S0_RSCR</t>
  </si>
  <si>
    <t>I2S1_TCR2</t>
  </si>
  <si>
    <t>I2S1_RCR2</t>
  </si>
  <si>
    <t>I2S2_TCR2</t>
  </si>
  <si>
    <t>I2S2_RCR2</t>
  </si>
  <si>
    <t>I2S1_TSCR</t>
  </si>
  <si>
    <t>I2S1_RSCR</t>
  </si>
  <si>
    <t>I2S2_TSCR</t>
  </si>
  <si>
    <t>I2S2_RSCR</t>
  </si>
  <si>
    <t>Module</t>
  </si>
  <si>
    <t>Clock Domain</t>
  </si>
  <si>
    <t>System</t>
  </si>
  <si>
    <t>Frequency (MHz)</t>
  </si>
  <si>
    <t>FIRC</t>
  </si>
  <si>
    <t>FIRC_DIV_CLK</t>
  </si>
  <si>
    <t>FXOSC</t>
  </si>
  <si>
    <t>FXOSC_DIV_CLK</t>
  </si>
  <si>
    <t>SIRC</t>
  </si>
  <si>
    <t>SIRC_DIV_CLK</t>
  </si>
  <si>
    <t>SXOSC</t>
  </si>
  <si>
    <t>SXOSC_DIV_CLK</t>
  </si>
  <si>
    <t>FMPLL_PHI0</t>
  </si>
  <si>
    <t>FMPLL_PHI1</t>
  </si>
  <si>
    <t>LPU_SYS_CLK</t>
  </si>
  <si>
    <t>FlexCAN1:7</t>
  </si>
  <si>
    <t>BIU/CHI</t>
  </si>
  <si>
    <t>Protocol</t>
  </si>
  <si>
    <t>Z4a</t>
  </si>
  <si>
    <t>FlexRay</t>
  </si>
  <si>
    <t>BIU</t>
  </si>
  <si>
    <t>LINFlexD1:17</t>
  </si>
  <si>
    <t>LIN_CLK</t>
  </si>
  <si>
    <t>uSDHC</t>
  </si>
  <si>
    <t>CARD_CLK</t>
  </si>
  <si>
    <t>HCLK</t>
  </si>
  <si>
    <t>SAI0</t>
  </si>
  <si>
    <t>Peripheral Clock</t>
  </si>
  <si>
    <t>MCLK_RX</t>
  </si>
  <si>
    <t>MCLK_TX</t>
  </si>
  <si>
    <t>BCLK_RX</t>
  </si>
  <si>
    <t>BCLK_TX</t>
  </si>
  <si>
    <t>SAI1</t>
  </si>
  <si>
    <t>SAI2</t>
  </si>
  <si>
    <t>SPI1:2</t>
  </si>
  <si>
    <t>Baud Clock</t>
  </si>
  <si>
    <t>SPI3:5</t>
  </si>
  <si>
    <t>DSPI0:1</t>
  </si>
  <si>
    <t>DSPI2:3</t>
  </si>
  <si>
    <t>Z4b</t>
  </si>
  <si>
    <t>PIT_RTI</t>
  </si>
  <si>
    <t>RTI</t>
  </si>
  <si>
    <t>PIT</t>
  </si>
  <si>
    <t>STM1:2</t>
  </si>
  <si>
    <t>Module Clock</t>
  </si>
  <si>
    <t>MC_ME</t>
  </si>
  <si>
    <t>MC_PCU</t>
  </si>
  <si>
    <t>MC_CGM</t>
  </si>
  <si>
    <t>STCU</t>
  </si>
  <si>
    <t>TDM</t>
  </si>
  <si>
    <t>FCCU</t>
  </si>
  <si>
    <t>PBRIDGE_B</t>
  </si>
  <si>
    <t>ADC1</t>
  </si>
  <si>
    <t>eMIOS0:1</t>
  </si>
  <si>
    <t>HSM</t>
  </si>
  <si>
    <t>HSM_CORE_CLK</t>
  </si>
  <si>
    <t>TRNG</t>
  </si>
  <si>
    <t>HSM_RTI_CMU</t>
  </si>
  <si>
    <t>CLKOUT0</t>
  </si>
  <si>
    <t>DMA</t>
  </si>
  <si>
    <t>Memory Clock</t>
  </si>
  <si>
    <t>USB</t>
  </si>
  <si>
    <t>USB LP</t>
  </si>
  <si>
    <t>FLASH</t>
  </si>
  <si>
    <t>MLB</t>
  </si>
  <si>
    <t>PLLDIG</t>
  </si>
  <si>
    <t>PASS</t>
  </si>
  <si>
    <t>I2C</t>
  </si>
  <si>
    <t>CRC</t>
  </si>
  <si>
    <t>SWT1,2,HSM</t>
  </si>
  <si>
    <t>Timer Clock</t>
  </si>
  <si>
    <t>DMAMUX0:1</t>
  </si>
  <si>
    <t>MEMU_0</t>
  </si>
  <si>
    <t>PRAM</t>
  </si>
  <si>
    <t>CMP0:3</t>
  </si>
  <si>
    <t>STM0</t>
  </si>
  <si>
    <t>RTC_API</t>
  </si>
  <si>
    <t>RTC Counter</t>
  </si>
  <si>
    <t>PMC_DIG</t>
  </si>
  <si>
    <t>FIRC_CTRL</t>
  </si>
  <si>
    <t>MC_RGM</t>
  </si>
  <si>
    <t>SSCM</t>
  </si>
  <si>
    <t>SWT0</t>
  </si>
  <si>
    <t>WKPU</t>
  </si>
  <si>
    <t>SIRC_CTRL</t>
  </si>
  <si>
    <t>FXOSC CTRL</t>
  </si>
  <si>
    <t>SXOSC CTRL</t>
  </si>
  <si>
    <t>RAM 256k</t>
  </si>
  <si>
    <t>LPU_CTL</t>
  </si>
  <si>
    <t>Clock 1</t>
  </si>
  <si>
    <t>Clock 2</t>
  </si>
  <si>
    <t>CLKOUT1</t>
  </si>
  <si>
    <t>FlexCAN0</t>
  </si>
  <si>
    <t>Protocol Clock</t>
  </si>
  <si>
    <t>LINFlexD0</t>
  </si>
  <si>
    <t>SPI0</t>
  </si>
  <si>
    <t>CMU</t>
  </si>
  <si>
    <t>SIUL</t>
  </si>
  <si>
    <t>Z2</t>
  </si>
  <si>
    <t>DMC_PRAM0</t>
  </si>
  <si>
    <t>AHB_E2E_ECC</t>
  </si>
  <si>
    <t>PRAM_E2E_ECC/PRAM_CTL0</t>
  </si>
  <si>
    <t>INTC</t>
  </si>
  <si>
    <t>JTAGC</t>
  </si>
  <si>
    <t>CJTAG</t>
  </si>
  <si>
    <t>eMIOS2</t>
  </si>
  <si>
    <t>MEMU_1</t>
  </si>
  <si>
    <t>BCTU</t>
  </si>
  <si>
    <t>ADC0</t>
  </si>
  <si>
    <t>NPC</t>
  </si>
  <si>
    <t>PBRIDGE_A</t>
  </si>
  <si>
    <t>XBAR_LPU</t>
  </si>
  <si>
    <t>DMC_AIPS0</t>
  </si>
  <si>
    <t>ENET</t>
  </si>
  <si>
    <t>ENET RMII/MII</t>
  </si>
  <si>
    <t>ENET0_TIMER</t>
  </si>
  <si>
    <t>ENET1_TIMER</t>
  </si>
  <si>
    <t>MAC0/1 and Reg Switch Access Clock</t>
  </si>
  <si>
    <t>Switch MAC0/1_SYS_CLK</t>
  </si>
  <si>
    <t>TX_CLK_MAC0</t>
  </si>
  <si>
    <t>Switch_2*CLK</t>
  </si>
  <si>
    <t>TX_CLK_MAC1</t>
  </si>
  <si>
    <t>RX_CLK_MAC1</t>
  </si>
  <si>
    <t>GLOBAL_CLK</t>
  </si>
  <si>
    <t>RX_CLK_MAC0</t>
  </si>
  <si>
    <t>FlexCAN Jump Values</t>
  </si>
  <si>
    <t>J0_0</t>
  </si>
  <si>
    <t>J1_0</t>
  </si>
  <si>
    <t>J2_0</t>
  </si>
  <si>
    <t>J3_0</t>
  </si>
  <si>
    <t>J4_0</t>
  </si>
  <si>
    <t>J5_0</t>
  </si>
  <si>
    <t>J6_0</t>
  </si>
  <si>
    <t>J7_0</t>
  </si>
  <si>
    <t>J0_1</t>
  </si>
  <si>
    <t>J1_1</t>
  </si>
  <si>
    <t>J2_1</t>
  </si>
  <si>
    <t>J3_1</t>
  </si>
  <si>
    <t>J4_1</t>
  </si>
  <si>
    <t>J5_1</t>
  </si>
  <si>
    <t>J6_1</t>
  </si>
  <si>
    <t>J7_1</t>
  </si>
  <si>
    <t>J0_2</t>
  </si>
  <si>
    <t>J1_2</t>
  </si>
  <si>
    <t>J2_2</t>
  </si>
  <si>
    <t>J3_2</t>
  </si>
  <si>
    <t>J4_2</t>
  </si>
  <si>
    <t>J5_2</t>
  </si>
  <si>
    <t>J6_2</t>
  </si>
  <si>
    <t>J7_2</t>
  </si>
  <si>
    <t>J0_3</t>
  </si>
  <si>
    <t>J1_3</t>
  </si>
  <si>
    <t>J2_3</t>
  </si>
  <si>
    <t>J3_3</t>
  </si>
  <si>
    <t>J4_3</t>
  </si>
  <si>
    <t>J5_3</t>
  </si>
  <si>
    <t>J6_3</t>
  </si>
  <si>
    <t>J7_3</t>
  </si>
  <si>
    <t>E0_0</t>
  </si>
  <si>
    <t>E1_1</t>
  </si>
  <si>
    <t>E2_2</t>
  </si>
  <si>
    <t>E3_3</t>
  </si>
  <si>
    <t>E4_4</t>
  </si>
  <si>
    <t>E5_5</t>
  </si>
  <si>
    <t>E6_6</t>
  </si>
  <si>
    <t>E7_7</t>
  </si>
  <si>
    <t>E8_8</t>
  </si>
  <si>
    <t>E9_9</t>
  </si>
  <si>
    <t>E10_10</t>
  </si>
  <si>
    <t>E11_11</t>
  </si>
  <si>
    <t>E12_12</t>
  </si>
  <si>
    <t>E13_13</t>
  </si>
  <si>
    <t>E14_14</t>
  </si>
  <si>
    <t>E15_15</t>
  </si>
  <si>
    <t>E0_1</t>
  </si>
  <si>
    <t>E0_2</t>
  </si>
  <si>
    <t>E0_3</t>
  </si>
  <si>
    <t>E0_4</t>
  </si>
  <si>
    <t>E0_5</t>
  </si>
  <si>
    <t>E0_6</t>
  </si>
  <si>
    <t>E0_7</t>
  </si>
  <si>
    <t>E0_8</t>
  </si>
  <si>
    <t>E0_9</t>
  </si>
  <si>
    <t>E0_10</t>
  </si>
  <si>
    <t>E0_11</t>
  </si>
  <si>
    <t>E0_12</t>
  </si>
  <si>
    <t>E0_13</t>
  </si>
  <si>
    <t>E0_14</t>
  </si>
  <si>
    <t>E0_15</t>
  </si>
  <si>
    <t>E1_0</t>
  </si>
  <si>
    <t>E1_2</t>
  </si>
  <si>
    <t>E1_3</t>
  </si>
  <si>
    <t>E1_4</t>
  </si>
  <si>
    <t>E1_5</t>
  </si>
  <si>
    <t>E1_6</t>
  </si>
  <si>
    <t>E1_7</t>
  </si>
  <si>
    <t>E1_8</t>
  </si>
  <si>
    <t>E1_9</t>
  </si>
  <si>
    <t>E1_10</t>
  </si>
  <si>
    <t>E1_11</t>
  </si>
  <si>
    <t>E1_12</t>
  </si>
  <si>
    <t>E1_13</t>
  </si>
  <si>
    <t>E1_14</t>
  </si>
  <si>
    <t>E1_15</t>
  </si>
  <si>
    <t>E2_0</t>
  </si>
  <si>
    <t>E3_0</t>
  </si>
  <si>
    <t>E4_0</t>
  </si>
  <si>
    <t>E5_0</t>
  </si>
  <si>
    <t>E6_0</t>
  </si>
  <si>
    <t>E7_0</t>
  </si>
  <si>
    <t>E8_0</t>
  </si>
  <si>
    <t>E9_0</t>
  </si>
  <si>
    <t>E10_0</t>
  </si>
  <si>
    <t>E11_0</t>
  </si>
  <si>
    <t>E12_0</t>
  </si>
  <si>
    <t>E13_0</t>
  </si>
  <si>
    <t>E14_0</t>
  </si>
  <si>
    <t>E15_0</t>
  </si>
  <si>
    <t>E16_0</t>
  </si>
  <si>
    <t>E17_0</t>
  </si>
  <si>
    <t>E18_0</t>
  </si>
  <si>
    <t>E19_0</t>
  </si>
  <si>
    <t>E20_0</t>
  </si>
  <si>
    <t>E21_0</t>
  </si>
  <si>
    <t>E22_0</t>
  </si>
  <si>
    <t>E23_0</t>
  </si>
  <si>
    <t>E24_0</t>
  </si>
  <si>
    <t>E2_1</t>
  </si>
  <si>
    <t>E2_3</t>
  </si>
  <si>
    <t>E2_4</t>
  </si>
  <si>
    <t>E2_5</t>
  </si>
  <si>
    <t>E2_6</t>
  </si>
  <si>
    <t>E2_7</t>
  </si>
  <si>
    <t>E2_8</t>
  </si>
  <si>
    <t>E2_9</t>
  </si>
  <si>
    <t>E2_10</t>
  </si>
  <si>
    <t>E2_11</t>
  </si>
  <si>
    <t>E2_12</t>
  </si>
  <si>
    <t>E2_13</t>
  </si>
  <si>
    <t>E2_14</t>
  </si>
  <si>
    <t>E2_15</t>
  </si>
  <si>
    <t>E25_0</t>
  </si>
  <si>
    <t>E26_0</t>
  </si>
  <si>
    <t>E27_0</t>
  </si>
  <si>
    <t>E3_1</t>
  </si>
  <si>
    <t>E3_2</t>
  </si>
  <si>
    <t>E3_4</t>
  </si>
  <si>
    <t>E3_5</t>
  </si>
  <si>
    <t>E3_6</t>
  </si>
  <si>
    <t>E3_7</t>
  </si>
  <si>
    <t>E3_8</t>
  </si>
  <si>
    <t>E3_9</t>
  </si>
  <si>
    <t>E3_10</t>
  </si>
  <si>
    <t>E3_11</t>
  </si>
  <si>
    <t>E3_12</t>
  </si>
  <si>
    <t>E3_13</t>
  </si>
  <si>
    <t>E3_14</t>
  </si>
  <si>
    <t>E3_15</t>
  </si>
  <si>
    <t>E4_1</t>
  </si>
  <si>
    <t>E4_2</t>
  </si>
  <si>
    <t>E4_3</t>
  </si>
  <si>
    <t>E4_5</t>
  </si>
  <si>
    <t>E4_6</t>
  </si>
  <si>
    <t>E4_7</t>
  </si>
  <si>
    <t>E4_8</t>
  </si>
  <si>
    <t>E4_9</t>
  </si>
  <si>
    <t>E4_10</t>
  </si>
  <si>
    <t>E4_11</t>
  </si>
  <si>
    <t>E4_12</t>
  </si>
  <si>
    <t>E4_13</t>
  </si>
  <si>
    <t>E4_14</t>
  </si>
  <si>
    <t>E4_15</t>
  </si>
  <si>
    <t>E28_0</t>
  </si>
  <si>
    <t>E29_0</t>
  </si>
  <si>
    <t>E30_0</t>
  </si>
  <si>
    <t>E31_0</t>
  </si>
  <si>
    <t>E5_1</t>
  </si>
  <si>
    <t>E5_2</t>
  </si>
  <si>
    <t>E5_3</t>
  </si>
  <si>
    <t>E5_4</t>
  </si>
  <si>
    <t>E5_6</t>
  </si>
  <si>
    <t>E5_7</t>
  </si>
  <si>
    <t>E5_8</t>
  </si>
  <si>
    <t>E5_9</t>
  </si>
  <si>
    <t>E5_10</t>
  </si>
  <si>
    <t>E5_11</t>
  </si>
  <si>
    <t>E5_12</t>
  </si>
  <si>
    <t>E5_13</t>
  </si>
  <si>
    <t>E5_14</t>
  </si>
  <si>
    <t>E5_15</t>
  </si>
  <si>
    <t>E6_1</t>
  </si>
  <si>
    <t>E6_2</t>
  </si>
  <si>
    <t>E6_3</t>
  </si>
  <si>
    <t>E6_4</t>
  </si>
  <si>
    <t>E6_5</t>
  </si>
  <si>
    <t>E6_7</t>
  </si>
  <si>
    <t>E6_8</t>
  </si>
  <si>
    <t>E6_9</t>
  </si>
  <si>
    <t>E6_10</t>
  </si>
  <si>
    <t>E6_11</t>
  </si>
  <si>
    <t>E6_12</t>
  </si>
  <si>
    <t>E6_13</t>
  </si>
  <si>
    <t>E6_14</t>
  </si>
  <si>
    <t>E6_15</t>
  </si>
  <si>
    <t>E7_1</t>
  </si>
  <si>
    <t>E7_2</t>
  </si>
  <si>
    <t>E7_3</t>
  </si>
  <si>
    <t>E7_4</t>
  </si>
  <si>
    <t>E7_5</t>
  </si>
  <si>
    <t>E7_6</t>
  </si>
  <si>
    <t>E7_8</t>
  </si>
  <si>
    <t>E7_9</t>
  </si>
  <si>
    <t>E7_10</t>
  </si>
  <si>
    <t>E7_11</t>
  </si>
  <si>
    <t>E7_12</t>
  </si>
  <si>
    <t>E7_13</t>
  </si>
  <si>
    <t>E7_14</t>
  </si>
  <si>
    <t>E7_15</t>
  </si>
  <si>
    <t>E8_1</t>
  </si>
  <si>
    <t>E8_2</t>
  </si>
  <si>
    <t>E8_3</t>
  </si>
  <si>
    <t>E8_4</t>
  </si>
  <si>
    <t>E8_5</t>
  </si>
  <si>
    <t>E8_6</t>
  </si>
  <si>
    <t>E8_7</t>
  </si>
  <si>
    <t>E8_9</t>
  </si>
  <si>
    <t>E8_10</t>
  </si>
  <si>
    <t>E8_11</t>
  </si>
  <si>
    <t>E8_12</t>
  </si>
  <si>
    <t>E8_13</t>
  </si>
  <si>
    <t>E8_14</t>
  </si>
  <si>
    <t>E8_15</t>
  </si>
  <si>
    <t>E9_1</t>
  </si>
  <si>
    <t>E9_2</t>
  </si>
  <si>
    <t>E9_3</t>
  </si>
  <si>
    <t>E9_4</t>
  </si>
  <si>
    <t>E9_5</t>
  </si>
  <si>
    <t>E9_6</t>
  </si>
  <si>
    <t>E9_7</t>
  </si>
  <si>
    <t>E9_8</t>
  </si>
  <si>
    <t>E9_10</t>
  </si>
  <si>
    <t>E9_11</t>
  </si>
  <si>
    <t>E9_12</t>
  </si>
  <si>
    <t>E9_13</t>
  </si>
  <si>
    <t>E9_14</t>
  </si>
  <si>
    <t>E9_15</t>
  </si>
  <si>
    <t>E10_1</t>
  </si>
  <si>
    <t>E10_2</t>
  </si>
  <si>
    <t>E10_3</t>
  </si>
  <si>
    <t>E10_4</t>
  </si>
  <si>
    <t>E10_5</t>
  </si>
  <si>
    <t>E10_6</t>
  </si>
  <si>
    <t>E10_7</t>
  </si>
  <si>
    <t>E10_8</t>
  </si>
  <si>
    <t>E10_9</t>
  </si>
  <si>
    <t>E10_11</t>
  </si>
  <si>
    <t>E10_12</t>
  </si>
  <si>
    <t>E10_13</t>
  </si>
  <si>
    <t>E10_14</t>
  </si>
  <si>
    <t>E10_15</t>
  </si>
  <si>
    <t>E11_1</t>
  </si>
  <si>
    <t>E11_2</t>
  </si>
  <si>
    <t>E11_3</t>
  </si>
  <si>
    <t>E11_4</t>
  </si>
  <si>
    <t>E11_5</t>
  </si>
  <si>
    <t>E11_6</t>
  </si>
  <si>
    <t>E11_7</t>
  </si>
  <si>
    <t>E11_8</t>
  </si>
  <si>
    <t>E11_9</t>
  </si>
  <si>
    <t>E11_10</t>
  </si>
  <si>
    <t>E11_12</t>
  </si>
  <si>
    <t>E11_13</t>
  </si>
  <si>
    <t>E11_14</t>
  </si>
  <si>
    <t>E11_15</t>
  </si>
  <si>
    <t>E12_1</t>
  </si>
  <si>
    <t>E12_2</t>
  </si>
  <si>
    <t>E12_3</t>
  </si>
  <si>
    <t>E12_4</t>
  </si>
  <si>
    <t>E12_5</t>
  </si>
  <si>
    <t>E12_6</t>
  </si>
  <si>
    <t>E12_7</t>
  </si>
  <si>
    <t>E12_8</t>
  </si>
  <si>
    <t>E12_9</t>
  </si>
  <si>
    <t>E12_10</t>
  </si>
  <si>
    <t>E12_11</t>
  </si>
  <si>
    <t>E12_13</t>
  </si>
  <si>
    <t>E12_14</t>
  </si>
  <si>
    <t>E12_15</t>
  </si>
  <si>
    <t>E13_1</t>
  </si>
  <si>
    <t>E13_2</t>
  </si>
  <si>
    <t>E13_3</t>
  </si>
  <si>
    <t>E13_4</t>
  </si>
  <si>
    <t>E13_5</t>
  </si>
  <si>
    <t>E13_6</t>
  </si>
  <si>
    <t>E13_7</t>
  </si>
  <si>
    <t>E13_8</t>
  </si>
  <si>
    <t>E13_9</t>
  </si>
  <si>
    <t>E13_10</t>
  </si>
  <si>
    <t>E13_11</t>
  </si>
  <si>
    <t>E13_12</t>
  </si>
  <si>
    <t>E13_14</t>
  </si>
  <si>
    <t>E13_15</t>
  </si>
  <si>
    <t>E14_1</t>
  </si>
  <si>
    <t>E14_2</t>
  </si>
  <si>
    <t>E14_3</t>
  </si>
  <si>
    <t>E14_4</t>
  </si>
  <si>
    <t>E14_5</t>
  </si>
  <si>
    <t>E14_6</t>
  </si>
  <si>
    <t>E14_7</t>
  </si>
  <si>
    <t>E14_8</t>
  </si>
  <si>
    <t>E14_9</t>
  </si>
  <si>
    <t>E14_10</t>
  </si>
  <si>
    <t>E14_11</t>
  </si>
  <si>
    <t>E14_12</t>
  </si>
  <si>
    <t>E14_13</t>
  </si>
  <si>
    <t>E14_15</t>
  </si>
  <si>
    <t>E15_1</t>
  </si>
  <si>
    <t>E15_2</t>
  </si>
  <si>
    <t>E15_3</t>
  </si>
  <si>
    <t>E15_4</t>
  </si>
  <si>
    <t>E15_5</t>
  </si>
  <si>
    <t>E15_6</t>
  </si>
  <si>
    <t>E15_7</t>
  </si>
  <si>
    <t>E15_8</t>
  </si>
  <si>
    <t>E15_9</t>
  </si>
  <si>
    <t>E15_10</t>
  </si>
  <si>
    <t>E15_11</t>
  </si>
  <si>
    <t>E15_12</t>
  </si>
  <si>
    <t>E15_13</t>
  </si>
  <si>
    <t>E15_14</t>
  </si>
  <si>
    <t>E16_1</t>
  </si>
  <si>
    <t>E16_2</t>
  </si>
  <si>
    <t>E16_3</t>
  </si>
  <si>
    <t>E16_4</t>
  </si>
  <si>
    <t>E16_5</t>
  </si>
  <si>
    <t>E16_6</t>
  </si>
  <si>
    <t>E16_7</t>
  </si>
  <si>
    <t>E16_8</t>
  </si>
  <si>
    <t>E16_9</t>
  </si>
  <si>
    <t>E16_10</t>
  </si>
  <si>
    <t>E16_11</t>
  </si>
  <si>
    <t>E16_12</t>
  </si>
  <si>
    <t>E16_13</t>
  </si>
  <si>
    <t>E16_14</t>
  </si>
  <si>
    <t>E16_15</t>
  </si>
  <si>
    <t>E17_1</t>
  </si>
  <si>
    <t>E17_2</t>
  </si>
  <si>
    <t>E17_3</t>
  </si>
  <si>
    <t>E17_4</t>
  </si>
  <si>
    <t>E17_5</t>
  </si>
  <si>
    <t>E17_6</t>
  </si>
  <si>
    <t>E17_7</t>
  </si>
  <si>
    <t>E17_8</t>
  </si>
  <si>
    <t>E17_9</t>
  </si>
  <si>
    <t>E17_10</t>
  </si>
  <si>
    <t>E17_11</t>
  </si>
  <si>
    <t>E17_12</t>
  </si>
  <si>
    <t>E17_13</t>
  </si>
  <si>
    <t>E17_14</t>
  </si>
  <si>
    <t>E17_15</t>
  </si>
  <si>
    <t>E18_1</t>
  </si>
  <si>
    <t>E18_2</t>
  </si>
  <si>
    <t>E18_3</t>
  </si>
  <si>
    <t>E18_4</t>
  </si>
  <si>
    <t>E18_5</t>
  </si>
  <si>
    <t>E18_6</t>
  </si>
  <si>
    <t>E18_7</t>
  </si>
  <si>
    <t>E18_8</t>
  </si>
  <si>
    <t>E18_9</t>
  </si>
  <si>
    <t>E18_10</t>
  </si>
  <si>
    <t>E18_11</t>
  </si>
  <si>
    <t>E18_12</t>
  </si>
  <si>
    <t>E18_13</t>
  </si>
  <si>
    <t>E18_14</t>
  </si>
  <si>
    <t>E18_15</t>
  </si>
  <si>
    <t>E19_1</t>
  </si>
  <si>
    <t>E19_2</t>
  </si>
  <si>
    <t>E19_3</t>
  </si>
  <si>
    <t>E19_4</t>
  </si>
  <si>
    <t>E19_5</t>
  </si>
  <si>
    <t>E19_6</t>
  </si>
  <si>
    <t>E19_7</t>
  </si>
  <si>
    <t>E19_8</t>
  </si>
  <si>
    <t>E19_9</t>
  </si>
  <si>
    <t>E19_10</t>
  </si>
  <si>
    <t>E19_11</t>
  </si>
  <si>
    <t>E19_12</t>
  </si>
  <si>
    <t>E19_13</t>
  </si>
  <si>
    <t>E19_14</t>
  </si>
  <si>
    <t>E19_15</t>
  </si>
  <si>
    <t>E20_1</t>
  </si>
  <si>
    <t>E20_2</t>
  </si>
  <si>
    <t>E20_3</t>
  </si>
  <si>
    <t>E20_4</t>
  </si>
  <si>
    <t>E20_5</t>
  </si>
  <si>
    <t>E20_6</t>
  </si>
  <si>
    <t>E20_7</t>
  </si>
  <si>
    <t>E20_8</t>
  </si>
  <si>
    <t>E20_9</t>
  </si>
  <si>
    <t>E20_10</t>
  </si>
  <si>
    <t>E20_11</t>
  </si>
  <si>
    <t>E20_12</t>
  </si>
  <si>
    <t>E20_13</t>
  </si>
  <si>
    <t>E20_14</t>
  </si>
  <si>
    <t>E20_15</t>
  </si>
  <si>
    <t>E21_1</t>
  </si>
  <si>
    <t>E21_2</t>
  </si>
  <si>
    <t>E21_3</t>
  </si>
  <si>
    <t>E21_4</t>
  </si>
  <si>
    <t>E21_5</t>
  </si>
  <si>
    <t>E21_6</t>
  </si>
  <si>
    <t>E21_7</t>
  </si>
  <si>
    <t>E21_8</t>
  </si>
  <si>
    <t>E21_9</t>
  </si>
  <si>
    <t>E21_10</t>
  </si>
  <si>
    <t>E21_11</t>
  </si>
  <si>
    <t>E21_12</t>
  </si>
  <si>
    <t>E21_13</t>
  </si>
  <si>
    <t>E21_14</t>
  </si>
  <si>
    <t>E21_15</t>
  </si>
  <si>
    <t>E22_1</t>
  </si>
  <si>
    <t>E22_2</t>
  </si>
  <si>
    <t>E22_3</t>
  </si>
  <si>
    <t>E22_4</t>
  </si>
  <si>
    <t>E22_5</t>
  </si>
  <si>
    <t>E22_6</t>
  </si>
  <si>
    <t>E22_7</t>
  </si>
  <si>
    <t>E22_8</t>
  </si>
  <si>
    <t>E22_9</t>
  </si>
  <si>
    <t>E22_10</t>
  </si>
  <si>
    <t>E22_11</t>
  </si>
  <si>
    <t>E22_12</t>
  </si>
  <si>
    <t>E22_13</t>
  </si>
  <si>
    <t>E22_14</t>
  </si>
  <si>
    <t>E22_15</t>
  </si>
  <si>
    <t>E23_1</t>
  </si>
  <si>
    <t>E23_2</t>
  </si>
  <si>
    <t>E23_3</t>
  </si>
  <si>
    <t>E23_4</t>
  </si>
  <si>
    <t>E23_5</t>
  </si>
  <si>
    <t>E23_6</t>
  </si>
  <si>
    <t>E23_7</t>
  </si>
  <si>
    <t>E23_8</t>
  </si>
  <si>
    <t>E23_9</t>
  </si>
  <si>
    <t>E23_10</t>
  </si>
  <si>
    <t>E23_11</t>
  </si>
  <si>
    <t>E23_12</t>
  </si>
  <si>
    <t>E23_13</t>
  </si>
  <si>
    <t>E23_14</t>
  </si>
  <si>
    <t>E23_15</t>
  </si>
  <si>
    <t>E24_1</t>
  </si>
  <si>
    <t>E24_2</t>
  </si>
  <si>
    <t>E24_3</t>
  </si>
  <si>
    <t>E24_4</t>
  </si>
  <si>
    <t>E24_5</t>
  </si>
  <si>
    <t>E24_6</t>
  </si>
  <si>
    <t>E24_7</t>
  </si>
  <si>
    <t>E24_8</t>
  </si>
  <si>
    <t>E24_9</t>
  </si>
  <si>
    <t>E24_10</t>
  </si>
  <si>
    <t>E24_11</t>
  </si>
  <si>
    <t>E24_12</t>
  </si>
  <si>
    <t>E24_13</t>
  </si>
  <si>
    <t>E24_14</t>
  </si>
  <si>
    <t>E24_15</t>
  </si>
  <si>
    <t>E25_1</t>
  </si>
  <si>
    <t>E25_2</t>
  </si>
  <si>
    <t>E25_3</t>
  </si>
  <si>
    <t>E25_4</t>
  </si>
  <si>
    <t>E25_5</t>
  </si>
  <si>
    <t>E25_6</t>
  </si>
  <si>
    <t>E25_7</t>
  </si>
  <si>
    <t>E25_8</t>
  </si>
  <si>
    <t>E25_9</t>
  </si>
  <si>
    <t>E25_10</t>
  </si>
  <si>
    <t>E25_11</t>
  </si>
  <si>
    <t>E25_12</t>
  </si>
  <si>
    <t>E25_13</t>
  </si>
  <si>
    <t>E25_14</t>
  </si>
  <si>
    <t>E25_15</t>
  </si>
  <si>
    <t>E26_1</t>
  </si>
  <si>
    <t>E26_2</t>
  </si>
  <si>
    <t>E26_3</t>
  </si>
  <si>
    <t>E26_4</t>
  </si>
  <si>
    <t>E26_5</t>
  </si>
  <si>
    <t>E26_6</t>
  </si>
  <si>
    <t>E26_7</t>
  </si>
  <si>
    <t>E26_8</t>
  </si>
  <si>
    <t>E26_9</t>
  </si>
  <si>
    <t>E26_10</t>
  </si>
  <si>
    <t>E26_11</t>
  </si>
  <si>
    <t>E26_12</t>
  </si>
  <si>
    <t>E26_13</t>
  </si>
  <si>
    <t>E26_14</t>
  </si>
  <si>
    <t>E26_15</t>
  </si>
  <si>
    <t>E27_1</t>
  </si>
  <si>
    <t>E27_2</t>
  </si>
  <si>
    <t>E27_3</t>
  </si>
  <si>
    <t>E27_4</t>
  </si>
  <si>
    <t>E27_5</t>
  </si>
  <si>
    <t>E27_6</t>
  </si>
  <si>
    <t>E27_7</t>
  </si>
  <si>
    <t>E27_8</t>
  </si>
  <si>
    <t>E27_9</t>
  </si>
  <si>
    <t>E27_10</t>
  </si>
  <si>
    <t>E27_11</t>
  </si>
  <si>
    <t>E27_12</t>
  </si>
  <si>
    <t>E27_13</t>
  </si>
  <si>
    <t>E27_14</t>
  </si>
  <si>
    <t>E27_15</t>
  </si>
  <si>
    <t>E28_1</t>
  </si>
  <si>
    <t>E28_2</t>
  </si>
  <si>
    <t>E28_3</t>
  </si>
  <si>
    <t>E28_4</t>
  </si>
  <si>
    <t>E28_5</t>
  </si>
  <si>
    <t>E28_6</t>
  </si>
  <si>
    <t>E28_7</t>
  </si>
  <si>
    <t>E28_8</t>
  </si>
  <si>
    <t>E28_9</t>
  </si>
  <si>
    <t>E28_10</t>
  </si>
  <si>
    <t>E28_11</t>
  </si>
  <si>
    <t>E28_12</t>
  </si>
  <si>
    <t>E28_13</t>
  </si>
  <si>
    <t>E28_14</t>
  </si>
  <si>
    <t>E28_15</t>
  </si>
  <si>
    <t>E29_1</t>
  </si>
  <si>
    <t>E29_2</t>
  </si>
  <si>
    <t>E29_3</t>
  </si>
  <si>
    <t>E29_4</t>
  </si>
  <si>
    <t>E29_5</t>
  </si>
  <si>
    <t>E29_6</t>
  </si>
  <si>
    <t>E29_7</t>
  </si>
  <si>
    <t>E29_8</t>
  </si>
  <si>
    <t>E29_9</t>
  </si>
  <si>
    <t>E29_10</t>
  </si>
  <si>
    <t>E29_11</t>
  </si>
  <si>
    <t>E29_12</t>
  </si>
  <si>
    <t>E29_13</t>
  </si>
  <si>
    <t>E29_14</t>
  </si>
  <si>
    <t>E29_15</t>
  </si>
  <si>
    <t>E30_1</t>
  </si>
  <si>
    <t>E30_2</t>
  </si>
  <si>
    <t>E30_3</t>
  </si>
  <si>
    <t>E30_4</t>
  </si>
  <si>
    <t>E30_5</t>
  </si>
  <si>
    <t>E30_6</t>
  </si>
  <si>
    <t>E30_7</t>
  </si>
  <si>
    <t>E30_8</t>
  </si>
  <si>
    <t>E30_9</t>
  </si>
  <si>
    <t>E30_10</t>
  </si>
  <si>
    <t>E30_11</t>
  </si>
  <si>
    <t>E30_12</t>
  </si>
  <si>
    <t>E30_13</t>
  </si>
  <si>
    <t>E30_14</t>
  </si>
  <si>
    <t>E30_15</t>
  </si>
  <si>
    <t>E31_1</t>
  </si>
  <si>
    <t>E31_2</t>
  </si>
  <si>
    <t>E31_3</t>
  </si>
  <si>
    <t>E31_4</t>
  </si>
  <si>
    <t>E31_5</t>
  </si>
  <si>
    <t>E31_6</t>
  </si>
  <si>
    <t>E31_7</t>
  </si>
  <si>
    <t>E31_8</t>
  </si>
  <si>
    <t>E31_9</t>
  </si>
  <si>
    <t>E31_10</t>
  </si>
  <si>
    <t>E31_11</t>
  </si>
  <si>
    <t>E31_12</t>
  </si>
  <si>
    <t>E31_13</t>
  </si>
  <si>
    <t>E31_14</t>
  </si>
  <si>
    <t>E31_15</t>
  </si>
  <si>
    <t>FlexCAN Prop Jump Values_Extended</t>
  </si>
  <si>
    <t>FlexCAN Jump Values_Extended</t>
  </si>
  <si>
    <t>FlexCAN Prop Jump Values_FD</t>
  </si>
  <si>
    <t>EP17_0</t>
  </si>
  <si>
    <t>EP18_0</t>
  </si>
  <si>
    <t>EP19_0</t>
  </si>
  <si>
    <t>EP20_0</t>
  </si>
  <si>
    <t>EP21_0</t>
  </si>
  <si>
    <t>EP22_0</t>
  </si>
  <si>
    <t>EP23_0</t>
  </si>
  <si>
    <t>EP24_0</t>
  </si>
  <si>
    <t>EP25_0</t>
  </si>
  <si>
    <t>EP26_0</t>
  </si>
  <si>
    <t>EP27_0</t>
  </si>
  <si>
    <t>EP28_0</t>
  </si>
  <si>
    <t>EP29_0</t>
  </si>
  <si>
    <t>EP30_0</t>
  </si>
  <si>
    <t>EP31_0</t>
  </si>
  <si>
    <t>EP32_0</t>
  </si>
  <si>
    <t>EP33_0</t>
  </si>
  <si>
    <t>EP34_0</t>
  </si>
  <si>
    <t>EP35_0</t>
  </si>
  <si>
    <t>EP36_0</t>
  </si>
  <si>
    <t>EP17_1</t>
  </si>
  <si>
    <t>EP17_2</t>
  </si>
  <si>
    <t>EP17_3</t>
  </si>
  <si>
    <t>EP17_4</t>
  </si>
  <si>
    <t>EP17_5</t>
  </si>
  <si>
    <t>EP17_6</t>
  </si>
  <si>
    <t>EP17_7</t>
  </si>
  <si>
    <t>EP17_8</t>
  </si>
  <si>
    <t>EP17_9</t>
  </si>
  <si>
    <t>EP17_10</t>
  </si>
  <si>
    <t>EP17_11</t>
  </si>
  <si>
    <t>EP17_12</t>
  </si>
  <si>
    <t>EP17_13</t>
  </si>
  <si>
    <t>EP17_14</t>
  </si>
  <si>
    <t>EP17_15</t>
  </si>
  <si>
    <t>EP18_1</t>
  </si>
  <si>
    <t>EP18_2</t>
  </si>
  <si>
    <t>EP18_3</t>
  </si>
  <si>
    <t>EP18_4</t>
  </si>
  <si>
    <t>EP18_5</t>
  </si>
  <si>
    <t>EP18_6</t>
  </si>
  <si>
    <t>EP18_7</t>
  </si>
  <si>
    <t>EP18_8</t>
  </si>
  <si>
    <t>EP18_9</t>
  </si>
  <si>
    <t>EP18_10</t>
  </si>
  <si>
    <t>EP18_11</t>
  </si>
  <si>
    <t>EP18_12</t>
  </si>
  <si>
    <t>EP18_13</t>
  </si>
  <si>
    <t>EP18_14</t>
  </si>
  <si>
    <t>EP18_15</t>
  </si>
  <si>
    <t>EP37_0</t>
  </si>
  <si>
    <t>EP38_0</t>
  </si>
  <si>
    <t>EP39_0</t>
  </si>
  <si>
    <t>EP40_0</t>
  </si>
  <si>
    <t>EP41_0</t>
  </si>
  <si>
    <t>EP42_0</t>
  </si>
  <si>
    <t>EP19_1</t>
  </si>
  <si>
    <t>EP19_2</t>
  </si>
  <si>
    <t>EP19_3</t>
  </si>
  <si>
    <t>EP19_4</t>
  </si>
  <si>
    <t>EP19_5</t>
  </si>
  <si>
    <t>EP19_6</t>
  </si>
  <si>
    <t>EP19_7</t>
  </si>
  <si>
    <t>EP19_8</t>
  </si>
  <si>
    <t>EP19_9</t>
  </si>
  <si>
    <t>EP19_10</t>
  </si>
  <si>
    <t>EP19_11</t>
  </si>
  <si>
    <t>EP19_12</t>
  </si>
  <si>
    <t>EP19_13</t>
  </si>
  <si>
    <t>EP19_14</t>
  </si>
  <si>
    <t>EP19_15</t>
  </si>
  <si>
    <t>EP20_1</t>
  </si>
  <si>
    <t>EP20_2</t>
  </si>
  <si>
    <t>EP20_3</t>
  </si>
  <si>
    <t>EP20_4</t>
  </si>
  <si>
    <t>EP20_5</t>
  </si>
  <si>
    <t>EP20_6</t>
  </si>
  <si>
    <t>EP20_7</t>
  </si>
  <si>
    <t>EP20_8</t>
  </si>
  <si>
    <t>EP20_9</t>
  </si>
  <si>
    <t>EP20_10</t>
  </si>
  <si>
    <t>EP20_11</t>
  </si>
  <si>
    <t>EP20_12</t>
  </si>
  <si>
    <t>EP20_13</t>
  </si>
  <si>
    <t>EP20_14</t>
  </si>
  <si>
    <t>EP20_15</t>
  </si>
  <si>
    <t>EP21_1</t>
  </si>
  <si>
    <t>EP21_2</t>
  </si>
  <si>
    <t>EP21_3</t>
  </si>
  <si>
    <t>EP21_4</t>
  </si>
  <si>
    <t>EP21_5</t>
  </si>
  <si>
    <t>EP21_6</t>
  </si>
  <si>
    <t>EP21_7</t>
  </si>
  <si>
    <t>EP21_8</t>
  </si>
  <si>
    <t>EP21_9</t>
  </si>
  <si>
    <t>EP21_10</t>
  </si>
  <si>
    <t>EP21_11</t>
  </si>
  <si>
    <t>EP21_12</t>
  </si>
  <si>
    <t>EP21_13</t>
  </si>
  <si>
    <t>EP21_14</t>
  </si>
  <si>
    <t>EP21_15</t>
  </si>
  <si>
    <t>EP22_1</t>
  </si>
  <si>
    <t>EP22_2</t>
  </si>
  <si>
    <t>EP22_3</t>
  </si>
  <si>
    <t>EP22_4</t>
  </si>
  <si>
    <t>EP22_5</t>
  </si>
  <si>
    <t>EP22_6</t>
  </si>
  <si>
    <t>EP22_7</t>
  </si>
  <si>
    <t>EP22_8</t>
  </si>
  <si>
    <t>EP22_9</t>
  </si>
  <si>
    <t>EP22_10</t>
  </si>
  <si>
    <t>EP22_11</t>
  </si>
  <si>
    <t>EP22_12</t>
  </si>
  <si>
    <t>EP22_13</t>
  </si>
  <si>
    <t>EP22_14</t>
  </si>
  <si>
    <t>EP22_15</t>
  </si>
  <si>
    <t>EP23_1</t>
  </si>
  <si>
    <t>EP23_2</t>
  </si>
  <si>
    <t>EP23_3</t>
  </si>
  <si>
    <t>EP23_4</t>
  </si>
  <si>
    <t>EP23_5</t>
  </si>
  <si>
    <t>EP23_6</t>
  </si>
  <si>
    <t>EP23_7</t>
  </si>
  <si>
    <t>EP23_8</t>
  </si>
  <si>
    <t>EP23_9</t>
  </si>
  <si>
    <t>EP23_10</t>
  </si>
  <si>
    <t>EP23_11</t>
  </si>
  <si>
    <t>EP23_12</t>
  </si>
  <si>
    <t>EP23_13</t>
  </si>
  <si>
    <t>EP23_14</t>
  </si>
  <si>
    <t>EP23_15</t>
  </si>
  <si>
    <t>EP24_1</t>
  </si>
  <si>
    <t>EP24_2</t>
  </si>
  <si>
    <t>EP24_3</t>
  </si>
  <si>
    <t>EP24_4</t>
  </si>
  <si>
    <t>EP24_5</t>
  </si>
  <si>
    <t>EP24_6</t>
  </si>
  <si>
    <t>EP24_7</t>
  </si>
  <si>
    <t>EP24_8</t>
  </si>
  <si>
    <t>EP24_9</t>
  </si>
  <si>
    <t>EP24_10</t>
  </si>
  <si>
    <t>EP24_11</t>
  </si>
  <si>
    <t>EP24_12</t>
  </si>
  <si>
    <t>EP24_13</t>
  </si>
  <si>
    <t>EP24_14</t>
  </si>
  <si>
    <t>EP24_15</t>
  </si>
  <si>
    <t>EP43_0</t>
  </si>
  <si>
    <t>EP44_0</t>
  </si>
  <si>
    <t>EP45_0</t>
  </si>
  <si>
    <t>EP25_1</t>
  </si>
  <si>
    <t>EP25_2</t>
  </si>
  <si>
    <t>EP25_3</t>
  </si>
  <si>
    <t>EP25_4</t>
  </si>
  <si>
    <t>EP25_5</t>
  </si>
  <si>
    <t>EP25_6</t>
  </si>
  <si>
    <t>EP25_7</t>
  </si>
  <si>
    <t>EP25_8</t>
  </si>
  <si>
    <t>EP25_9</t>
  </si>
  <si>
    <t>EP25_10</t>
  </si>
  <si>
    <t>EP25_11</t>
  </si>
  <si>
    <t>EP25_12</t>
  </si>
  <si>
    <t>EP25_13</t>
  </si>
  <si>
    <t>EP25_14</t>
  </si>
  <si>
    <t>EP25_15</t>
  </si>
  <si>
    <t>EP26_1</t>
  </si>
  <si>
    <t>EP26_2</t>
  </si>
  <si>
    <t>EP26_3</t>
  </si>
  <si>
    <t>EP26_4</t>
  </si>
  <si>
    <t>EP26_5</t>
  </si>
  <si>
    <t>EP26_6</t>
  </si>
  <si>
    <t>EP26_7</t>
  </si>
  <si>
    <t>EP26_8</t>
  </si>
  <si>
    <t>EP26_9</t>
  </si>
  <si>
    <t>EP26_10</t>
  </si>
  <si>
    <t>EP26_11</t>
  </si>
  <si>
    <t>EP26_12</t>
  </si>
  <si>
    <t>EP26_13</t>
  </si>
  <si>
    <t>EP26_14</t>
  </si>
  <si>
    <t>EP26_15</t>
  </si>
  <si>
    <t>EP27_1</t>
  </si>
  <si>
    <t>EP27_2</t>
  </si>
  <si>
    <t>EP27_3</t>
  </si>
  <si>
    <t>EP27_4</t>
  </si>
  <si>
    <t>EP27_5</t>
  </si>
  <si>
    <t>EP27_6</t>
  </si>
  <si>
    <t>EP27_7</t>
  </si>
  <si>
    <t>EP27_8</t>
  </si>
  <si>
    <t>EP27_9</t>
  </si>
  <si>
    <t>EP27_10</t>
  </si>
  <si>
    <t>EP27_11</t>
  </si>
  <si>
    <t>EP27_12</t>
  </si>
  <si>
    <t>EP27_13</t>
  </si>
  <si>
    <t>EP27_14</t>
  </si>
  <si>
    <t>EP27_15</t>
  </si>
  <si>
    <t>EP28_1</t>
  </si>
  <si>
    <t>EP28_2</t>
  </si>
  <si>
    <t>EP28_3</t>
  </si>
  <si>
    <t>EP28_4</t>
  </si>
  <si>
    <t>EP28_5</t>
  </si>
  <si>
    <t>EP28_6</t>
  </si>
  <si>
    <t>EP28_7</t>
  </si>
  <si>
    <t>EP28_8</t>
  </si>
  <si>
    <t>EP28_9</t>
  </si>
  <si>
    <t>EP28_10</t>
  </si>
  <si>
    <t>EP28_11</t>
  </si>
  <si>
    <t>EP28_12</t>
  </si>
  <si>
    <t>EP28_13</t>
  </si>
  <si>
    <t>EP28_14</t>
  </si>
  <si>
    <t>EP28_15</t>
  </si>
  <si>
    <t>EP46_0</t>
  </si>
  <si>
    <t>EP47_0</t>
  </si>
  <si>
    <t>EP48_0</t>
  </si>
  <si>
    <t>EP29_1</t>
  </si>
  <si>
    <t>EP29_2</t>
  </si>
  <si>
    <t>EP29_3</t>
  </si>
  <si>
    <t>EP29_4</t>
  </si>
  <si>
    <t>EP29_5</t>
  </si>
  <si>
    <t>EP29_6</t>
  </si>
  <si>
    <t>EP29_7</t>
  </si>
  <si>
    <t>EP29_8</t>
  </si>
  <si>
    <t>EP29_9</t>
  </si>
  <si>
    <t>EP29_10</t>
  </si>
  <si>
    <t>EP29_11</t>
  </si>
  <si>
    <t>EP29_12</t>
  </si>
  <si>
    <t>EP29_13</t>
  </si>
  <si>
    <t>EP29_14</t>
  </si>
  <si>
    <t>EP29_15</t>
  </si>
  <si>
    <t>EP30_1</t>
  </si>
  <si>
    <t>EP30_2</t>
  </si>
  <si>
    <t>EP30_3</t>
  </si>
  <si>
    <t>EP30_4</t>
  </si>
  <si>
    <t>EP30_5</t>
  </si>
  <si>
    <t>EP30_6</t>
  </si>
  <si>
    <t>EP30_7</t>
  </si>
  <si>
    <t>EP30_8</t>
  </si>
  <si>
    <t>EP30_9</t>
  </si>
  <si>
    <t>EP30_10</t>
  </si>
  <si>
    <t>EP30_11</t>
  </si>
  <si>
    <t>EP30_12</t>
  </si>
  <si>
    <t>EP30_13</t>
  </si>
  <si>
    <t>EP30_14</t>
  </si>
  <si>
    <t>EP30_15</t>
  </si>
  <si>
    <t>EP31_1</t>
  </si>
  <si>
    <t>EP31_2</t>
  </si>
  <si>
    <t>EP31_3</t>
  </si>
  <si>
    <t>EP31_4</t>
  </si>
  <si>
    <t>EP31_5</t>
  </si>
  <si>
    <t>EP31_6</t>
  </si>
  <si>
    <t>EP31_7</t>
  </si>
  <si>
    <t>EP31_8</t>
  </si>
  <si>
    <t>EP31_9</t>
  </si>
  <si>
    <t>EP31_10</t>
  </si>
  <si>
    <t>EP31_11</t>
  </si>
  <si>
    <t>EP31_12</t>
  </si>
  <si>
    <t>EP31_13</t>
  </si>
  <si>
    <t>EP31_14</t>
  </si>
  <si>
    <t>EP31_15</t>
  </si>
  <si>
    <t>EP49_0</t>
  </si>
  <si>
    <t>EP50_0</t>
  </si>
  <si>
    <t>EP51_0</t>
  </si>
  <si>
    <t>EP32_1</t>
  </si>
  <si>
    <t>EP32_2</t>
  </si>
  <si>
    <t>EP32_3</t>
  </si>
  <si>
    <t>EP32_4</t>
  </si>
  <si>
    <t>EP32_5</t>
  </si>
  <si>
    <t>EP32_6</t>
  </si>
  <si>
    <t>EP32_7</t>
  </si>
  <si>
    <t>EP32_8</t>
  </si>
  <si>
    <t>EP32_9</t>
  </si>
  <si>
    <t>EP32_10</t>
  </si>
  <si>
    <t>EP32_11</t>
  </si>
  <si>
    <t>EP32_12</t>
  </si>
  <si>
    <t>EP32_13</t>
  </si>
  <si>
    <t>EP32_14</t>
  </si>
  <si>
    <t>EP32_15</t>
  </si>
  <si>
    <t>EP33_1</t>
  </si>
  <si>
    <t>EP33_2</t>
  </si>
  <si>
    <t>EP33_3</t>
  </si>
  <si>
    <t>EP33_4</t>
  </si>
  <si>
    <t>EP33_5</t>
  </si>
  <si>
    <t>EP33_6</t>
  </si>
  <si>
    <t>EP33_7</t>
  </si>
  <si>
    <t>EP33_8</t>
  </si>
  <si>
    <t>EP33_9</t>
  </si>
  <si>
    <t>EP33_10</t>
  </si>
  <si>
    <t>EP33_11</t>
  </si>
  <si>
    <t>EP33_12</t>
  </si>
  <si>
    <t>EP33_13</t>
  </si>
  <si>
    <t>EP33_14</t>
  </si>
  <si>
    <t>EP33_15</t>
  </si>
  <si>
    <t>EP34_1</t>
  </si>
  <si>
    <t>EP34_2</t>
  </si>
  <si>
    <t>EP34_3</t>
  </si>
  <si>
    <t>EP34_4</t>
  </si>
  <si>
    <t>EP34_5</t>
  </si>
  <si>
    <t>EP34_6</t>
  </si>
  <si>
    <t>EP34_7</t>
  </si>
  <si>
    <t>EP34_8</t>
  </si>
  <si>
    <t>EP34_9</t>
  </si>
  <si>
    <t>EP34_10</t>
  </si>
  <si>
    <t>EP34_11</t>
  </si>
  <si>
    <t>EP34_12</t>
  </si>
  <si>
    <t>EP34_13</t>
  </si>
  <si>
    <t>EP34_14</t>
  </si>
  <si>
    <t>EP34_15</t>
  </si>
  <si>
    <t>EP52_0</t>
  </si>
  <si>
    <t>EP53_0</t>
  </si>
  <si>
    <t>EP54_0</t>
  </si>
  <si>
    <t>EP35_1</t>
  </si>
  <si>
    <t>EP35_2</t>
  </si>
  <si>
    <t>EP35_3</t>
  </si>
  <si>
    <t>EP35_4</t>
  </si>
  <si>
    <t>EP35_5</t>
  </si>
  <si>
    <t>EP35_6</t>
  </si>
  <si>
    <t>EP35_7</t>
  </si>
  <si>
    <t>EP35_8</t>
  </si>
  <si>
    <t>EP35_9</t>
  </si>
  <si>
    <t>EP35_10</t>
  </si>
  <si>
    <t>EP35_11</t>
  </si>
  <si>
    <t>EP35_12</t>
  </si>
  <si>
    <t>EP35_13</t>
  </si>
  <si>
    <t>EP35_14</t>
  </si>
  <si>
    <t>EP35_15</t>
  </si>
  <si>
    <t>EP55_0</t>
  </si>
  <si>
    <t>EP56_0</t>
  </si>
  <si>
    <t>EP57_0</t>
  </si>
  <si>
    <t>EP36_1</t>
  </si>
  <si>
    <t>EP36_2</t>
  </si>
  <si>
    <t>EP36_3</t>
  </si>
  <si>
    <t>EP36_4</t>
  </si>
  <si>
    <t>EP36_5</t>
  </si>
  <si>
    <t>EP36_6</t>
  </si>
  <si>
    <t>EP36_7</t>
  </si>
  <si>
    <t>EP36_8</t>
  </si>
  <si>
    <t>EP36_9</t>
  </si>
  <si>
    <t>EP36_10</t>
  </si>
  <si>
    <t>EP36_11</t>
  </si>
  <si>
    <t>EP36_12</t>
  </si>
  <si>
    <t>EP36_13</t>
  </si>
  <si>
    <t>EP36_14</t>
  </si>
  <si>
    <t>EP36_15</t>
  </si>
  <si>
    <t>EP37_1</t>
  </si>
  <si>
    <t>EP37_2</t>
  </si>
  <si>
    <t>EP37_3</t>
  </si>
  <si>
    <t>EP37_4</t>
  </si>
  <si>
    <t>EP37_5</t>
  </si>
  <si>
    <t>EP37_6</t>
  </si>
  <si>
    <t>EP37_7</t>
  </si>
  <si>
    <t>EP37_8</t>
  </si>
  <si>
    <t>EP37_9</t>
  </si>
  <si>
    <t>EP37_10</t>
  </si>
  <si>
    <t>EP37_11</t>
  </si>
  <si>
    <t>EP37_12</t>
  </si>
  <si>
    <t>EP37_13</t>
  </si>
  <si>
    <t>EP37_14</t>
  </si>
  <si>
    <t>EP37_15</t>
  </si>
  <si>
    <t>EP58_0</t>
  </si>
  <si>
    <t>EP38_1</t>
  </si>
  <si>
    <t>EP38_2</t>
  </si>
  <si>
    <t>EP38_3</t>
  </si>
  <si>
    <t>EP38_4</t>
  </si>
  <si>
    <t>EP38_5</t>
  </si>
  <si>
    <t>EP38_6</t>
  </si>
  <si>
    <t>EP38_7</t>
  </si>
  <si>
    <t>EP38_8</t>
  </si>
  <si>
    <t>EP38_9</t>
  </si>
  <si>
    <t>EP38_10</t>
  </si>
  <si>
    <t>EP38_11</t>
  </si>
  <si>
    <t>EP38_12</t>
  </si>
  <si>
    <t>EP38_13</t>
  </si>
  <si>
    <t>EP38_14</t>
  </si>
  <si>
    <t>EP38_15</t>
  </si>
  <si>
    <t>EP39_1</t>
  </si>
  <si>
    <t>EP39_2</t>
  </si>
  <si>
    <t>EP39_3</t>
  </si>
  <si>
    <t>EP39_4</t>
  </si>
  <si>
    <t>EP39_5</t>
  </si>
  <si>
    <t>EP39_6</t>
  </si>
  <si>
    <t>EP39_7</t>
  </si>
  <si>
    <t>EP39_8</t>
  </si>
  <si>
    <t>EP39_9</t>
  </si>
  <si>
    <t>EP39_10</t>
  </si>
  <si>
    <t>EP39_11</t>
  </si>
  <si>
    <t>EP39_12</t>
  </si>
  <si>
    <t>EP39_13</t>
  </si>
  <si>
    <t>EP39_14</t>
  </si>
  <si>
    <t>EP39_15</t>
  </si>
  <si>
    <t>EP40_1</t>
  </si>
  <si>
    <t>EP40_2</t>
  </si>
  <si>
    <t>EP40_3</t>
  </si>
  <si>
    <t>EP40_4</t>
  </si>
  <si>
    <t>EP40_5</t>
  </si>
  <si>
    <t>EP40_6</t>
  </si>
  <si>
    <t>EP40_7</t>
  </si>
  <si>
    <t>EP40_8</t>
  </si>
  <si>
    <t>EP40_9</t>
  </si>
  <si>
    <t>EP40_10</t>
  </si>
  <si>
    <t>EP40_11</t>
  </si>
  <si>
    <t>EP40_12</t>
  </si>
  <si>
    <t>EP40_13</t>
  </si>
  <si>
    <t>EP40_14</t>
  </si>
  <si>
    <t>EP40_15</t>
  </si>
  <si>
    <t>EP59_0</t>
  </si>
  <si>
    <t>EP60_0</t>
  </si>
  <si>
    <t>EP61_0</t>
  </si>
  <si>
    <t>EP41_1</t>
  </si>
  <si>
    <t>EP41_2</t>
  </si>
  <si>
    <t>EP41_3</t>
  </si>
  <si>
    <t>EP41_4</t>
  </si>
  <si>
    <t>EP41_5</t>
  </si>
  <si>
    <t>EP41_6</t>
  </si>
  <si>
    <t>EP41_7</t>
  </si>
  <si>
    <t>EP41_8</t>
  </si>
  <si>
    <t>EP41_9</t>
  </si>
  <si>
    <t>EP41_10</t>
  </si>
  <si>
    <t>EP41_11</t>
  </si>
  <si>
    <t>EP41_12</t>
  </si>
  <si>
    <t>EP41_13</t>
  </si>
  <si>
    <t>EP41_14</t>
  </si>
  <si>
    <t>EP41_15</t>
  </si>
  <si>
    <t>EP62_0</t>
  </si>
  <si>
    <t>EP63_0</t>
  </si>
  <si>
    <t>EP42_1</t>
  </si>
  <si>
    <t>EP42_2</t>
  </si>
  <si>
    <t>EP42_3</t>
  </si>
  <si>
    <t>EP42_4</t>
  </si>
  <si>
    <t>EP42_5</t>
  </si>
  <si>
    <t>EP42_6</t>
  </si>
  <si>
    <t>EP42_7</t>
  </si>
  <si>
    <t>EP42_8</t>
  </si>
  <si>
    <t>EP42_9</t>
  </si>
  <si>
    <t>EP42_10</t>
  </si>
  <si>
    <t>EP42_11</t>
  </si>
  <si>
    <t>EP42_12</t>
  </si>
  <si>
    <t>EP42_13</t>
  </si>
  <si>
    <t>EP42_14</t>
  </si>
  <si>
    <t>EP42_15</t>
  </si>
  <si>
    <t>EP43_1</t>
  </si>
  <si>
    <t>EP43_2</t>
  </si>
  <si>
    <t>EP43_3</t>
  </si>
  <si>
    <t>EP43_4</t>
  </si>
  <si>
    <t>EP43_5</t>
  </si>
  <si>
    <t>EP43_6</t>
  </si>
  <si>
    <t>EP43_7</t>
  </si>
  <si>
    <t>EP43_8</t>
  </si>
  <si>
    <t>EP43_9</t>
  </si>
  <si>
    <t>EP43_10</t>
  </si>
  <si>
    <t>EP43_11</t>
  </si>
  <si>
    <t>EP43_12</t>
  </si>
  <si>
    <t>EP43_13</t>
  </si>
  <si>
    <t>EP43_14</t>
  </si>
  <si>
    <t>EP43_15</t>
  </si>
  <si>
    <t>EP44_1</t>
  </si>
  <si>
    <t>EP44_2</t>
  </si>
  <si>
    <t>EP44_3</t>
  </si>
  <si>
    <t>EP44_4</t>
  </si>
  <si>
    <t>EP44_5</t>
  </si>
  <si>
    <t>EP44_6</t>
  </si>
  <si>
    <t>EP44_7</t>
  </si>
  <si>
    <t>EP44_8</t>
  </si>
  <si>
    <t>EP44_9</t>
  </si>
  <si>
    <t>EP44_10</t>
  </si>
  <si>
    <t>EP44_11</t>
  </si>
  <si>
    <t>EP44_12</t>
  </si>
  <si>
    <t>EP44_13</t>
  </si>
  <si>
    <t>EP44_14</t>
  </si>
  <si>
    <t>EP44_15</t>
  </si>
  <si>
    <t>EP45_1</t>
  </si>
  <si>
    <t>EP45_2</t>
  </si>
  <si>
    <t>EP45_3</t>
  </si>
  <si>
    <t>EP45_4</t>
  </si>
  <si>
    <t>EP45_5</t>
  </si>
  <si>
    <t>EP45_6</t>
  </si>
  <si>
    <t>EP45_7</t>
  </si>
  <si>
    <t>EP45_8</t>
  </si>
  <si>
    <t>EP45_9</t>
  </si>
  <si>
    <t>EP45_10</t>
  </si>
  <si>
    <t>EP45_11</t>
  </si>
  <si>
    <t>EP45_12</t>
  </si>
  <si>
    <t>EP45_13</t>
  </si>
  <si>
    <t>EP45_14</t>
  </si>
  <si>
    <t>EP45_15</t>
  </si>
  <si>
    <t>EP46_1</t>
  </si>
  <si>
    <t>EP47_1</t>
  </si>
  <si>
    <t>EP48_1</t>
  </si>
  <si>
    <t>EP49_1</t>
  </si>
  <si>
    <t>EP50_1</t>
  </si>
  <si>
    <t>EP51_1</t>
  </si>
  <si>
    <t>EP52_1</t>
  </si>
  <si>
    <t>EP53_1</t>
  </si>
  <si>
    <t>EP54_1</t>
  </si>
  <si>
    <t>EP55_1</t>
  </si>
  <si>
    <t>EP56_1</t>
  </si>
  <si>
    <t>EP57_1</t>
  </si>
  <si>
    <t>EP58_1</t>
  </si>
  <si>
    <t>EP59_1</t>
  </si>
  <si>
    <t>EP60_1</t>
  </si>
  <si>
    <t>EP61_1</t>
  </si>
  <si>
    <t>EP62_1</t>
  </si>
  <si>
    <t>EP63_1</t>
  </si>
  <si>
    <t>EP46_2</t>
  </si>
  <si>
    <t>EP46_3</t>
  </si>
  <si>
    <t>EP46_4</t>
  </si>
  <si>
    <t>EP46_5</t>
  </si>
  <si>
    <t>EP46_6</t>
  </si>
  <si>
    <t>EP46_7</t>
  </si>
  <si>
    <t>EP46_8</t>
  </si>
  <si>
    <t>EP46_9</t>
  </si>
  <si>
    <t>EP46_10</t>
  </si>
  <si>
    <t>EP46_11</t>
  </si>
  <si>
    <t>EP46_12</t>
  </si>
  <si>
    <t>EP46_13</t>
  </si>
  <si>
    <t>EP46_14</t>
  </si>
  <si>
    <t>EP46_15</t>
  </si>
  <si>
    <t>EP47_2</t>
  </si>
  <si>
    <t>EP47_3</t>
  </si>
  <si>
    <t>EP47_4</t>
  </si>
  <si>
    <t>EP47_5</t>
  </si>
  <si>
    <t>EP47_6</t>
  </si>
  <si>
    <t>EP47_7</t>
  </si>
  <si>
    <t>EP47_8</t>
  </si>
  <si>
    <t>EP47_9</t>
  </si>
  <si>
    <t>EP47_10</t>
  </si>
  <si>
    <t>EP47_11</t>
  </si>
  <si>
    <t>EP47_12</t>
  </si>
  <si>
    <t>EP47_13</t>
  </si>
  <si>
    <t>EP47_14</t>
  </si>
  <si>
    <t>EP47_15</t>
  </si>
  <si>
    <t>EP48_2</t>
  </si>
  <si>
    <t>EP48_3</t>
  </si>
  <si>
    <t>EP48_4</t>
  </si>
  <si>
    <t>EP48_5</t>
  </si>
  <si>
    <t>EP48_6</t>
  </si>
  <si>
    <t>EP48_7</t>
  </si>
  <si>
    <t>EP48_8</t>
  </si>
  <si>
    <t>EP48_9</t>
  </si>
  <si>
    <t>EP48_10</t>
  </si>
  <si>
    <t>EP48_11</t>
  </si>
  <si>
    <t>EP48_12</t>
  </si>
  <si>
    <t>EP48_13</t>
  </si>
  <si>
    <t>EP48_14</t>
  </si>
  <si>
    <t>EP48_15</t>
  </si>
  <si>
    <t>EP49_2</t>
  </si>
  <si>
    <t>EP49_3</t>
  </si>
  <si>
    <t>EP49_4</t>
  </si>
  <si>
    <t>EP49_5</t>
  </si>
  <si>
    <t>EP49_6</t>
  </si>
  <si>
    <t>EP49_7</t>
  </si>
  <si>
    <t>EP49_8</t>
  </si>
  <si>
    <t>EP49_9</t>
  </si>
  <si>
    <t>EP49_10</t>
  </si>
  <si>
    <t>EP49_11</t>
  </si>
  <si>
    <t>EP49_12</t>
  </si>
  <si>
    <t>EP49_13</t>
  </si>
  <si>
    <t>EP49_14</t>
  </si>
  <si>
    <t>EP49_15</t>
  </si>
  <si>
    <t>EP50_3</t>
  </si>
  <si>
    <t>EP50_2</t>
  </si>
  <si>
    <t>EP50_4</t>
  </si>
  <si>
    <t>EP50_5</t>
  </si>
  <si>
    <t>EP50_6</t>
  </si>
  <si>
    <t>EP50_7</t>
  </si>
  <si>
    <t>EP50_8</t>
  </si>
  <si>
    <t>EP50_9</t>
  </si>
  <si>
    <t>EP50_10</t>
  </si>
  <si>
    <t>EP50_11</t>
  </si>
  <si>
    <t>EP50_12</t>
  </si>
  <si>
    <t>EP50_13</t>
  </si>
  <si>
    <t>EP50_14</t>
  </si>
  <si>
    <t>EP50_15</t>
  </si>
  <si>
    <t>EP51_2</t>
  </si>
  <si>
    <t>EP51_3</t>
  </si>
  <si>
    <t>EP51_4</t>
  </si>
  <si>
    <t>EP51_5</t>
  </si>
  <si>
    <t>EP51_6</t>
  </si>
  <si>
    <t>EP51_7</t>
  </si>
  <si>
    <t>EP51_8</t>
  </si>
  <si>
    <t>EP51_9</t>
  </si>
  <si>
    <t>EP51_10</t>
  </si>
  <si>
    <t>EP51_11</t>
  </si>
  <si>
    <t>EP51_12</t>
  </si>
  <si>
    <t>EP51_13</t>
  </si>
  <si>
    <t>EP51_14</t>
  </si>
  <si>
    <t>EP51_15</t>
  </si>
  <si>
    <t>EP52_2</t>
  </si>
  <si>
    <t>EP52_3</t>
  </si>
  <si>
    <t>EP52_4</t>
  </si>
  <si>
    <t>EP52_5</t>
  </si>
  <si>
    <t>EP52_6</t>
  </si>
  <si>
    <t>EP52_7</t>
  </si>
  <si>
    <t>EP52_8</t>
  </si>
  <si>
    <t>EP52_9</t>
  </si>
  <si>
    <t>EP52_10</t>
  </si>
  <si>
    <t>EP52_11</t>
  </si>
  <si>
    <t>EP52_12</t>
  </si>
  <si>
    <t>EP52_13</t>
  </si>
  <si>
    <t>EP52_14</t>
  </si>
  <si>
    <t>EP52_15</t>
  </si>
  <si>
    <t>EP53_2</t>
  </si>
  <si>
    <t>EP53_3</t>
  </si>
  <si>
    <t>EP53_4</t>
  </si>
  <si>
    <t>EP53_5</t>
  </si>
  <si>
    <t>EP53_6</t>
  </si>
  <si>
    <t>EP53_7</t>
  </si>
  <si>
    <t>EP53_8</t>
  </si>
  <si>
    <t>EP53_9</t>
  </si>
  <si>
    <t>EP53_10</t>
  </si>
  <si>
    <t>EP53_11</t>
  </si>
  <si>
    <t>EP53_12</t>
  </si>
  <si>
    <t>EP53_13</t>
  </si>
  <si>
    <t>EP53_14</t>
  </si>
  <si>
    <t>EP53_15</t>
  </si>
  <si>
    <t>EP54_2</t>
  </si>
  <si>
    <t>EP54_3</t>
  </si>
  <si>
    <t>EP54_4</t>
  </si>
  <si>
    <t>EP54_5</t>
  </si>
  <si>
    <t>EP54_6</t>
  </si>
  <si>
    <t>EP54_7</t>
  </si>
  <si>
    <t>EP54_8</t>
  </si>
  <si>
    <t>EP54_9</t>
  </si>
  <si>
    <t>EP54_10</t>
  </si>
  <si>
    <t>EP54_11</t>
  </si>
  <si>
    <t>EP54_12</t>
  </si>
  <si>
    <t>EP54_13</t>
  </si>
  <si>
    <t>EP54_14</t>
  </si>
  <si>
    <t>EP54_15</t>
  </si>
  <si>
    <t>EP55_2</t>
  </si>
  <si>
    <t>EP55_3</t>
  </si>
  <si>
    <t>EP55_4</t>
  </si>
  <si>
    <t>EP55_5</t>
  </si>
  <si>
    <t>EP55_6</t>
  </si>
  <si>
    <t>EP55_7</t>
  </si>
  <si>
    <t>EP55_8</t>
  </si>
  <si>
    <t>EP55_9</t>
  </si>
  <si>
    <t>EP55_10</t>
  </si>
  <si>
    <t>EP55_11</t>
  </si>
  <si>
    <t>EP55_12</t>
  </si>
  <si>
    <t>EP55_13</t>
  </si>
  <si>
    <t>EP55_14</t>
  </si>
  <si>
    <t>EP55_15</t>
  </si>
  <si>
    <t>EP56_2</t>
  </si>
  <si>
    <t>EP56_3</t>
  </si>
  <si>
    <t>EP56_4</t>
  </si>
  <si>
    <t>EP56_5</t>
  </si>
  <si>
    <t>EP56_6</t>
  </si>
  <si>
    <t>EP56_7</t>
  </si>
  <si>
    <t>EP56_8</t>
  </si>
  <si>
    <t>EP56_9</t>
  </si>
  <si>
    <t>EP56_10</t>
  </si>
  <si>
    <t>EP56_11</t>
  </si>
  <si>
    <t>EP56_12</t>
  </si>
  <si>
    <t>EP56_13</t>
  </si>
  <si>
    <t>EP56_14</t>
  </si>
  <si>
    <t>EP56_15</t>
  </si>
  <si>
    <t>EP57_2</t>
  </si>
  <si>
    <t>EP57_3</t>
  </si>
  <si>
    <t>EP57_4</t>
  </si>
  <si>
    <t>EP57_5</t>
  </si>
  <si>
    <t>EP57_6</t>
  </si>
  <si>
    <t>EP57_7</t>
  </si>
  <si>
    <t>EP57_8</t>
  </si>
  <si>
    <t>EP57_9</t>
  </si>
  <si>
    <t>EP57_10</t>
  </si>
  <si>
    <t>EP57_11</t>
  </si>
  <si>
    <t>EP57_12</t>
  </si>
  <si>
    <t>EP57_13</t>
  </si>
  <si>
    <t>EP57_14</t>
  </si>
  <si>
    <t>EP57_15</t>
  </si>
  <si>
    <t>EP58_2</t>
  </si>
  <si>
    <t>EP58_3</t>
  </si>
  <si>
    <t>EP58_4</t>
  </si>
  <si>
    <t>EP58_5</t>
  </si>
  <si>
    <t>EP58_6</t>
  </si>
  <si>
    <t>EP58_7</t>
  </si>
  <si>
    <t>EP58_8</t>
  </si>
  <si>
    <t>EP58_9</t>
  </si>
  <si>
    <t>EP58_10</t>
  </si>
  <si>
    <t>EP58_11</t>
  </si>
  <si>
    <t>EP58_12</t>
  </si>
  <si>
    <t>EP58_13</t>
  </si>
  <si>
    <t>EP58_14</t>
  </si>
  <si>
    <t>EP58_15</t>
  </si>
  <si>
    <t>EP59_2</t>
  </si>
  <si>
    <t>EP59_3</t>
  </si>
  <si>
    <t>EP59_4</t>
  </si>
  <si>
    <t>EP59_5</t>
  </si>
  <si>
    <t>EP59_6</t>
  </si>
  <si>
    <t>EP59_7</t>
  </si>
  <si>
    <t>EP59_8</t>
  </si>
  <si>
    <t>EP59_9</t>
  </si>
  <si>
    <t>EP59_10</t>
  </si>
  <si>
    <t>EP59_11</t>
  </si>
  <si>
    <t>EP59_12</t>
  </si>
  <si>
    <t>EP59_13</t>
  </si>
  <si>
    <t>EP59_14</t>
  </si>
  <si>
    <t>EP59_15</t>
  </si>
  <si>
    <t>EP60_2</t>
  </si>
  <si>
    <t>EP60_3</t>
  </si>
  <si>
    <t>EP60_4</t>
  </si>
  <si>
    <t>EP60_5</t>
  </si>
  <si>
    <t>EP60_6</t>
  </si>
  <si>
    <t>EP60_7</t>
  </si>
  <si>
    <t>EP60_8</t>
  </si>
  <si>
    <t>EP60_9</t>
  </si>
  <si>
    <t>EP60_10</t>
  </si>
  <si>
    <t>EP60_11</t>
  </si>
  <si>
    <t>EP60_12</t>
  </si>
  <si>
    <t>EP60_13</t>
  </si>
  <si>
    <t>EP60_14</t>
  </si>
  <si>
    <t>EP60_15</t>
  </si>
  <si>
    <t>EP61_2</t>
  </si>
  <si>
    <t>EP61_3</t>
  </si>
  <si>
    <t>EP61_4</t>
  </si>
  <si>
    <t>EP61_5</t>
  </si>
  <si>
    <t>EP61_6</t>
  </si>
  <si>
    <t>EP61_7</t>
  </si>
  <si>
    <t>EP61_8</t>
  </si>
  <si>
    <t>EP61_9</t>
  </si>
  <si>
    <t>EP61_10</t>
  </si>
  <si>
    <t>EP61_11</t>
  </si>
  <si>
    <t>EP61_12</t>
  </si>
  <si>
    <t>EP61_13</t>
  </si>
  <si>
    <t>EP61_14</t>
  </si>
  <si>
    <t>EP61_15</t>
  </si>
  <si>
    <t>EP62_2</t>
  </si>
  <si>
    <t>EP62_3</t>
  </si>
  <si>
    <t>EP62_4</t>
  </si>
  <si>
    <t>EP62_5</t>
  </si>
  <si>
    <t>EP62_6</t>
  </si>
  <si>
    <t>EP62_7</t>
  </si>
  <si>
    <t>EP62_8</t>
  </si>
  <si>
    <t>EP62_9</t>
  </si>
  <si>
    <t>EP62_10</t>
  </si>
  <si>
    <t>EP62_11</t>
  </si>
  <si>
    <t>EP62_12</t>
  </si>
  <si>
    <t>EP62_13</t>
  </si>
  <si>
    <t>EP62_14</t>
  </si>
  <si>
    <t>EP62_15</t>
  </si>
  <si>
    <t>EP63_2</t>
  </si>
  <si>
    <t>EP63_3</t>
  </si>
  <si>
    <t>EP63_4</t>
  </si>
  <si>
    <t>EP63_5</t>
  </si>
  <si>
    <t>EP63_6</t>
  </si>
  <si>
    <t>EP63_7</t>
  </si>
  <si>
    <t>EP63_8</t>
  </si>
  <si>
    <t>EP63_9</t>
  </si>
  <si>
    <t>EP63_10</t>
  </si>
  <si>
    <t>EP63_11</t>
  </si>
  <si>
    <t>EP63_12</t>
  </si>
  <si>
    <t>EP63_13</t>
  </si>
  <si>
    <t>EP63_14</t>
  </si>
  <si>
    <t>EP63_15</t>
  </si>
  <si>
    <t>Implemented CAN resync jump width.</t>
  </si>
  <si>
    <t>David Chung and Petr Stancik</t>
  </si>
  <si>
    <t>Added code generation, and macros for reset, max setting, and copying code.</t>
  </si>
  <si>
    <t>MC_ME_RUN0_MC</t>
  </si>
  <si>
    <t>MC_ME_RUN1_MC</t>
  </si>
  <si>
    <t>MC_ME_RUN2_MC</t>
  </si>
  <si>
    <t>MC_ME_RUN3_MC</t>
  </si>
  <si>
    <t>DRUN</t>
  </si>
  <si>
    <t>Block</t>
  </si>
  <si>
    <t>Reset</t>
  </si>
  <si>
    <t>Max</t>
  </si>
  <si>
    <t>Ext. Oscillator</t>
  </si>
  <si>
    <t>System Clock Selector</t>
  </si>
  <si>
    <t>FIRC STOP Control</t>
  </si>
  <si>
    <t>FIRC STANDBY Control</t>
  </si>
  <si>
    <t>FIRC LPU_STOP Control</t>
  </si>
  <si>
    <t>FIRC LPU_STANDBY Control</t>
  </si>
  <si>
    <t>FXOSC DRUN Control</t>
  </si>
  <si>
    <t>FXOSC RUN0 Control</t>
  </si>
  <si>
    <t>FXOSC RUN1 Control</t>
  </si>
  <si>
    <t>FXOSC RUN2 Control</t>
  </si>
  <si>
    <t>FXOSC RUN3 Control</t>
  </si>
  <si>
    <t>FXOSC STOP Control</t>
  </si>
  <si>
    <t>FXOSC STANDBY Control</t>
  </si>
  <si>
    <t>FXOSC LPU_RUN Control</t>
  </si>
  <si>
    <t>FXOSC LPU_STOP Control</t>
  </si>
  <si>
    <t>FXOSC LPU_STANDBY Control</t>
  </si>
  <si>
    <t>SIRC DRUN Control</t>
  </si>
  <si>
    <t>SIRC RUN0 Control</t>
  </si>
  <si>
    <t>SIRC RUN1 Control</t>
  </si>
  <si>
    <t>SIRC RUN2 Control</t>
  </si>
  <si>
    <t>SIRC RUN3 Control</t>
  </si>
  <si>
    <t>SIRC STOP Control</t>
  </si>
  <si>
    <t>SIRC STANDBY Control</t>
  </si>
  <si>
    <t>SIRC LPU_RUN Control</t>
  </si>
  <si>
    <t>SIRC LPU_STOP Control</t>
  </si>
  <si>
    <t>SIRC LPU_STANDBY Control</t>
  </si>
  <si>
    <t>SXOSC DRUN Control</t>
  </si>
  <si>
    <t>SXOSC RUN0 Control</t>
  </si>
  <si>
    <t>SXOSC RUN1 Control</t>
  </si>
  <si>
    <t>SXOSC RUN2 Control</t>
  </si>
  <si>
    <t>SXOSC RUN3 Control</t>
  </si>
  <si>
    <t>SXOSC STOP Control</t>
  </si>
  <si>
    <t>SXOSC STANDBY Control</t>
  </si>
  <si>
    <t>SXOSC LPU_RUN Control</t>
  </si>
  <si>
    <t>SXOSC LPU_STOP Control</t>
  </si>
  <si>
    <t>SXOSC LPU_STANDBY Control</t>
  </si>
  <si>
    <t>FMPLL DRUN Control</t>
  </si>
  <si>
    <t>FMPLL RUN0 Control</t>
  </si>
  <si>
    <t>FMPLL RUN1 Control</t>
  </si>
  <si>
    <t>FMPLL RUN2 Control</t>
  </si>
  <si>
    <t>FMPLL RUN3 Control</t>
  </si>
  <si>
    <t>FIRC Divider</t>
  </si>
  <si>
    <t>FXOSC Divider</t>
  </si>
  <si>
    <t>SIRC Divider</t>
  </si>
  <si>
    <t>SXOSC Divider</t>
  </si>
  <si>
    <t>AUX Clock Selector 5</t>
  </si>
  <si>
    <t>FMPLL Prediv</t>
  </si>
  <si>
    <t>FMPLL Multiplier</t>
  </si>
  <si>
    <t>FMPLL RFDPHI</t>
  </si>
  <si>
    <t>FMPLL RFDPHI1</t>
  </si>
  <si>
    <t>FMPLL Fractional Numerator</t>
  </si>
  <si>
    <t>FMPLL Fractional Denominator</t>
  </si>
  <si>
    <t>S160 Divider</t>
  </si>
  <si>
    <t>S80 Divider</t>
  </si>
  <si>
    <t>S40 Divider</t>
  </si>
  <si>
    <t>FS80 Divider</t>
  </si>
  <si>
    <t>System Mode Selector</t>
  </si>
  <si>
    <t>LPU Clock Selector</t>
  </si>
  <si>
    <t>CAN Clock Selector</t>
  </si>
  <si>
    <t>FRAY Clock Selector</t>
  </si>
  <si>
    <t>AUX Clock Selector 4</t>
  </si>
  <si>
    <t>STM Clock Selector</t>
  </si>
  <si>
    <t>ADC1 Enable</t>
  </si>
  <si>
    <t>ADC1 Clock Selector</t>
  </si>
  <si>
    <t>AUX Clock Selector 3</t>
  </si>
  <si>
    <t>AUX Clock Selector 6</t>
  </si>
  <si>
    <t>CLKOUT0 Divider</t>
  </si>
  <si>
    <t>Flash Control</t>
  </si>
  <si>
    <t>CMP LP Enable</t>
  </si>
  <si>
    <t>STM0 Clock Selector</t>
  </si>
  <si>
    <t>RTC Clock Selector</t>
  </si>
  <si>
    <t>CLKOUT1 Selector</t>
  </si>
  <si>
    <t>CLKOUT1 Enable</t>
  </si>
  <si>
    <t>CLKOUT1 Divider</t>
  </si>
  <si>
    <t>AUX Clock Selector 9</t>
  </si>
  <si>
    <t>CAN0 Clock Selector</t>
  </si>
  <si>
    <t>CAN0 LP Enable</t>
  </si>
  <si>
    <t>CAN0 Continuous Operation</t>
  </si>
  <si>
    <t>LIN0 LP Enable</t>
  </si>
  <si>
    <t xml:space="preserve">SPI0 LP Enable </t>
  </si>
  <si>
    <t>AUX Clock Selector 8</t>
  </si>
  <si>
    <t>eMIOS2 LP Enable</t>
  </si>
  <si>
    <t>MEMU_1 LP Enable</t>
  </si>
  <si>
    <t>BCTU LP Enable</t>
  </si>
  <si>
    <t>ADC0 Enable</t>
  </si>
  <si>
    <t>ADC0 Clock Selector</t>
  </si>
  <si>
    <t>ADC0 LP Enable</t>
  </si>
  <si>
    <t>AUX Clock Selector 2</t>
  </si>
  <si>
    <t>FCLK[0] Input Clock Selector</t>
  </si>
  <si>
    <t>SAI0 Multiplier Denominator</t>
  </si>
  <si>
    <t>SAI0 Multiplier Numerator</t>
  </si>
  <si>
    <t>SAI0 Bypass Select</t>
  </si>
  <si>
    <t>SAI0 TX MCLK Select</t>
  </si>
  <si>
    <t>SAI0 RX MCLK Select</t>
  </si>
  <si>
    <t>SAI0 TX BCLK Divide</t>
  </si>
  <si>
    <t>SAI0 RX BCLK Divide</t>
  </si>
  <si>
    <t>SAI0 TX BCLK Select</t>
  </si>
  <si>
    <t>SAI0 TX BCLK Swap</t>
  </si>
  <si>
    <t>SAI0 RX BCLK Swap</t>
  </si>
  <si>
    <t>SAI0 TX Sync Mode</t>
  </si>
  <si>
    <t>SAI0 RX Sync Mode</t>
  </si>
  <si>
    <t>SAI1 Multiplier Numerator</t>
  </si>
  <si>
    <t>SAI1 Multiplier Denominator</t>
  </si>
  <si>
    <t>SAI1 Bypass Select</t>
  </si>
  <si>
    <t>SAI1 TX MCLK Select</t>
  </si>
  <si>
    <t>SAI1 RX MCLK Select</t>
  </si>
  <si>
    <t>SAI1 TX BCLK Divide</t>
  </si>
  <si>
    <t>SAI1 RX BCLK Divide</t>
  </si>
  <si>
    <t>SAI1 TX BCLK Select</t>
  </si>
  <si>
    <t>SAI1 TX BCLK Swap</t>
  </si>
  <si>
    <t>SAI1 RX BCLK Swap</t>
  </si>
  <si>
    <t>SAI1 TX Sync Mode</t>
  </si>
  <si>
    <t>SAI1 RX Sync Mode</t>
  </si>
  <si>
    <t>SAI2 Multiplier Numerator</t>
  </si>
  <si>
    <t>SAI2 Multiplier Denominator</t>
  </si>
  <si>
    <t>SAI2 Bypass Select</t>
  </si>
  <si>
    <t>SAI2 TX MCLK Select</t>
  </si>
  <si>
    <t>SAI2 RX MCLK Select</t>
  </si>
  <si>
    <t>SAI2 TX BCLK Divide</t>
  </si>
  <si>
    <t>SAI2 RX BCLK Divide</t>
  </si>
  <si>
    <t>SAI2 TX BCLK Select</t>
  </si>
  <si>
    <t>SAI2 TX BCLK Swap</t>
  </si>
  <si>
    <t>SAI2 RX BCLK Swap</t>
  </si>
  <si>
    <t>SAI2 TX Sync Mode</t>
  </si>
  <si>
    <t>SAI2 RX Sync Mode</t>
  </si>
  <si>
    <t>CAN0 Sclock Prescaler</t>
  </si>
  <si>
    <t>CAN0 Jump Width</t>
  </si>
  <si>
    <t>CAN0 Phase Segment 1</t>
  </si>
  <si>
    <t>CAN0 Propagation Segment</t>
  </si>
  <si>
    <t>CAN0 Phase Segment 2</t>
  </si>
  <si>
    <t>CAN0 Extended Enable</t>
  </si>
  <si>
    <t>CAN0 Extended Sclock Prescaler</t>
  </si>
  <si>
    <t>CAN0 Extended Jump Width</t>
  </si>
  <si>
    <t>CAN0 Extended Propagation Segment</t>
  </si>
  <si>
    <t>CAN0 Extended Phase 1</t>
  </si>
  <si>
    <t>CAN0 Extended Phase 2</t>
  </si>
  <si>
    <t>CAN0 FD Enable</t>
  </si>
  <si>
    <t>CAN0 Bit Rate Switch</t>
  </si>
  <si>
    <t>CAN0 BRS</t>
  </si>
  <si>
    <t>CAN0 FD Sclock Prescaler</t>
  </si>
  <si>
    <t>CAN0 FD Propagation Segment</t>
  </si>
  <si>
    <t>CAN0 FD Phase Segment 1</t>
  </si>
  <si>
    <t>CAN0 FD Phase Segment 2</t>
  </si>
  <si>
    <t>CAN Sclock Prescaler</t>
  </si>
  <si>
    <t>CAN Jump Width</t>
  </si>
  <si>
    <t>CAN Phase Segment 1</t>
  </si>
  <si>
    <t>CAN Propagation Segment</t>
  </si>
  <si>
    <t>CAN Phase Segment 2</t>
  </si>
  <si>
    <t>CAN Extended Enable</t>
  </si>
  <si>
    <t>CAN Extended Sclock Prescaler</t>
  </si>
  <si>
    <t>CAN Extended Jump Width</t>
  </si>
  <si>
    <t>CAN Extended Propagation Segment</t>
  </si>
  <si>
    <t>CAN Extended Phase 1</t>
  </si>
  <si>
    <t>CAN Extended Phase 2</t>
  </si>
  <si>
    <t>CAN FD Enable</t>
  </si>
  <si>
    <t>CAN Bit Rate Switch</t>
  </si>
  <si>
    <t>CAN BRS</t>
  </si>
  <si>
    <t>CAN FD Sclock Prescaler</t>
  </si>
  <si>
    <t>CAN FD Propagation Segment</t>
  </si>
  <si>
    <t>CAN FD Phase Segment 1</t>
  </si>
  <si>
    <t>CAN FD Phase Segment 2</t>
  </si>
  <si>
    <t>CAN0 FD Jump Width</t>
  </si>
  <si>
    <t>CAN FD Jump Width</t>
  </si>
  <si>
    <t>SAI0 RX BCLK Select</t>
  </si>
  <si>
    <t>SAI0 TX BCLK Enable</t>
  </si>
  <si>
    <t>SAI0 RX BCLK Enable</t>
  </si>
  <si>
    <t>SAI1 RX BCLK Select</t>
  </si>
  <si>
    <t>SAI1 TX BCLK Enable</t>
  </si>
  <si>
    <t>SAI1 RX BCLK Enable</t>
  </si>
  <si>
    <t>SAI2 RX BCLK Select</t>
  </si>
  <si>
    <t>SAI2 TX BCLK Enable</t>
  </si>
  <si>
    <t>SAI2 RX BCLK Enable</t>
  </si>
  <si>
    <t>FCLK[1] Input Clock Selector</t>
  </si>
  <si>
    <t>FCLK[2] Input Clock Selector</t>
  </si>
  <si>
    <t>Corrected error in SAI BCLK equation</t>
  </si>
  <si>
    <t>Fixed FlexCAN diagram to better reflect CAN FD signal generation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</si>
</sst>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sz val="20"/>
      <color theme="1"/>
      <name val="Calibri"/>
      <family val="2"/>
      <scheme val="minor"/>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sz val="10"/>
      <color rgb="FFFF0000"/>
      <name val="Calibri"/>
      <family val="2"/>
      <scheme val="minor"/>
    </font>
    <font>
      <u/>
      <sz val="11"/>
      <color theme="10"/>
      <name val="Calibri"/>
      <family val="2"/>
      <scheme val="minor"/>
    </font>
    <font>
      <b/>
      <i/>
      <sz val="16"/>
      <color theme="1"/>
      <name val="Calibri"/>
      <family val="2"/>
      <scheme val="minor"/>
    </font>
    <font>
      <b/>
      <i/>
      <sz val="14"/>
      <color theme="1"/>
      <name val="Calibri"/>
      <family val="2"/>
      <scheme val="minor"/>
    </font>
    <font>
      <sz val="11"/>
      <color rgb="FF000000"/>
      <name val="Calibri"/>
      <family val="2"/>
    </font>
    <font>
      <u/>
      <sz val="11"/>
      <color theme="1"/>
      <name val="Calibri"/>
      <family val="2"/>
      <scheme val="minor"/>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lightDown">
        <bgColor rgb="FFFF0000"/>
      </patternFill>
    </fill>
    <fill>
      <patternFill patternType="solid">
        <fgColor rgb="FF00B05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rgb="FFC0F8F8"/>
        <bgColor indexed="64"/>
      </patternFill>
    </fill>
    <fill>
      <patternFill patternType="solid">
        <fgColor theme="0" tint="-0.14996795556505021"/>
        <bgColor indexed="64"/>
      </patternFill>
    </fill>
  </fills>
  <borders count="3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medium">
        <color indexed="64"/>
      </left>
      <right/>
      <top/>
      <bottom/>
      <diagonal/>
    </border>
    <border>
      <left style="medium">
        <color indexed="64"/>
      </left>
      <right/>
      <top/>
      <bottom style="medium">
        <color indexed="64"/>
      </bottom>
      <diagonal/>
    </border>
    <border>
      <left/>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diagonal/>
    </border>
    <border>
      <left/>
      <right/>
      <top style="thick">
        <color auto="1"/>
      </top>
      <bottom/>
      <diagonal/>
    </border>
    <border>
      <left style="thick">
        <color auto="1"/>
      </left>
      <right/>
      <top/>
      <bottom style="thick">
        <color auto="1"/>
      </bottom>
      <diagonal/>
    </border>
    <border>
      <left/>
      <right/>
      <top/>
      <bottom style="thick">
        <color auto="1"/>
      </bottom>
      <diagonal/>
    </border>
    <border>
      <left style="medium">
        <color indexed="64"/>
      </left>
      <right/>
      <top style="medium">
        <color indexed="64"/>
      </top>
      <bottom/>
      <diagonal/>
    </border>
    <border>
      <left style="thick">
        <color theme="3" tint="0.39994506668294322"/>
      </left>
      <right style="thick">
        <color theme="3" tint="0.39994506668294322"/>
      </right>
      <top style="thick">
        <color theme="3" tint="0.39994506668294322"/>
      </top>
      <bottom style="thick">
        <color theme="3" tint="0.39994506668294322"/>
      </bottom>
      <diagonal/>
    </border>
    <border>
      <left style="thick">
        <color auto="1"/>
      </left>
      <right style="thick">
        <color auto="1"/>
      </right>
      <top style="thick">
        <color auto="1"/>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thick">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31">
    <xf numFmtId="0" fontId="0" fillId="0" borderId="0" xfId="0"/>
    <xf numFmtId="0" fontId="0" fillId="0" borderId="1" xfId="0" applyBorder="1"/>
    <xf numFmtId="0" fontId="0" fillId="0" borderId="7" xfId="0" applyBorder="1"/>
    <xf numFmtId="0" fontId="1" fillId="0" borderId="0" xfId="0" applyFont="1" applyBorder="1"/>
    <xf numFmtId="0" fontId="2" fillId="0" borderId="0" xfId="0" applyFont="1"/>
    <xf numFmtId="0" fontId="0" fillId="4" borderId="0" xfId="0" applyFill="1"/>
    <xf numFmtId="0" fontId="0" fillId="3" borderId="0" xfId="0" applyFill="1"/>
    <xf numFmtId="0" fontId="0" fillId="2" borderId="0" xfId="0" applyFill="1"/>
    <xf numFmtId="0" fontId="0" fillId="0" borderId="0" xfId="0" applyAlignment="1">
      <alignment horizontal="center" vertical="center" wrapText="1"/>
    </xf>
    <xf numFmtId="0" fontId="0" fillId="0" borderId="0" xfId="0" applyFill="1" applyBorder="1"/>
    <xf numFmtId="0" fontId="4" fillId="0" borderId="0" xfId="0" applyFont="1" applyAlignment="1">
      <alignment horizontal="center" vertical="center" wrapText="1"/>
    </xf>
    <xf numFmtId="0" fontId="0" fillId="0" borderId="0" xfId="0" applyAlignment="1">
      <alignment vertical="top"/>
    </xf>
    <xf numFmtId="0" fontId="1" fillId="0" borderId="3" xfId="0" applyFont="1" applyBorder="1"/>
    <xf numFmtId="0" fontId="1" fillId="0" borderId="4" xfId="0" applyFont="1" applyBorder="1" applyAlignment="1">
      <alignment horizontal="center" vertical="center"/>
    </xf>
    <xf numFmtId="0" fontId="1" fillId="0" borderId="1" xfId="0" applyFont="1" applyBorder="1" applyAlignment="1">
      <alignment horizontal="center" vertical="center"/>
    </xf>
    <xf numFmtId="0" fontId="0" fillId="0" borderId="0" xfId="0" applyFill="1"/>
    <xf numFmtId="0" fontId="1" fillId="0" borderId="1" xfId="0" applyNumberFormat="1" applyFont="1" applyBorder="1" applyAlignment="1">
      <alignment horizontal="center" vertical="center"/>
    </xf>
    <xf numFmtId="0" fontId="1" fillId="0" borderId="1" xfId="0" applyFont="1" applyBorder="1" applyAlignment="1">
      <alignment horizontal="center"/>
    </xf>
    <xf numFmtId="0" fontId="0" fillId="5" borderId="0" xfId="0" applyFill="1"/>
    <xf numFmtId="0" fontId="0" fillId="7" borderId="8" xfId="0" applyFill="1" applyBorder="1"/>
    <xf numFmtId="0" fontId="0" fillId="7" borderId="9" xfId="0" applyFill="1" applyBorder="1"/>
    <xf numFmtId="0" fontId="1" fillId="0" borderId="0" xfId="0" applyFont="1" applyFill="1" applyBorder="1" applyAlignment="1">
      <alignment vertical="center" wrapText="1"/>
    </xf>
    <xf numFmtId="0" fontId="0" fillId="0" borderId="10" xfId="0" applyBorder="1"/>
    <xf numFmtId="0" fontId="0" fillId="7" borderId="11" xfId="0" applyFill="1" applyBorder="1"/>
    <xf numFmtId="0" fontId="0" fillId="7" borderId="12" xfId="0" applyFill="1" applyBorder="1"/>
    <xf numFmtId="0" fontId="6" fillId="0" borderId="0" xfId="0" applyFont="1"/>
    <xf numFmtId="0" fontId="0" fillId="7" borderId="13" xfId="0" applyFill="1" applyBorder="1"/>
    <xf numFmtId="0" fontId="0" fillId="7" borderId="14" xfId="0" applyFill="1" applyBorder="1"/>
    <xf numFmtId="0" fontId="0" fillId="7" borderId="4" xfId="0" applyFill="1" applyBorder="1"/>
    <xf numFmtId="0" fontId="0" fillId="7" borderId="5" xfId="0" applyFill="1" applyBorder="1"/>
    <xf numFmtId="0" fontId="0" fillId="7" borderId="6" xfId="0" applyFill="1" applyBorder="1"/>
    <xf numFmtId="0" fontId="1" fillId="7" borderId="16" xfId="0" applyFont="1" applyFill="1" applyBorder="1" applyAlignment="1">
      <alignment horizontal="center"/>
    </xf>
    <xf numFmtId="0" fontId="1" fillId="7" borderId="15" xfId="0" applyFont="1" applyFill="1" applyBorder="1" applyAlignment="1">
      <alignment horizontal="center"/>
    </xf>
    <xf numFmtId="0" fontId="0" fillId="0" borderId="0" xfId="0" applyBorder="1" applyAlignment="1">
      <alignment horizontal="center" vertical="center"/>
    </xf>
    <xf numFmtId="0" fontId="0" fillId="0" borderId="0" xfId="0" applyBorder="1"/>
    <xf numFmtId="0" fontId="0" fillId="0" borderId="18" xfId="0" applyBorder="1" applyAlignment="1">
      <alignment horizontal="center" vertical="center"/>
    </xf>
    <xf numFmtId="0" fontId="0" fillId="6" borderId="18" xfId="0" applyFill="1" applyBorder="1" applyAlignment="1">
      <alignment horizontal="center" vertical="center"/>
    </xf>
    <xf numFmtId="0" fontId="0" fillId="0" borderId="18" xfId="0" applyBorder="1"/>
    <xf numFmtId="0" fontId="0" fillId="0" borderId="0" xfId="0" applyAlignment="1">
      <alignment horizontal="center" vertical="center"/>
    </xf>
    <xf numFmtId="0" fontId="0" fillId="0" borderId="18" xfId="0" applyBorder="1" applyAlignment="1">
      <alignment horizontal="center"/>
    </xf>
    <xf numFmtId="0" fontId="0" fillId="0" borderId="18" xfId="0" applyFont="1" applyBorder="1" applyAlignment="1">
      <alignment horizontal="center" vertical="center"/>
    </xf>
    <xf numFmtId="0" fontId="0" fillId="0" borderId="0" xfId="0" applyFill="1" applyBorder="1" applyAlignment="1">
      <alignment horizontal="center" vertical="center"/>
    </xf>
    <xf numFmtId="0" fontId="4" fillId="0" borderId="0" xfId="0" applyFont="1" applyAlignment="1">
      <alignment horizontal="center" vertical="center" wrapText="1"/>
    </xf>
    <xf numFmtId="0" fontId="8" fillId="0" borderId="0" xfId="1"/>
    <xf numFmtId="0" fontId="1" fillId="0" borderId="0" xfId="0" applyFont="1" applyBorder="1" applyAlignment="1">
      <alignment horizontal="center" vertical="center"/>
    </xf>
    <xf numFmtId="0" fontId="0" fillId="0" borderId="14" xfId="0" applyBorder="1" applyAlignment="1">
      <alignment vertical="top"/>
    </xf>
    <xf numFmtId="0" fontId="8" fillId="0" borderId="19" xfId="1" applyBorder="1"/>
    <xf numFmtId="0" fontId="0" fillId="0" borderId="20" xfId="0" applyBorder="1"/>
    <xf numFmtId="0" fontId="8" fillId="0" borderId="21" xfId="1" applyBorder="1"/>
    <xf numFmtId="0" fontId="0" fillId="0" borderId="22" xfId="0" applyBorder="1"/>
    <xf numFmtId="0" fontId="0" fillId="0" borderId="0" xfId="0" applyBorder="1" applyAlignment="1">
      <alignment horizontal="center" vertical="center" textRotation="90"/>
    </xf>
    <xf numFmtId="0" fontId="1" fillId="0" borderId="0" xfId="0" applyFont="1" applyBorder="1" applyAlignment="1">
      <alignment horizontal="center"/>
    </xf>
    <xf numFmtId="0" fontId="1" fillId="0" borderId="0" xfId="0" applyNumberFormat="1" applyFont="1" applyBorder="1" applyAlignment="1">
      <alignment horizontal="center" vertical="center"/>
    </xf>
    <xf numFmtId="0" fontId="1" fillId="0" borderId="0" xfId="0" applyFont="1" applyFill="1" applyBorder="1" applyAlignment="1">
      <alignment horizontal="center"/>
    </xf>
    <xf numFmtId="0" fontId="3" fillId="0" borderId="0" xfId="0" applyFont="1" applyAlignment="1">
      <alignment horizontal="center" vertical="center"/>
    </xf>
    <xf numFmtId="0" fontId="0" fillId="0" borderId="0" xfId="0" applyAlignment="1"/>
    <xf numFmtId="0" fontId="0" fillId="0" borderId="18" xfId="0" applyFill="1" applyBorder="1" applyAlignment="1">
      <alignment horizontal="center" vertical="center"/>
    </xf>
    <xf numFmtId="0" fontId="1" fillId="7" borderId="23" xfId="0" applyFont="1" applyFill="1" applyBorder="1" applyAlignment="1">
      <alignment horizontal="center"/>
    </xf>
    <xf numFmtId="0" fontId="1" fillId="7" borderId="17" xfId="0" applyFont="1" applyFill="1" applyBorder="1" applyAlignment="1">
      <alignment horizontal="center"/>
    </xf>
    <xf numFmtId="0" fontId="0" fillId="7" borderId="23" xfId="0" applyFill="1" applyBorder="1"/>
    <xf numFmtId="0" fontId="0" fillId="7" borderId="17" xfId="0" applyFill="1" applyBorder="1"/>
    <xf numFmtId="0" fontId="1" fillId="0" borderId="18" xfId="0" applyFont="1" applyBorder="1"/>
    <xf numFmtId="15" fontId="0" fillId="0" borderId="18" xfId="0" applyNumberFormat="1" applyBorder="1"/>
    <xf numFmtId="0" fontId="0" fillId="0" borderId="24" xfId="0" applyBorder="1" applyAlignment="1">
      <alignment horizontal="center" vertical="center"/>
    </xf>
    <xf numFmtId="0" fontId="6" fillId="0" borderId="24" xfId="0" applyFont="1" applyBorder="1" applyAlignment="1">
      <alignment horizontal="center" vertical="center"/>
    </xf>
    <xf numFmtId="0" fontId="0" fillId="0" borderId="24" xfId="0" applyBorder="1"/>
    <xf numFmtId="0" fontId="0" fillId="0" borderId="0" xfId="0" applyAlignment="1">
      <alignment vertical="center"/>
    </xf>
    <xf numFmtId="0" fontId="0" fillId="0" borderId="25" xfId="0" applyBorder="1" applyAlignment="1">
      <alignment horizontal="center" vertical="center"/>
    </xf>
    <xf numFmtId="0" fontId="0" fillId="0" borderId="20" xfId="0" applyBorder="1" applyAlignment="1">
      <alignment horizontal="center" vertical="center"/>
    </xf>
    <xf numFmtId="0" fontId="0" fillId="0" borderId="0" xfId="0" applyAlignment="1">
      <alignment horizontal="right"/>
    </xf>
    <xf numFmtId="0" fontId="0" fillId="0" borderId="18" xfId="0" applyBorder="1" applyAlignment="1">
      <alignment wrapText="1"/>
    </xf>
    <xf numFmtId="0" fontId="0" fillId="7" borderId="11" xfId="0" applyFill="1" applyBorder="1" applyAlignment="1">
      <alignment horizontal="right"/>
    </xf>
    <xf numFmtId="0" fontId="0" fillId="7" borderId="12" xfId="0" applyFill="1" applyBorder="1" applyAlignment="1">
      <alignment horizontal="right"/>
    </xf>
    <xf numFmtId="0" fontId="0" fillId="7" borderId="11" xfId="0" applyFill="1" applyBorder="1" applyAlignment="1">
      <alignment horizontal="left"/>
    </xf>
    <xf numFmtId="0" fontId="0" fillId="7" borderId="12" xfId="0" applyFill="1" applyBorder="1" applyAlignment="1">
      <alignment horizontal="left"/>
    </xf>
    <xf numFmtId="0" fontId="0" fillId="7" borderId="28" xfId="0" applyFill="1" applyBorder="1" applyAlignment="1">
      <alignment horizontal="center" vertical="center"/>
    </xf>
    <xf numFmtId="0" fontId="0" fillId="7" borderId="27" xfId="0" applyFill="1" applyBorder="1" applyAlignment="1">
      <alignment horizontal="left"/>
    </xf>
    <xf numFmtId="0" fontId="0" fillId="7" borderId="27" xfId="0" applyFill="1" applyBorder="1" applyAlignment="1">
      <alignment horizontal="right"/>
    </xf>
    <xf numFmtId="0" fontId="0" fillId="7" borderId="27" xfId="0" applyFill="1" applyBorder="1" applyAlignment="1">
      <alignment horizontal="center" vertical="center"/>
    </xf>
    <xf numFmtId="0" fontId="0" fillId="7" borderId="29" xfId="0" applyFill="1" applyBorder="1" applyAlignment="1">
      <alignment horizontal="left"/>
    </xf>
    <xf numFmtId="0" fontId="0" fillId="7" borderId="29" xfId="0" applyFill="1" applyBorder="1" applyAlignment="1">
      <alignment horizontal="right"/>
    </xf>
    <xf numFmtId="0" fontId="1" fillId="7" borderId="27" xfId="0" applyFont="1" applyFill="1" applyBorder="1" applyAlignment="1">
      <alignment horizontal="center"/>
    </xf>
    <xf numFmtId="0" fontId="1" fillId="7" borderId="28" xfId="0" applyFont="1" applyFill="1" applyBorder="1" applyAlignment="1">
      <alignment horizontal="center"/>
    </xf>
    <xf numFmtId="0" fontId="1" fillId="7" borderId="30" xfId="0" applyFont="1" applyFill="1" applyBorder="1" applyAlignment="1">
      <alignment horizontal="center"/>
    </xf>
    <xf numFmtId="0" fontId="1" fillId="7" borderId="31" xfId="0" applyFont="1" applyFill="1" applyBorder="1" applyAlignment="1">
      <alignment horizontal="center"/>
    </xf>
    <xf numFmtId="0" fontId="0" fillId="13" borderId="23" xfId="0" applyFill="1" applyBorder="1"/>
    <xf numFmtId="0" fontId="0" fillId="13" borderId="32" xfId="0" applyFill="1" applyBorder="1"/>
    <xf numFmtId="0" fontId="0" fillId="13" borderId="33" xfId="0" applyFill="1" applyBorder="1"/>
    <xf numFmtId="0" fontId="0" fillId="13" borderId="8" xfId="0" applyFill="1" applyBorder="1"/>
    <xf numFmtId="0" fontId="0" fillId="13" borderId="0" xfId="0" applyFill="1" applyBorder="1"/>
    <xf numFmtId="0" fontId="0" fillId="13" borderId="34" xfId="0" applyFill="1" applyBorder="1"/>
    <xf numFmtId="0" fontId="0" fillId="13" borderId="9" xfId="0" applyFill="1" applyBorder="1"/>
    <xf numFmtId="0" fontId="0" fillId="13" borderId="35" xfId="0" applyFill="1" applyBorder="1"/>
    <xf numFmtId="0" fontId="0" fillId="13" borderId="36" xfId="0" applyFill="1" applyBorder="1"/>
    <xf numFmtId="0" fontId="0" fillId="7" borderId="0" xfId="0" applyFill="1" applyBorder="1"/>
    <xf numFmtId="0" fontId="0" fillId="7" borderId="34" xfId="0" applyFill="1" applyBorder="1"/>
    <xf numFmtId="0" fontId="0" fillId="7" borderId="35" xfId="0" applyFill="1" applyBorder="1"/>
    <xf numFmtId="0" fontId="0" fillId="7" borderId="36" xfId="0" applyFill="1" applyBorder="1"/>
    <xf numFmtId="0" fontId="12" fillId="0" borderId="0" xfId="0" applyFont="1"/>
    <xf numFmtId="0" fontId="1" fillId="10" borderId="0" xfId="0" applyFont="1" applyFill="1" applyAlignment="1">
      <alignment horizontal="center" vertical="center"/>
    </xf>
    <xf numFmtId="0" fontId="1" fillId="11" borderId="0" xfId="0" applyFont="1" applyFill="1" applyAlignment="1">
      <alignment horizontal="center" vertical="center"/>
    </xf>
    <xf numFmtId="0" fontId="1" fillId="12" borderId="0" xfId="0" applyFont="1" applyFill="1" applyAlignment="1">
      <alignment horizontal="center" vertical="center"/>
    </xf>
    <xf numFmtId="0" fontId="1" fillId="9" borderId="0" xfId="0" applyFont="1" applyFill="1" applyAlignment="1">
      <alignment horizontal="center" vertical="center"/>
    </xf>
    <xf numFmtId="0" fontId="1" fillId="0" borderId="0" xfId="0" applyFont="1" applyAlignment="1"/>
    <xf numFmtId="49" fontId="1" fillId="0" borderId="10" xfId="0" applyNumberFormat="1" applyFont="1" applyBorder="1" applyAlignment="1">
      <alignment horizontal="left" vertical="center"/>
    </xf>
    <xf numFmtId="0" fontId="0" fillId="0" borderId="10" xfId="0" applyBorder="1" applyAlignment="1">
      <alignment horizontal="left" vertical="center"/>
    </xf>
    <xf numFmtId="0" fontId="3" fillId="0" borderId="0" xfId="0" applyFont="1" applyAlignment="1">
      <alignment horizontal="center" vertical="center" wrapText="1"/>
    </xf>
    <xf numFmtId="0" fontId="0" fillId="0" borderId="0" xfId="0" applyAlignment="1"/>
    <xf numFmtId="0" fontId="5" fillId="0" borderId="0" xfId="0" applyFont="1" applyAlignment="1">
      <alignment vertical="top" wrapText="1"/>
    </xf>
    <xf numFmtId="0" fontId="5" fillId="0" borderId="0" xfId="0" applyFont="1" applyAlignment="1">
      <alignment vertical="top"/>
    </xf>
    <xf numFmtId="0" fontId="0" fillId="0" borderId="0" xfId="0" applyAlignment="1">
      <alignment vertical="top"/>
    </xf>
    <xf numFmtId="0" fontId="1" fillId="0" borderId="4" xfId="0" applyFont="1" applyBorder="1" applyAlignment="1">
      <alignment horizontal="center" vertical="top" textRotation="90"/>
    </xf>
    <xf numFmtId="0" fontId="0" fillId="0" borderId="5" xfId="0" applyBorder="1" applyAlignment="1">
      <alignment vertical="top"/>
    </xf>
    <xf numFmtId="0" fontId="0" fillId="0" borderId="6" xfId="0" applyBorder="1" applyAlignment="1">
      <alignment vertical="top"/>
    </xf>
    <xf numFmtId="0" fontId="0" fillId="8" borderId="0" xfId="0" applyFill="1"/>
    <xf numFmtId="0" fontId="3" fillId="0" borderId="0" xfId="0" applyFont="1" applyAlignment="1">
      <alignment horizontal="center" vertical="center"/>
    </xf>
    <xf numFmtId="0" fontId="1" fillId="0" borderId="4" xfId="0" applyFont="1" applyBorder="1" applyAlignment="1">
      <alignment horizontal="center" vertical="center" textRotation="90"/>
    </xf>
    <xf numFmtId="0" fontId="0" fillId="0" borderId="5" xfId="0" applyBorder="1" applyAlignment="1">
      <alignment horizontal="center" vertical="center" textRotation="90"/>
    </xf>
    <xf numFmtId="0" fontId="0" fillId="0" borderId="6" xfId="0" applyBorder="1" applyAlignment="1">
      <alignment horizontal="center" vertical="center" textRotation="90"/>
    </xf>
    <xf numFmtId="0" fontId="0" fillId="0" borderId="10" xfId="0" applyBorder="1" applyAlignment="1"/>
    <xf numFmtId="0" fontId="0" fillId="0" borderId="0" xfId="0" applyAlignment="1">
      <alignment horizontal="center" vertical="center" wrapText="1"/>
    </xf>
    <xf numFmtId="0" fontId="5" fillId="0" borderId="0" xfId="0" applyFont="1" applyAlignment="1"/>
    <xf numFmtId="0" fontId="0" fillId="7" borderId="17"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0" borderId="11" xfId="0" applyBorder="1" applyAlignment="1">
      <alignment horizontal="center" vertical="center"/>
    </xf>
    <xf numFmtId="0" fontId="0" fillId="0" borderId="29" xfId="0" applyBorder="1" applyAlignment="1">
      <alignment horizontal="center" vertical="center"/>
    </xf>
    <xf numFmtId="0" fontId="0" fillId="7" borderId="26" xfId="0" applyFill="1" applyBorder="1" applyAlignment="1">
      <alignment horizontal="center" vertical="center"/>
    </xf>
    <xf numFmtId="0" fontId="1" fillId="7" borderId="2" xfId="0" applyFont="1" applyFill="1" applyBorder="1" applyAlignment="1">
      <alignment horizontal="center" vertical="center"/>
    </xf>
    <xf numFmtId="0" fontId="1" fillId="7" borderId="3" xfId="0" applyFont="1" applyFill="1" applyBorder="1" applyAlignment="1">
      <alignment horizontal="center" vertical="center"/>
    </xf>
    <xf numFmtId="0" fontId="0" fillId="4" borderId="27" xfId="0" applyFill="1" applyBorder="1" applyAlignment="1">
      <alignment horizontal="center"/>
    </xf>
  </cellXfs>
  <cellStyles count="2">
    <cellStyle name="Hyperlink" xfId="1" builtinId="8"/>
    <cellStyle name="Normal" xfId="0" builtinId="0"/>
  </cellStyles>
  <dxfs count="144">
    <dxf>
      <fill>
        <patternFill patternType="none">
          <bgColor auto="1"/>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patternType="solid">
          <bgColor auto="1"/>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patternType="solid">
          <bgColor auto="1"/>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patternType="solid">
          <bgColor auto="1"/>
        </patternFill>
      </fill>
    </dxf>
    <dxf>
      <fill>
        <patternFill patternType="none">
          <bgColor auto="1"/>
        </patternFill>
      </fill>
    </dxf>
    <dxf>
      <fill>
        <patternFill>
          <bgColor rgb="FFFF0000"/>
        </patternFill>
      </fill>
    </dxf>
    <dxf>
      <fill>
        <patternFill patternType="lightDown">
          <bgColor rgb="FFFF0000"/>
        </patternFill>
      </fill>
    </dxf>
    <dxf>
      <fill>
        <patternFill>
          <bgColor rgb="FFFF0000"/>
        </patternFill>
      </fill>
    </dxf>
    <dxf>
      <fill>
        <patternFill patternType="lightDown">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patternType="solid">
          <bgColor auto="1"/>
        </patternFill>
      </fill>
    </dxf>
    <dxf>
      <fill>
        <patternFill patternType="solid">
          <bgColor auto="1"/>
        </patternFill>
      </fill>
    </dxf>
    <dxf>
      <fill>
        <patternFill patternType="none">
          <bgColor auto="1"/>
        </patternFill>
      </fill>
    </dxf>
    <dxf>
      <fill>
        <patternFill patternType="none">
          <bgColor auto="1"/>
        </patternFill>
      </fill>
    </dxf>
    <dxf>
      <fill>
        <patternFill>
          <bgColor rgb="FFFF0000"/>
        </patternFill>
      </fill>
    </dxf>
    <dxf>
      <fill>
        <patternFill patternType="lightDown">
          <bgColor rgb="FFFF0000"/>
        </patternFill>
      </fill>
    </dxf>
    <dxf>
      <fill>
        <patternFill>
          <bgColor rgb="FFFF0000"/>
        </patternFill>
      </fill>
    </dxf>
    <dxf>
      <fill>
        <patternFill patternType="lightDown">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patternType="solid">
          <bgColor auto="1"/>
        </patternFill>
      </fill>
    </dxf>
    <dxf>
      <fill>
        <patternFill patternType="solid">
          <bgColor auto="1"/>
        </patternFill>
      </fill>
    </dxf>
    <dxf>
      <fill>
        <patternFill patternType="none">
          <bgColor auto="1"/>
        </patternFill>
      </fill>
    </dxf>
    <dxf>
      <fill>
        <patternFill patternType="none">
          <bgColor auto="1"/>
        </patternFill>
      </fill>
    </dxf>
    <dxf>
      <fill>
        <patternFill>
          <bgColor rgb="FFFF0000"/>
        </patternFill>
      </fill>
    </dxf>
    <dxf>
      <fill>
        <patternFill patternType="lightDown">
          <bgColor rgb="FFFF0000"/>
        </patternFill>
      </fill>
    </dxf>
    <dxf>
      <fill>
        <patternFill>
          <bgColor rgb="FFFF0000"/>
        </patternFill>
      </fill>
    </dxf>
    <dxf>
      <fill>
        <patternFill patternType="lightDown">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patternType="solid">
          <bgColor auto="1"/>
        </patternFill>
      </fill>
    </dxf>
    <dxf>
      <fill>
        <patternFill patternType="solid">
          <bgColor auto="1"/>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patternType="lightDown">
          <bgColor rgb="FFFF0000"/>
        </patternFill>
      </fill>
    </dxf>
    <dxf>
      <fill>
        <patternFill>
          <bgColor rgb="FFFF0000"/>
        </patternFill>
      </fill>
    </dxf>
    <dxf>
      <fill>
        <patternFill patternType="lightUp">
          <bgColor rgb="FFFF0000"/>
        </patternFill>
      </fill>
    </dxf>
    <dxf>
      <fill>
        <patternFill>
          <bgColor rgb="FF00B050"/>
        </patternFill>
      </fill>
    </dxf>
    <dxf>
      <fill>
        <patternFill>
          <bgColor rgb="FFFFFF00"/>
        </patternFill>
      </fill>
    </dxf>
    <dxf>
      <fill>
        <patternFill>
          <bgColor rgb="FFFF0000"/>
        </patternFill>
      </fill>
    </dxf>
    <dxf>
      <fill>
        <patternFill patternType="lightDown">
          <bgColor rgb="FFFF0000"/>
        </patternFill>
      </fill>
    </dxf>
    <dxf>
      <fill>
        <patternFill>
          <bgColor rgb="FFFF0000"/>
        </patternFill>
      </fill>
    </dxf>
    <dxf>
      <fill>
        <patternFill patternType="none">
          <bgColor auto="1"/>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patternType="none">
          <bgColor auto="1"/>
        </patternFill>
      </fill>
    </dxf>
    <dxf>
      <fill>
        <patternFill>
          <bgColor rgb="FFFF0000"/>
        </patternFill>
      </fill>
    </dxf>
    <dxf>
      <fill>
        <patternFill>
          <bgColor rgb="FFFF0000"/>
        </patternFill>
      </fill>
    </dxf>
    <dxf>
      <fill>
        <patternFill patternType="lightDown">
          <bgColor rgb="FFFF0000"/>
        </patternFill>
      </fill>
    </dxf>
    <dxf>
      <fill>
        <patternFill patternType="none">
          <bgColor auto="1"/>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patternType="lightDown">
          <bgColor rgb="FFFF0000"/>
        </patternFill>
      </fill>
    </dxf>
    <dxf>
      <fill>
        <patternFill patternType="solid">
          <bgColor auto="1"/>
        </patternFill>
      </fill>
    </dxf>
    <dxf>
      <fill>
        <patternFill>
          <bgColor rgb="FFFF0000"/>
        </patternFill>
      </fill>
    </dxf>
    <dxf>
      <fill>
        <patternFill patternType="lightDown">
          <bgColor rgb="FFFF0000"/>
        </patternFill>
      </fill>
    </dxf>
    <dxf>
      <fill>
        <patternFill patternType="solid">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s>
  <tableStyles count="0" defaultTableStyle="TableStyleMedium9" defaultPivotStyle="PivotStyleLight16"/>
  <colors>
    <mruColors>
      <color rgb="FFF5C3F1"/>
      <color rgb="FFC0F8F8"/>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lock Source Control'!S3"/><Relationship Id="rId3" Type="http://schemas.openxmlformats.org/officeDocument/2006/relationships/hyperlink" Target="#FMPLL!AB9"/><Relationship Id="rId7" Type="http://schemas.openxmlformats.org/officeDocument/2006/relationships/hyperlink" Target="#'Clock Source Control'!AG3"/><Relationship Id="rId2" Type="http://schemas.openxmlformats.org/officeDocument/2006/relationships/hyperlink" Target="#FMPLL!AB18"/><Relationship Id="rId1" Type="http://schemas.openxmlformats.org/officeDocument/2006/relationships/hyperlink" Target="#FMPLL!A1"/><Relationship Id="rId6" Type="http://schemas.openxmlformats.org/officeDocument/2006/relationships/hyperlink" Target="#'Clock Source Control'!AT3"/><Relationship Id="rId5" Type="http://schemas.openxmlformats.org/officeDocument/2006/relationships/hyperlink" Target="#Tree!G7"/><Relationship Id="rId4" Type="http://schemas.openxmlformats.org/officeDocument/2006/relationships/hyperlink" Target="#Tree!J38"/><Relationship Id="rId9" Type="http://schemas.openxmlformats.org/officeDocument/2006/relationships/hyperlink" Target="#'Clock Source Control'!E3"/></Relationships>
</file>

<file path=xl/drawings/_rels/drawing2.xml.rels><?xml version="1.0" encoding="UTF-8" standalone="yes"?>
<Relationships xmlns="http://schemas.openxmlformats.org/package/2006/relationships"><Relationship Id="rId2" Type="http://schemas.openxmlformats.org/officeDocument/2006/relationships/hyperlink" Target="#FMPLL!AB18"/><Relationship Id="rId1" Type="http://schemas.openxmlformats.org/officeDocument/2006/relationships/hyperlink" Target="#FMPLL!AB9"/></Relationships>
</file>

<file path=xl/drawings/_rels/drawing3.xml.rels><?xml version="1.0" encoding="UTF-8" standalone="yes"?>
<Relationships xmlns="http://schemas.openxmlformats.org/package/2006/relationships"><Relationship Id="rId8" Type="http://schemas.openxmlformats.org/officeDocument/2006/relationships/hyperlink" Target="#Tree!V8"/><Relationship Id="rId13" Type="http://schemas.openxmlformats.org/officeDocument/2006/relationships/hyperlink" Target="#Tree!D16"/><Relationship Id="rId18" Type="http://schemas.openxmlformats.org/officeDocument/2006/relationships/hyperlink" Target="#Tree!P33"/><Relationship Id="rId26" Type="http://schemas.openxmlformats.org/officeDocument/2006/relationships/hyperlink" Target="#'SAI Clocking'!BW22"/><Relationship Id="rId3" Type="http://schemas.openxmlformats.org/officeDocument/2006/relationships/hyperlink" Target="#Tree!F33"/><Relationship Id="rId21" Type="http://schemas.openxmlformats.org/officeDocument/2006/relationships/hyperlink" Target="#'Run mode-only Module Domains'!F22"/><Relationship Id="rId7" Type="http://schemas.openxmlformats.org/officeDocument/2006/relationships/hyperlink" Target="#'ENET Clocking'!A1"/><Relationship Id="rId12" Type="http://schemas.openxmlformats.org/officeDocument/2006/relationships/hyperlink" Target="#'SAI Clocking'!AP18"/><Relationship Id="rId17" Type="http://schemas.openxmlformats.org/officeDocument/2006/relationships/hyperlink" Target="#Tree!V10"/><Relationship Id="rId25" Type="http://schemas.openxmlformats.org/officeDocument/2006/relationships/hyperlink" Target="#Tree!V21"/><Relationship Id="rId2" Type="http://schemas.openxmlformats.org/officeDocument/2006/relationships/hyperlink" Target="#Tree!V25"/><Relationship Id="rId16" Type="http://schemas.openxmlformats.org/officeDocument/2006/relationships/hyperlink" Target="#Tree!L48"/><Relationship Id="rId20" Type="http://schemas.openxmlformats.org/officeDocument/2006/relationships/hyperlink" Target="#Tree!V14"/><Relationship Id="rId29" Type="http://schemas.openxmlformats.org/officeDocument/2006/relationships/hyperlink" Target="#'SAI Clocking'!AP56"/><Relationship Id="rId1" Type="http://schemas.openxmlformats.org/officeDocument/2006/relationships/hyperlink" Target="#Tree!V18"/><Relationship Id="rId6" Type="http://schemas.openxmlformats.org/officeDocument/2006/relationships/hyperlink" Target="#Tree!V29"/><Relationship Id="rId11" Type="http://schemas.openxmlformats.org/officeDocument/2006/relationships/hyperlink" Target="#Tree!K17"/><Relationship Id="rId24" Type="http://schemas.openxmlformats.org/officeDocument/2006/relationships/hyperlink" Target="#'Run mode-only Module Domains'!V18"/><Relationship Id="rId5" Type="http://schemas.openxmlformats.org/officeDocument/2006/relationships/hyperlink" Target="#Tree!V27"/><Relationship Id="rId15" Type="http://schemas.openxmlformats.org/officeDocument/2006/relationships/hyperlink" Target="#Tree!L46"/><Relationship Id="rId23" Type="http://schemas.openxmlformats.org/officeDocument/2006/relationships/hyperlink" Target="#'Run mode-only Module Domains'!AM31"/><Relationship Id="rId28" Type="http://schemas.openxmlformats.org/officeDocument/2006/relationships/hyperlink" Target="#'SAI Clocking'!BW41"/><Relationship Id="rId10" Type="http://schemas.openxmlformats.org/officeDocument/2006/relationships/hyperlink" Target="#'Run mode-only Module Domains'!AO145"/><Relationship Id="rId19" Type="http://schemas.openxmlformats.org/officeDocument/2006/relationships/hyperlink" Target="#'LP-Enabled Module Domain Set 0'!D32"/><Relationship Id="rId31" Type="http://schemas.openxmlformats.org/officeDocument/2006/relationships/hyperlink" Target="#Tree!S31"/><Relationship Id="rId4" Type="http://schemas.openxmlformats.org/officeDocument/2006/relationships/hyperlink" Target="#'CAN Clocking'!D109"/><Relationship Id="rId9" Type="http://schemas.openxmlformats.org/officeDocument/2006/relationships/hyperlink" Target="#'SAI Clocking'!A1"/><Relationship Id="rId14" Type="http://schemas.openxmlformats.org/officeDocument/2006/relationships/hyperlink" Target="#Tree!L57"/><Relationship Id="rId22" Type="http://schemas.openxmlformats.org/officeDocument/2006/relationships/hyperlink" Target="#'Run mode-only Module Domains'!G126"/><Relationship Id="rId27" Type="http://schemas.openxmlformats.org/officeDocument/2006/relationships/hyperlink" Target="#'SAI Clocking'!AP38"/><Relationship Id="rId30" Type="http://schemas.openxmlformats.org/officeDocument/2006/relationships/hyperlink" Target="#'SAI Clocking'!BW59"/></Relationships>
</file>

<file path=xl/drawings/_rels/drawing4.xml.rels><?xml version="1.0" encoding="UTF-8" standalone="yes"?>
<Relationships xmlns="http://schemas.openxmlformats.org/package/2006/relationships"><Relationship Id="rId8" Type="http://schemas.openxmlformats.org/officeDocument/2006/relationships/hyperlink" Target="#Tree!V10"/><Relationship Id="rId13" Type="http://schemas.openxmlformats.org/officeDocument/2006/relationships/hyperlink" Target="#'LP-Enabled Module Domain Set 1'!E6"/><Relationship Id="rId3" Type="http://schemas.openxmlformats.org/officeDocument/2006/relationships/hyperlink" Target="#Tree!L46"/><Relationship Id="rId7" Type="http://schemas.openxmlformats.org/officeDocument/2006/relationships/hyperlink" Target="#Tree!L48"/><Relationship Id="rId12" Type="http://schemas.openxmlformats.org/officeDocument/2006/relationships/hyperlink" Target="#'LP-Enabled Module Domain Set 0'!D32"/><Relationship Id="rId2" Type="http://schemas.openxmlformats.org/officeDocument/2006/relationships/hyperlink" Target="#Tree!V21"/><Relationship Id="rId16" Type="http://schemas.openxmlformats.org/officeDocument/2006/relationships/hyperlink" Target="#Tree!S31"/><Relationship Id="rId1" Type="http://schemas.openxmlformats.org/officeDocument/2006/relationships/hyperlink" Target="#Tree!V18"/><Relationship Id="rId6" Type="http://schemas.openxmlformats.org/officeDocument/2006/relationships/hyperlink" Target="#Tree!L57"/><Relationship Id="rId11" Type="http://schemas.openxmlformats.org/officeDocument/2006/relationships/hyperlink" Target="#Tree!L59"/><Relationship Id="rId5" Type="http://schemas.openxmlformats.org/officeDocument/2006/relationships/hyperlink" Target="#Tree!D16"/><Relationship Id="rId15" Type="http://schemas.openxmlformats.org/officeDocument/2006/relationships/hyperlink" Target="#Tree!K17"/><Relationship Id="rId10" Type="http://schemas.openxmlformats.org/officeDocument/2006/relationships/hyperlink" Target="#Tree!G7"/><Relationship Id="rId4" Type="http://schemas.openxmlformats.org/officeDocument/2006/relationships/hyperlink" Target="#Tree!F33"/><Relationship Id="rId9" Type="http://schemas.openxmlformats.org/officeDocument/2006/relationships/hyperlink" Target="#Tree!J38"/><Relationship Id="rId14" Type="http://schemas.openxmlformats.org/officeDocument/2006/relationships/hyperlink" Target="#'LP-Enabled Module Domain Set 1'!E10"/></Relationships>
</file>

<file path=xl/drawings/_rels/drawing5.xml.rels><?xml version="1.0" encoding="UTF-8" standalone="yes"?>
<Relationships xmlns="http://schemas.openxmlformats.org/package/2006/relationships"><Relationship Id="rId8" Type="http://schemas.openxmlformats.org/officeDocument/2006/relationships/hyperlink" Target="#Tree!V10"/><Relationship Id="rId3" Type="http://schemas.openxmlformats.org/officeDocument/2006/relationships/hyperlink" Target="#Tree!V18"/><Relationship Id="rId7" Type="http://schemas.openxmlformats.org/officeDocument/2006/relationships/hyperlink" Target="#Tree!V14"/><Relationship Id="rId2" Type="http://schemas.openxmlformats.org/officeDocument/2006/relationships/hyperlink" Target="#Tree!F33"/><Relationship Id="rId1" Type="http://schemas.openxmlformats.org/officeDocument/2006/relationships/hyperlink" Target="#'CAN Clocking'!D11"/><Relationship Id="rId6" Type="http://schemas.openxmlformats.org/officeDocument/2006/relationships/hyperlink" Target="#Tree!V21"/><Relationship Id="rId5" Type="http://schemas.openxmlformats.org/officeDocument/2006/relationships/hyperlink" Target="#Tree!V29"/><Relationship Id="rId4" Type="http://schemas.openxmlformats.org/officeDocument/2006/relationships/hyperlink" Target="#Tree!V25"/><Relationship Id="rId9" Type="http://schemas.openxmlformats.org/officeDocument/2006/relationships/hyperlink" Target="#Tree!S31"/></Relationships>
</file>

<file path=xl/drawings/_rels/drawing6.xml.rels><?xml version="1.0" encoding="UTF-8" standalone="yes"?>
<Relationships xmlns="http://schemas.openxmlformats.org/package/2006/relationships"><Relationship Id="rId8" Type="http://schemas.openxmlformats.org/officeDocument/2006/relationships/hyperlink" Target="#Tree!V25"/><Relationship Id="rId3" Type="http://schemas.openxmlformats.org/officeDocument/2006/relationships/hyperlink" Target="#'Run mode-only Module Domains'!F59"/><Relationship Id="rId7" Type="http://schemas.openxmlformats.org/officeDocument/2006/relationships/hyperlink" Target="#'Run mode-only Module Domains'!G62"/><Relationship Id="rId2" Type="http://schemas.openxmlformats.org/officeDocument/2006/relationships/hyperlink" Target="#'Run mode-only Module Domains'!F58"/><Relationship Id="rId1" Type="http://schemas.openxmlformats.org/officeDocument/2006/relationships/hyperlink" Target="#'Run mode-only Module Domains'!C55"/><Relationship Id="rId6" Type="http://schemas.openxmlformats.org/officeDocument/2006/relationships/hyperlink" Target="#'Run mode-only Module Domains'!F65"/><Relationship Id="rId5" Type="http://schemas.openxmlformats.org/officeDocument/2006/relationships/hyperlink" Target="#'Run mode-only Module Domains'!F60"/><Relationship Id="rId4" Type="http://schemas.openxmlformats.org/officeDocument/2006/relationships/hyperlink" Target="#'Run mode-only Module Domains'!C65"/><Relationship Id="rId9" Type="http://schemas.openxmlformats.org/officeDocument/2006/relationships/hyperlink" Target="#Tree!V27"/></Relationships>
</file>

<file path=xl/drawings/_rels/drawing7.xml.rels><?xml version="1.0" encoding="UTF-8" standalone="yes"?>
<Relationships xmlns="http://schemas.openxmlformats.org/package/2006/relationships"><Relationship Id="rId8" Type="http://schemas.openxmlformats.org/officeDocument/2006/relationships/hyperlink" Target="#'Run mode-only Module Domains'!H69"/><Relationship Id="rId3" Type="http://schemas.openxmlformats.org/officeDocument/2006/relationships/hyperlink" Target="#'Run mode-only Module Domains'!AO145"/><Relationship Id="rId7" Type="http://schemas.openxmlformats.org/officeDocument/2006/relationships/hyperlink" Target="#'Run mode-only Module Domains'!D76"/><Relationship Id="rId12" Type="http://schemas.openxmlformats.org/officeDocument/2006/relationships/hyperlink" Target="#Tree!S31"/><Relationship Id="rId2" Type="http://schemas.openxmlformats.org/officeDocument/2006/relationships/hyperlink" Target="#Tree!K17"/><Relationship Id="rId1" Type="http://schemas.openxmlformats.org/officeDocument/2006/relationships/hyperlink" Target="#Tree!F33"/><Relationship Id="rId6" Type="http://schemas.openxmlformats.org/officeDocument/2006/relationships/hyperlink" Target="#'Run mode-only Module Domains'!G100"/><Relationship Id="rId11" Type="http://schemas.openxmlformats.org/officeDocument/2006/relationships/hyperlink" Target="#'Run mode-only Module Domains'!D97"/><Relationship Id="rId5" Type="http://schemas.openxmlformats.org/officeDocument/2006/relationships/hyperlink" Target="#'Run mode-only Module Domains'!G89"/><Relationship Id="rId10" Type="http://schemas.openxmlformats.org/officeDocument/2006/relationships/hyperlink" Target="#'Run mode-only Module Domains'!D86"/><Relationship Id="rId4" Type="http://schemas.openxmlformats.org/officeDocument/2006/relationships/hyperlink" Target="#'Run mode-only Module Domains'!G79"/><Relationship Id="rId9" Type="http://schemas.openxmlformats.org/officeDocument/2006/relationships/hyperlink" Target="#Tree!V21"/></Relationships>
</file>

<file path=xl/drawings/_rels/drawing8.xml.rels><?xml version="1.0" encoding="UTF-8" standalone="yes"?>
<Relationships xmlns="http://schemas.openxmlformats.org/package/2006/relationships"><Relationship Id="rId2" Type="http://schemas.openxmlformats.org/officeDocument/2006/relationships/hyperlink" Target="#'LP-Enabled Module Domain Set 1'!E10"/><Relationship Id="rId1" Type="http://schemas.openxmlformats.org/officeDocument/2006/relationships/hyperlink" Target="#'LP-Enabled Module Domain Set 1'!E6"/></Relationships>
</file>

<file path=xl/drawings/_rels/drawing9.xml.rels><?xml version="1.0" encoding="UTF-8" standalone="yes"?>
<Relationships xmlns="http://schemas.openxmlformats.org/package/2006/relationships"><Relationship Id="rId3" Type="http://schemas.openxmlformats.org/officeDocument/2006/relationships/hyperlink" Target="#'Clock Source Control'!BO11"/><Relationship Id="rId2" Type="http://schemas.openxmlformats.org/officeDocument/2006/relationships/hyperlink" Target="#FMPLL!B22"/><Relationship Id="rId1" Type="http://schemas.openxmlformats.org/officeDocument/2006/relationships/hyperlink" Target="#Tree!G24"/></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438150</xdr:colOff>
      <xdr:row>0</xdr:row>
      <xdr:rowOff>9525</xdr:rowOff>
    </xdr:from>
    <xdr:ext cx="4840942" cy="895348"/>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486150" y="9525"/>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MPC574xG Clock Configuration</a:t>
          </a:r>
        </a:p>
      </xdr:txBody>
    </xdr:sp>
    <xdr:clientData/>
  </xdr:oneCellAnchor>
  <xdr:twoCellAnchor>
    <xdr:from>
      <xdr:col>0</xdr:col>
      <xdr:colOff>411770</xdr:colOff>
      <xdr:row>18</xdr:row>
      <xdr:rowOff>38833</xdr:rowOff>
    </xdr:from>
    <xdr:to>
      <xdr:col>2</xdr:col>
      <xdr:colOff>198410</xdr:colOff>
      <xdr:row>21</xdr:row>
      <xdr:rowOff>198853</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411770" y="3856160"/>
          <a:ext cx="1002909" cy="7974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16 MHz Fast RC</a:t>
          </a:r>
        </a:p>
        <a:p>
          <a:pPr algn="ctr"/>
          <a:r>
            <a:rPr lang="en-US" sz="1000"/>
            <a:t>Oscillator</a:t>
          </a:r>
        </a:p>
        <a:p>
          <a:pPr algn="ctr"/>
          <a:r>
            <a:rPr lang="en-US" sz="1000"/>
            <a:t>(FIRC)</a:t>
          </a:r>
        </a:p>
      </xdr:txBody>
    </xdr:sp>
    <xdr:clientData/>
  </xdr:twoCellAnchor>
  <xdr:twoCellAnchor>
    <xdr:from>
      <xdr:col>1</xdr:col>
      <xdr:colOff>428625</xdr:colOff>
      <xdr:row>24</xdr:row>
      <xdr:rowOff>26091</xdr:rowOff>
    </xdr:from>
    <xdr:to>
      <xdr:col>3</xdr:col>
      <xdr:colOff>215265</xdr:colOff>
      <xdr:row>27</xdr:row>
      <xdr:rowOff>186111</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1036760" y="4927803"/>
          <a:ext cx="1002909" cy="7974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8-40 MHz Fast</a:t>
          </a:r>
        </a:p>
        <a:p>
          <a:pPr algn="ctr"/>
          <a:r>
            <a:rPr lang="en-US" sz="1100"/>
            <a:t>Ext. Oscillator</a:t>
          </a:r>
        </a:p>
        <a:p>
          <a:pPr algn="ctr"/>
          <a:r>
            <a:rPr lang="en-US" sz="1100"/>
            <a:t>(FXOSC)</a:t>
          </a:r>
        </a:p>
      </xdr:txBody>
    </xdr:sp>
    <xdr:clientData/>
  </xdr:twoCellAnchor>
  <xdr:twoCellAnchor>
    <xdr:from>
      <xdr:col>5</xdr:col>
      <xdr:colOff>400050</xdr:colOff>
      <xdr:row>19</xdr:row>
      <xdr:rowOff>28575</xdr:rowOff>
    </xdr:from>
    <xdr:to>
      <xdr:col>7</xdr:col>
      <xdr:colOff>186690</xdr:colOff>
      <xdr:row>22</xdr:row>
      <xdr:rowOff>188595</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3448050" y="3657600"/>
          <a:ext cx="1005840" cy="7315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5</a:t>
          </a:r>
        </a:p>
        <a:p>
          <a:pPr algn="ctr"/>
          <a:r>
            <a:rPr lang="en-US" sz="900"/>
            <a:t>MC_CGM_AC5_SC[SELCTL]</a:t>
          </a:r>
        </a:p>
      </xdr:txBody>
    </xdr:sp>
    <xdr:clientData/>
  </xdr:twoCellAnchor>
  <xdr:twoCellAnchor>
    <xdr:from>
      <xdr:col>9</xdr:col>
      <xdr:colOff>27385</xdr:colOff>
      <xdr:row>19</xdr:row>
      <xdr:rowOff>38467</xdr:rowOff>
    </xdr:from>
    <xdr:to>
      <xdr:col>10</xdr:col>
      <xdr:colOff>428387</xdr:colOff>
      <xdr:row>22</xdr:row>
      <xdr:rowOff>198487</xdr:rowOff>
    </xdr:to>
    <xdr:sp macro="" textlink="">
      <xdr:nvSpPr>
        <xdr:cNvPr id="15" name="Rectangle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5513785" y="4096117"/>
          <a:ext cx="1010602" cy="788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FMPLL</a:t>
          </a:r>
        </a:p>
      </xdr:txBody>
    </xdr:sp>
    <xdr:clientData/>
  </xdr:twoCellAnchor>
  <xdr:twoCellAnchor>
    <xdr:from>
      <xdr:col>7</xdr:col>
      <xdr:colOff>186690</xdr:colOff>
      <xdr:row>21</xdr:row>
      <xdr:rowOff>3810</xdr:rowOff>
    </xdr:from>
    <xdr:to>
      <xdr:col>9</xdr:col>
      <xdr:colOff>27385</xdr:colOff>
      <xdr:row>21</xdr:row>
      <xdr:rowOff>13702</xdr:rowOff>
    </xdr:to>
    <xdr:cxnSp macro="">
      <xdr:nvCxnSpPr>
        <xdr:cNvPr id="17" name="Straight Arrow Connector 16">
          <a:extLst>
            <a:ext uri="{FF2B5EF4-FFF2-40B4-BE49-F238E27FC236}">
              <a16:creationId xmlns:a16="http://schemas.microsoft.com/office/drawing/2014/main" id="{00000000-0008-0000-0000-000011000000}"/>
            </a:ext>
          </a:extLst>
        </xdr:cNvPr>
        <xdr:cNvCxnSpPr>
          <a:stCxn id="5" idx="3"/>
          <a:endCxn id="15" idx="1"/>
        </xdr:cNvCxnSpPr>
      </xdr:nvCxnSpPr>
      <xdr:spPr>
        <a:xfrm>
          <a:off x="4453890" y="4480560"/>
          <a:ext cx="1059895" cy="9892"/>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603302</xdr:colOff>
      <xdr:row>7</xdr:row>
      <xdr:rowOff>138418</xdr:rowOff>
    </xdr:from>
    <xdr:to>
      <xdr:col>6</xdr:col>
      <xdr:colOff>603584</xdr:colOff>
      <xdr:row>13</xdr:row>
      <xdr:rowOff>197826</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rot="16200000">
          <a:off x="3295691" y="1996048"/>
          <a:ext cx="1304985" cy="6084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System Clock</a:t>
          </a:r>
        </a:p>
        <a:p>
          <a:pPr algn="ctr"/>
          <a:r>
            <a:rPr lang="en-US" sz="1100" baseline="0"/>
            <a:t>Selector</a:t>
          </a:r>
        </a:p>
        <a:p>
          <a:pPr algn="ctr"/>
          <a:r>
            <a:rPr lang="en-US" sz="650"/>
            <a:t>MC_ME_&lt;MODE&gt;_MC[SYSCLK]</a:t>
          </a:r>
        </a:p>
      </xdr:txBody>
    </xdr:sp>
    <xdr:clientData/>
  </xdr:twoCellAnchor>
  <xdr:twoCellAnchor>
    <xdr:from>
      <xdr:col>8</xdr:col>
      <xdr:colOff>3</xdr:colOff>
      <xdr:row>8</xdr:row>
      <xdr:rowOff>48690</xdr:rowOff>
    </xdr:from>
    <xdr:to>
      <xdr:col>9</xdr:col>
      <xdr:colOff>283</xdr:colOff>
      <xdr:row>13</xdr:row>
      <xdr:rowOff>188178</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4876803" y="1583576"/>
          <a:ext cx="609880" cy="10919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vert="vert270" rtlCol="0" anchor="ctr"/>
        <a:lstStyle/>
        <a:p>
          <a:pPr algn="ctr"/>
          <a:r>
            <a:rPr lang="en-US" sz="1100" baseline="0"/>
            <a:t>PCFS</a:t>
          </a:r>
          <a:endParaRPr lang="en-US" sz="1100"/>
        </a:p>
      </xdr:txBody>
    </xdr:sp>
    <xdr:clientData/>
  </xdr:twoCellAnchor>
  <xdr:oneCellAnchor>
    <xdr:from>
      <xdr:col>5</xdr:col>
      <xdr:colOff>564176</xdr:colOff>
      <xdr:row>23</xdr:row>
      <xdr:rowOff>205154</xdr:rowOff>
    </xdr:from>
    <xdr:ext cx="876300" cy="342900"/>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3604849" y="4601308"/>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a:t>
          </a:r>
        </a:p>
        <a:p>
          <a:r>
            <a:rPr lang="en-US" sz="800"/>
            <a:t>1 - FXOSC</a:t>
          </a:r>
        </a:p>
      </xdr:txBody>
    </xdr:sp>
    <xdr:clientData/>
  </xdr:oneCellAnchor>
  <xdr:twoCellAnchor>
    <xdr:from>
      <xdr:col>2</xdr:col>
      <xdr:colOff>196960</xdr:colOff>
      <xdr:row>8</xdr:row>
      <xdr:rowOff>183173</xdr:rowOff>
    </xdr:from>
    <xdr:to>
      <xdr:col>6</xdr:col>
      <xdr:colOff>0</xdr:colOff>
      <xdr:row>14</xdr:row>
      <xdr:rowOff>140074</xdr:rowOff>
    </xdr:to>
    <xdr:cxnSp macro="">
      <xdr:nvCxnSpPr>
        <xdr:cNvPr id="22" name="Straight Arrow Connector 237">
          <a:extLst>
            <a:ext uri="{FF2B5EF4-FFF2-40B4-BE49-F238E27FC236}">
              <a16:creationId xmlns:a16="http://schemas.microsoft.com/office/drawing/2014/main" id="{00000000-0008-0000-0000-000016000000}"/>
            </a:ext>
          </a:extLst>
        </xdr:cNvPr>
        <xdr:cNvCxnSpPr>
          <a:stCxn id="181" idx="3"/>
        </xdr:cNvCxnSpPr>
      </xdr:nvCxnSpPr>
      <xdr:spPr>
        <a:xfrm flipV="1">
          <a:off x="1413229" y="1905000"/>
          <a:ext cx="2235579" cy="1202478"/>
        </a:xfrm>
        <a:prstGeom prst="bentConnector3">
          <a:avLst>
            <a:gd name="adj1" fmla="val 54916"/>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462644</xdr:colOff>
      <xdr:row>10</xdr:row>
      <xdr:rowOff>32524</xdr:rowOff>
    </xdr:from>
    <xdr:to>
      <xdr:col>4</xdr:col>
      <xdr:colOff>475901</xdr:colOff>
      <xdr:row>22</xdr:row>
      <xdr:rowOff>21772</xdr:rowOff>
    </xdr:to>
    <xdr:cxnSp macro="">
      <xdr:nvCxnSpPr>
        <xdr:cNvPr id="35" name="Straight Connector 34">
          <a:extLst>
            <a:ext uri="{FF2B5EF4-FFF2-40B4-BE49-F238E27FC236}">
              <a16:creationId xmlns:a16="http://schemas.microsoft.com/office/drawing/2014/main" id="{00000000-0008-0000-0000-000023000000}"/>
            </a:ext>
          </a:extLst>
        </xdr:cNvPr>
        <xdr:cNvCxnSpPr/>
      </xdr:nvCxnSpPr>
      <xdr:spPr>
        <a:xfrm flipV="1">
          <a:off x="2897327" y="1946817"/>
          <a:ext cx="13257" cy="2312418"/>
        </a:xfrm>
        <a:prstGeom prst="line">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476250</xdr:colOff>
      <xdr:row>10</xdr:row>
      <xdr:rowOff>34289</xdr:rowOff>
    </xdr:from>
    <xdr:to>
      <xdr:col>6</xdr:col>
      <xdr:colOff>1795</xdr:colOff>
      <xdr:row>10</xdr:row>
      <xdr:rowOff>34289</xdr:rowOff>
    </xdr:to>
    <xdr:cxnSp macro="">
      <xdr:nvCxnSpPr>
        <xdr:cNvPr id="38" name="Straight Arrow Connector 37">
          <a:extLst>
            <a:ext uri="{FF2B5EF4-FFF2-40B4-BE49-F238E27FC236}">
              <a16:creationId xmlns:a16="http://schemas.microsoft.com/office/drawing/2014/main" id="{00000000-0008-0000-0000-000026000000}"/>
            </a:ext>
          </a:extLst>
        </xdr:cNvPr>
        <xdr:cNvCxnSpPr/>
      </xdr:nvCxnSpPr>
      <xdr:spPr>
        <a:xfrm>
          <a:off x="2910933" y="1948582"/>
          <a:ext cx="742886"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438150</xdr:colOff>
      <xdr:row>20</xdr:row>
      <xdr:rowOff>29766</xdr:rowOff>
    </xdr:from>
    <xdr:to>
      <xdr:col>10</xdr:col>
      <xdr:colOff>601264</xdr:colOff>
      <xdr:row>20</xdr:row>
      <xdr:rowOff>29766</xdr:rowOff>
    </xdr:to>
    <xdr:cxnSp macro="">
      <xdr:nvCxnSpPr>
        <xdr:cNvPr id="64" name="Straight Connector 63">
          <a:extLst>
            <a:ext uri="{FF2B5EF4-FFF2-40B4-BE49-F238E27FC236}">
              <a16:creationId xmlns:a16="http://schemas.microsoft.com/office/drawing/2014/main" id="{00000000-0008-0000-0000-000040000000}"/>
            </a:ext>
          </a:extLst>
        </xdr:cNvPr>
        <xdr:cNvCxnSpPr/>
      </xdr:nvCxnSpPr>
      <xdr:spPr>
        <a:xfrm>
          <a:off x="6534150" y="4296966"/>
          <a:ext cx="163114" cy="0"/>
        </a:xfrm>
        <a:prstGeom prst="line">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592930</xdr:colOff>
      <xdr:row>18</xdr:row>
      <xdr:rowOff>90317</xdr:rowOff>
    </xdr:from>
    <xdr:to>
      <xdr:col>10</xdr:col>
      <xdr:colOff>592931</xdr:colOff>
      <xdr:row>20</xdr:row>
      <xdr:rowOff>28405</xdr:rowOff>
    </xdr:to>
    <xdr:cxnSp macro="">
      <xdr:nvCxnSpPr>
        <xdr:cNvPr id="65" name="Straight Connector 64">
          <a:extLst>
            <a:ext uri="{FF2B5EF4-FFF2-40B4-BE49-F238E27FC236}">
              <a16:creationId xmlns:a16="http://schemas.microsoft.com/office/drawing/2014/main" id="{00000000-0008-0000-0000-000041000000}"/>
            </a:ext>
          </a:extLst>
        </xdr:cNvPr>
        <xdr:cNvCxnSpPr/>
      </xdr:nvCxnSpPr>
      <xdr:spPr>
        <a:xfrm flipH="1" flipV="1">
          <a:off x="6688930" y="3737031"/>
          <a:ext cx="1" cy="362631"/>
        </a:xfrm>
        <a:prstGeom prst="line">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113109</xdr:colOff>
      <xdr:row>18</xdr:row>
      <xdr:rowOff>98823</xdr:rowOff>
    </xdr:from>
    <xdr:to>
      <xdr:col>10</xdr:col>
      <xdr:colOff>592929</xdr:colOff>
      <xdr:row>18</xdr:row>
      <xdr:rowOff>98823</xdr:rowOff>
    </xdr:to>
    <xdr:cxnSp macro="">
      <xdr:nvCxnSpPr>
        <xdr:cNvPr id="68" name="Straight Connector 67">
          <a:extLst>
            <a:ext uri="{FF2B5EF4-FFF2-40B4-BE49-F238E27FC236}">
              <a16:creationId xmlns:a16="http://schemas.microsoft.com/office/drawing/2014/main" id="{00000000-0008-0000-0000-000044000000}"/>
            </a:ext>
          </a:extLst>
        </xdr:cNvPr>
        <xdr:cNvCxnSpPr/>
      </xdr:nvCxnSpPr>
      <xdr:spPr>
        <a:xfrm>
          <a:off x="3149203" y="3539729"/>
          <a:ext cx="3515914" cy="0"/>
        </a:xfrm>
        <a:prstGeom prst="line">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108348</xdr:colOff>
      <xdr:row>12</xdr:row>
      <xdr:rowOff>23231</xdr:rowOff>
    </xdr:from>
    <xdr:to>
      <xdr:col>5</xdr:col>
      <xdr:colOff>108349</xdr:colOff>
      <xdr:row>18</xdr:row>
      <xdr:rowOff>108347</xdr:rowOff>
    </xdr:to>
    <xdr:cxnSp macro="">
      <xdr:nvCxnSpPr>
        <xdr:cNvPr id="70" name="Straight Connector 69">
          <a:extLst>
            <a:ext uri="{FF2B5EF4-FFF2-40B4-BE49-F238E27FC236}">
              <a16:creationId xmlns:a16="http://schemas.microsoft.com/office/drawing/2014/main" id="{00000000-0008-0000-0000-000046000000}"/>
            </a:ext>
          </a:extLst>
        </xdr:cNvPr>
        <xdr:cNvCxnSpPr/>
      </xdr:nvCxnSpPr>
      <xdr:spPr>
        <a:xfrm flipH="1" flipV="1">
          <a:off x="3151702" y="2318524"/>
          <a:ext cx="1" cy="1265286"/>
        </a:xfrm>
        <a:prstGeom prst="line">
          <a:avLst/>
        </a:prstGeom>
        <a:ln w="19050">
          <a:solidFill>
            <a:srgbClr val="00B05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114843</xdr:colOff>
      <xdr:row>12</xdr:row>
      <xdr:rowOff>27633</xdr:rowOff>
    </xdr:from>
    <xdr:to>
      <xdr:col>5</xdr:col>
      <xdr:colOff>607282</xdr:colOff>
      <xdr:row>12</xdr:row>
      <xdr:rowOff>27633</xdr:rowOff>
    </xdr:to>
    <xdr:cxnSp macro="">
      <xdr:nvCxnSpPr>
        <xdr:cNvPr id="72" name="Straight Arrow Connector 71">
          <a:extLst>
            <a:ext uri="{FF2B5EF4-FFF2-40B4-BE49-F238E27FC236}">
              <a16:creationId xmlns:a16="http://schemas.microsoft.com/office/drawing/2014/main" id="{00000000-0008-0000-0000-000048000000}"/>
            </a:ext>
          </a:extLst>
        </xdr:cNvPr>
        <xdr:cNvCxnSpPr/>
      </xdr:nvCxnSpPr>
      <xdr:spPr>
        <a:xfrm>
          <a:off x="3162843" y="2324519"/>
          <a:ext cx="492439"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541602</xdr:colOff>
      <xdr:row>14</xdr:row>
      <xdr:rowOff>202557</xdr:rowOff>
    </xdr:from>
    <xdr:ext cx="1639295" cy="611995"/>
    <xdr:sp macro="" textlink="">
      <xdr:nvSpPr>
        <xdr:cNvPr id="75" name="TextBox 74">
          <a:extLst>
            <a:ext uri="{FF2B5EF4-FFF2-40B4-BE49-F238E27FC236}">
              <a16:creationId xmlns:a16="http://schemas.microsoft.com/office/drawing/2014/main" id="{00000000-0008-0000-0000-00004B000000}"/>
            </a:ext>
          </a:extLst>
        </xdr:cNvPr>
        <xdr:cNvSpPr txBox="1"/>
      </xdr:nvSpPr>
      <xdr:spPr>
        <a:xfrm>
          <a:off x="3596171" y="3283402"/>
          <a:ext cx="1639295" cy="611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a:t>
          </a:r>
        </a:p>
        <a:p>
          <a:r>
            <a:rPr lang="en-US" sz="800"/>
            <a:t>1 - FXOSC</a:t>
          </a:r>
        </a:p>
        <a:p>
          <a:r>
            <a:rPr lang="en-US" sz="800" baseline="0"/>
            <a:t>2 - FMPLL PHI0</a:t>
          </a:r>
        </a:p>
        <a:p>
          <a:r>
            <a:rPr lang="en-US" sz="800" baseline="0"/>
            <a:t>15 - No System Clock Available</a:t>
          </a:r>
          <a:endParaRPr lang="en-US" sz="800"/>
        </a:p>
      </xdr:txBody>
    </xdr:sp>
    <xdr:clientData/>
  </xdr:oneCellAnchor>
  <xdr:twoCellAnchor>
    <xdr:from>
      <xdr:col>7</xdr:col>
      <xdr:colOff>0</xdr:colOff>
      <xdr:row>11</xdr:row>
      <xdr:rowOff>23184</xdr:rowOff>
    </xdr:from>
    <xdr:to>
      <xdr:col>8</xdr:col>
      <xdr:colOff>3</xdr:colOff>
      <xdr:row>11</xdr:row>
      <xdr:rowOff>23184</xdr:rowOff>
    </xdr:to>
    <xdr:cxnSp macro="">
      <xdr:nvCxnSpPr>
        <xdr:cNvPr id="80" name="Straight Arrow Connector 79">
          <a:extLst>
            <a:ext uri="{FF2B5EF4-FFF2-40B4-BE49-F238E27FC236}">
              <a16:creationId xmlns:a16="http://schemas.microsoft.com/office/drawing/2014/main" id="{00000000-0008-0000-0000-000050000000}"/>
            </a:ext>
          </a:extLst>
        </xdr:cNvPr>
        <xdr:cNvCxnSpPr>
          <a:endCxn id="20" idx="1"/>
        </xdr:cNvCxnSpPr>
      </xdr:nvCxnSpPr>
      <xdr:spPr>
        <a:xfrm>
          <a:off x="4267200" y="2129570"/>
          <a:ext cx="609603"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283</xdr:colOff>
      <xdr:row>11</xdr:row>
      <xdr:rowOff>23184</xdr:rowOff>
    </xdr:from>
    <xdr:to>
      <xdr:col>13</xdr:col>
      <xdr:colOff>152400</xdr:colOff>
      <xdr:row>11</xdr:row>
      <xdr:rowOff>23184</xdr:rowOff>
    </xdr:to>
    <xdr:cxnSp macro="">
      <xdr:nvCxnSpPr>
        <xdr:cNvPr id="92" name="Straight Arrow Connector 91">
          <a:extLst>
            <a:ext uri="{FF2B5EF4-FFF2-40B4-BE49-F238E27FC236}">
              <a16:creationId xmlns:a16="http://schemas.microsoft.com/office/drawing/2014/main" id="{00000000-0008-0000-0000-00005C000000}"/>
            </a:ext>
          </a:extLst>
        </xdr:cNvPr>
        <xdr:cNvCxnSpPr>
          <a:stCxn id="20" idx="3"/>
        </xdr:cNvCxnSpPr>
      </xdr:nvCxnSpPr>
      <xdr:spPr>
        <a:xfrm>
          <a:off x="5486683" y="2129570"/>
          <a:ext cx="2590517" cy="0"/>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146960</xdr:colOff>
      <xdr:row>7</xdr:row>
      <xdr:rowOff>115714</xdr:rowOff>
    </xdr:from>
    <xdr:to>
      <xdr:col>13</xdr:col>
      <xdr:colOff>157669</xdr:colOff>
      <xdr:row>28</xdr:row>
      <xdr:rowOff>139212</xdr:rowOff>
    </xdr:to>
    <xdr:cxnSp macro="">
      <xdr:nvCxnSpPr>
        <xdr:cNvPr id="96" name="Straight Arrow Connector 95">
          <a:extLst>
            <a:ext uri="{FF2B5EF4-FFF2-40B4-BE49-F238E27FC236}">
              <a16:creationId xmlns:a16="http://schemas.microsoft.com/office/drawing/2014/main" id="{00000000-0008-0000-0000-000060000000}"/>
            </a:ext>
          </a:extLst>
        </xdr:cNvPr>
        <xdr:cNvCxnSpPr/>
      </xdr:nvCxnSpPr>
      <xdr:spPr>
        <a:xfrm flipH="1" flipV="1">
          <a:off x="8052710" y="1485849"/>
          <a:ext cx="10709" cy="4456286"/>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149968</xdr:colOff>
      <xdr:row>9</xdr:row>
      <xdr:rowOff>79348</xdr:rowOff>
    </xdr:from>
    <xdr:to>
      <xdr:col>14</xdr:col>
      <xdr:colOff>530087</xdr:colOff>
      <xdr:row>9</xdr:row>
      <xdr:rowOff>79348</xdr:rowOff>
    </xdr:to>
    <xdr:cxnSp macro="">
      <xdr:nvCxnSpPr>
        <xdr:cNvPr id="98" name="Straight Arrow Connector 97">
          <a:extLst>
            <a:ext uri="{FF2B5EF4-FFF2-40B4-BE49-F238E27FC236}">
              <a16:creationId xmlns:a16="http://schemas.microsoft.com/office/drawing/2014/main" id="{00000000-0008-0000-0000-000062000000}"/>
            </a:ext>
          </a:extLst>
        </xdr:cNvPr>
        <xdr:cNvCxnSpPr/>
      </xdr:nvCxnSpPr>
      <xdr:spPr>
        <a:xfrm>
          <a:off x="8117838" y="2282522"/>
          <a:ext cx="993032"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141514</xdr:colOff>
      <xdr:row>7</xdr:row>
      <xdr:rowOff>104827</xdr:rowOff>
    </xdr:from>
    <xdr:to>
      <xdr:col>17</xdr:col>
      <xdr:colOff>227135</xdr:colOff>
      <xdr:row>7</xdr:row>
      <xdr:rowOff>104827</xdr:rowOff>
    </xdr:to>
    <xdr:cxnSp macro="">
      <xdr:nvCxnSpPr>
        <xdr:cNvPr id="102" name="Straight Arrow Connector 101">
          <a:extLst>
            <a:ext uri="{FF2B5EF4-FFF2-40B4-BE49-F238E27FC236}">
              <a16:creationId xmlns:a16="http://schemas.microsoft.com/office/drawing/2014/main" id="{00000000-0008-0000-0000-000066000000}"/>
            </a:ext>
          </a:extLst>
        </xdr:cNvPr>
        <xdr:cNvCxnSpPr/>
      </xdr:nvCxnSpPr>
      <xdr:spPr>
        <a:xfrm>
          <a:off x="8047264" y="1614173"/>
          <a:ext cx="2518159"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580737</xdr:colOff>
      <xdr:row>6</xdr:row>
      <xdr:rowOff>105763</xdr:rowOff>
    </xdr:from>
    <xdr:ext cx="1057275" cy="419101"/>
    <xdr:sp macro="" textlink="">
      <xdr:nvSpPr>
        <xdr:cNvPr id="105" name="TextBox 104">
          <a:extLst>
            <a:ext uri="{FF2B5EF4-FFF2-40B4-BE49-F238E27FC236}">
              <a16:creationId xmlns:a16="http://schemas.microsoft.com/office/drawing/2014/main" id="{00000000-0008-0000-0000-000069000000}"/>
            </a:ext>
          </a:extLst>
        </xdr:cNvPr>
        <xdr:cNvSpPr txBox="1"/>
      </xdr:nvSpPr>
      <xdr:spPr>
        <a:xfrm>
          <a:off x="13351564" y="140262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F160</a:t>
          </a:r>
        </a:p>
      </xdr:txBody>
    </xdr:sp>
    <xdr:clientData/>
  </xdr:oneCellAnchor>
  <xdr:twoCellAnchor>
    <xdr:from>
      <xdr:col>15</xdr:col>
      <xdr:colOff>606948</xdr:colOff>
      <xdr:row>9</xdr:row>
      <xdr:rowOff>78491</xdr:rowOff>
    </xdr:from>
    <xdr:to>
      <xdr:col>17</xdr:col>
      <xdr:colOff>234462</xdr:colOff>
      <xdr:row>9</xdr:row>
      <xdr:rowOff>78595</xdr:rowOff>
    </xdr:to>
    <xdr:cxnSp macro="">
      <xdr:nvCxnSpPr>
        <xdr:cNvPr id="106" name="Straight Arrow Connector 105">
          <a:extLst>
            <a:ext uri="{FF2B5EF4-FFF2-40B4-BE49-F238E27FC236}">
              <a16:creationId xmlns:a16="http://schemas.microsoft.com/office/drawing/2014/main" id="{00000000-0008-0000-0000-00006A000000}"/>
            </a:ext>
          </a:extLst>
        </xdr:cNvPr>
        <xdr:cNvCxnSpPr/>
      </xdr:nvCxnSpPr>
      <xdr:spPr>
        <a:xfrm>
          <a:off x="9728967" y="2012799"/>
          <a:ext cx="843783" cy="104"/>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145915</xdr:colOff>
      <xdr:row>13</xdr:row>
      <xdr:rowOff>106678</xdr:rowOff>
    </xdr:from>
    <xdr:to>
      <xdr:col>14</xdr:col>
      <xdr:colOff>571500</xdr:colOff>
      <xdr:row>13</xdr:row>
      <xdr:rowOff>106678</xdr:rowOff>
    </xdr:to>
    <xdr:cxnSp macro="">
      <xdr:nvCxnSpPr>
        <xdr:cNvPr id="113" name="Straight Arrow Connector 112">
          <a:extLst>
            <a:ext uri="{FF2B5EF4-FFF2-40B4-BE49-F238E27FC236}">
              <a16:creationId xmlns:a16="http://schemas.microsoft.com/office/drawing/2014/main" id="{00000000-0008-0000-0000-000071000000}"/>
            </a:ext>
          </a:extLst>
        </xdr:cNvPr>
        <xdr:cNvCxnSpPr/>
      </xdr:nvCxnSpPr>
      <xdr:spPr>
        <a:xfrm>
          <a:off x="8113785" y="3121548"/>
          <a:ext cx="1038498"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3022</xdr:colOff>
      <xdr:row>13</xdr:row>
      <xdr:rowOff>108068</xdr:rowOff>
    </xdr:from>
    <xdr:to>
      <xdr:col>17</xdr:col>
      <xdr:colOff>212481</xdr:colOff>
      <xdr:row>13</xdr:row>
      <xdr:rowOff>109952</xdr:rowOff>
    </xdr:to>
    <xdr:cxnSp macro="">
      <xdr:nvCxnSpPr>
        <xdr:cNvPr id="119" name="Straight Arrow Connector 118">
          <a:extLst>
            <a:ext uri="{FF2B5EF4-FFF2-40B4-BE49-F238E27FC236}">
              <a16:creationId xmlns:a16="http://schemas.microsoft.com/office/drawing/2014/main" id="{00000000-0008-0000-0000-000077000000}"/>
            </a:ext>
          </a:extLst>
        </xdr:cNvPr>
        <xdr:cNvCxnSpPr/>
      </xdr:nvCxnSpPr>
      <xdr:spPr>
        <a:xfrm flipV="1">
          <a:off x="9733176" y="2862991"/>
          <a:ext cx="817593" cy="1884"/>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569684</xdr:colOff>
      <xdr:row>8</xdr:row>
      <xdr:rowOff>108917</xdr:rowOff>
    </xdr:from>
    <xdr:ext cx="1057275" cy="419101"/>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13340511" y="183074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S160</a:t>
          </a:r>
        </a:p>
      </xdr:txBody>
    </xdr:sp>
    <xdr:clientData/>
  </xdr:oneCellAnchor>
  <xdr:oneCellAnchor>
    <xdr:from>
      <xdr:col>21</xdr:col>
      <xdr:colOff>555030</xdr:colOff>
      <xdr:row>12</xdr:row>
      <xdr:rowOff>89215</xdr:rowOff>
    </xdr:from>
    <xdr:ext cx="1057275" cy="419101"/>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13325857" y="264631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S80</a:t>
          </a:r>
        </a:p>
      </xdr:txBody>
    </xdr:sp>
    <xdr:clientData/>
  </xdr:oneCellAnchor>
  <xdr:twoCellAnchor>
    <xdr:from>
      <xdr:col>13</xdr:col>
      <xdr:colOff>163286</xdr:colOff>
      <xdr:row>17</xdr:row>
      <xdr:rowOff>70383</xdr:rowOff>
    </xdr:from>
    <xdr:to>
      <xdr:col>14</xdr:col>
      <xdr:colOff>554934</xdr:colOff>
      <xdr:row>17</xdr:row>
      <xdr:rowOff>70384</xdr:rowOff>
    </xdr:to>
    <xdr:cxnSp macro="">
      <xdr:nvCxnSpPr>
        <xdr:cNvPr id="125" name="Straight Arrow Connector 124">
          <a:extLst>
            <a:ext uri="{FF2B5EF4-FFF2-40B4-BE49-F238E27FC236}">
              <a16:creationId xmlns:a16="http://schemas.microsoft.com/office/drawing/2014/main" id="{00000000-0008-0000-0000-00007D000000}"/>
            </a:ext>
          </a:extLst>
        </xdr:cNvPr>
        <xdr:cNvCxnSpPr/>
      </xdr:nvCxnSpPr>
      <xdr:spPr>
        <a:xfrm flipV="1">
          <a:off x="8131156" y="3913513"/>
          <a:ext cx="1004561"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606281</xdr:colOff>
      <xdr:row>17</xdr:row>
      <xdr:rowOff>59393</xdr:rowOff>
    </xdr:from>
    <xdr:to>
      <xdr:col>17</xdr:col>
      <xdr:colOff>219808</xdr:colOff>
      <xdr:row>17</xdr:row>
      <xdr:rowOff>60858</xdr:rowOff>
    </xdr:to>
    <xdr:cxnSp macro="">
      <xdr:nvCxnSpPr>
        <xdr:cNvPr id="130" name="Straight Arrow Connector 129">
          <a:extLst>
            <a:ext uri="{FF2B5EF4-FFF2-40B4-BE49-F238E27FC236}">
              <a16:creationId xmlns:a16="http://schemas.microsoft.com/office/drawing/2014/main" id="{00000000-0008-0000-0000-000082000000}"/>
            </a:ext>
          </a:extLst>
        </xdr:cNvPr>
        <xdr:cNvCxnSpPr/>
      </xdr:nvCxnSpPr>
      <xdr:spPr>
        <a:xfrm>
          <a:off x="9728300" y="3664239"/>
          <a:ext cx="829796" cy="1465"/>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577823</xdr:colOff>
      <xdr:row>16</xdr:row>
      <xdr:rowOff>90173</xdr:rowOff>
    </xdr:from>
    <xdr:ext cx="1057275" cy="419101"/>
    <xdr:sp macro="" textlink="">
      <xdr:nvSpPr>
        <xdr:cNvPr id="134" name="TextBox 133">
          <a:extLst>
            <a:ext uri="{FF2B5EF4-FFF2-40B4-BE49-F238E27FC236}">
              <a16:creationId xmlns:a16="http://schemas.microsoft.com/office/drawing/2014/main" id="{00000000-0008-0000-0000-000086000000}"/>
            </a:ext>
          </a:extLst>
        </xdr:cNvPr>
        <xdr:cNvSpPr txBox="1"/>
      </xdr:nvSpPr>
      <xdr:spPr>
        <a:xfrm>
          <a:off x="13348650" y="348253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FS80</a:t>
          </a:r>
        </a:p>
      </xdr:txBody>
    </xdr:sp>
    <xdr:clientData/>
  </xdr:oneCellAnchor>
  <xdr:twoCellAnchor>
    <xdr:from>
      <xdr:col>13</xdr:col>
      <xdr:colOff>152400</xdr:colOff>
      <xdr:row>20</xdr:row>
      <xdr:rowOff>86846</xdr:rowOff>
    </xdr:from>
    <xdr:to>
      <xdr:col>14</xdr:col>
      <xdr:colOff>563217</xdr:colOff>
      <xdr:row>20</xdr:row>
      <xdr:rowOff>86846</xdr:rowOff>
    </xdr:to>
    <xdr:cxnSp macro="">
      <xdr:nvCxnSpPr>
        <xdr:cNvPr id="136" name="Straight Arrow Connector 135">
          <a:extLst>
            <a:ext uri="{FF2B5EF4-FFF2-40B4-BE49-F238E27FC236}">
              <a16:creationId xmlns:a16="http://schemas.microsoft.com/office/drawing/2014/main" id="{00000000-0008-0000-0000-000088000000}"/>
            </a:ext>
          </a:extLst>
        </xdr:cNvPr>
        <xdr:cNvCxnSpPr/>
      </xdr:nvCxnSpPr>
      <xdr:spPr>
        <a:xfrm>
          <a:off x="8120270" y="4551172"/>
          <a:ext cx="102373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5442</xdr:colOff>
      <xdr:row>20</xdr:row>
      <xdr:rowOff>86846</xdr:rowOff>
    </xdr:from>
    <xdr:to>
      <xdr:col>17</xdr:col>
      <xdr:colOff>212481</xdr:colOff>
      <xdr:row>20</xdr:row>
      <xdr:rowOff>86846</xdr:rowOff>
    </xdr:to>
    <xdr:cxnSp macro="">
      <xdr:nvCxnSpPr>
        <xdr:cNvPr id="138" name="Straight Arrow Connector 137">
          <a:extLst>
            <a:ext uri="{FF2B5EF4-FFF2-40B4-BE49-F238E27FC236}">
              <a16:creationId xmlns:a16="http://schemas.microsoft.com/office/drawing/2014/main" id="{00000000-0008-0000-0000-00008A000000}"/>
            </a:ext>
          </a:extLst>
        </xdr:cNvPr>
        <xdr:cNvCxnSpPr/>
      </xdr:nvCxnSpPr>
      <xdr:spPr>
        <a:xfrm>
          <a:off x="9735596" y="4329134"/>
          <a:ext cx="815173"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576491</xdr:colOff>
      <xdr:row>19</xdr:row>
      <xdr:rowOff>112078</xdr:rowOff>
    </xdr:from>
    <xdr:ext cx="1057275" cy="419101"/>
    <xdr:sp macro="" textlink="">
      <xdr:nvSpPr>
        <xdr:cNvPr id="142" name="TextBox 141">
          <a:extLst>
            <a:ext uri="{FF2B5EF4-FFF2-40B4-BE49-F238E27FC236}">
              <a16:creationId xmlns:a16="http://schemas.microsoft.com/office/drawing/2014/main" id="{00000000-0008-0000-0000-00008E000000}"/>
            </a:ext>
          </a:extLst>
        </xdr:cNvPr>
        <xdr:cNvSpPr txBox="1"/>
      </xdr:nvSpPr>
      <xdr:spPr>
        <a:xfrm>
          <a:off x="13347318" y="414188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S40</a:t>
          </a:r>
        </a:p>
      </xdr:txBody>
    </xdr:sp>
    <xdr:clientData/>
  </xdr:oneCellAnchor>
  <xdr:twoCellAnchor>
    <xdr:from>
      <xdr:col>13</xdr:col>
      <xdr:colOff>168729</xdr:colOff>
      <xdr:row>24</xdr:row>
      <xdr:rowOff>75960</xdr:rowOff>
    </xdr:from>
    <xdr:to>
      <xdr:col>15</xdr:col>
      <xdr:colOff>6473</xdr:colOff>
      <xdr:row>24</xdr:row>
      <xdr:rowOff>81403</xdr:rowOff>
    </xdr:to>
    <xdr:cxnSp macro="">
      <xdr:nvCxnSpPr>
        <xdr:cNvPr id="143" name="Straight Arrow Connector 142">
          <a:extLst>
            <a:ext uri="{FF2B5EF4-FFF2-40B4-BE49-F238E27FC236}">
              <a16:creationId xmlns:a16="http://schemas.microsoft.com/office/drawing/2014/main" id="{00000000-0008-0000-0000-00008F000000}"/>
            </a:ext>
          </a:extLst>
        </xdr:cNvPr>
        <xdr:cNvCxnSpPr>
          <a:endCxn id="147" idx="1"/>
        </xdr:cNvCxnSpPr>
      </xdr:nvCxnSpPr>
      <xdr:spPr>
        <a:xfrm>
          <a:off x="8093529" y="4996303"/>
          <a:ext cx="1056944" cy="5443"/>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6473</xdr:colOff>
      <xdr:row>23</xdr:row>
      <xdr:rowOff>159173</xdr:rowOff>
    </xdr:from>
    <xdr:to>
      <xdr:col>16</xdr:col>
      <xdr:colOff>5442</xdr:colOff>
      <xdr:row>25</xdr:row>
      <xdr:rowOff>3633</xdr:rowOff>
    </xdr:to>
    <xdr:sp macro="" textlink="">
      <xdr:nvSpPr>
        <xdr:cNvPr id="147" name="Rectangle 146">
          <a:extLst>
            <a:ext uri="{FF2B5EF4-FFF2-40B4-BE49-F238E27FC236}">
              <a16:creationId xmlns:a16="http://schemas.microsoft.com/office/drawing/2014/main" id="{00000000-0008-0000-0000-000093000000}"/>
            </a:ext>
          </a:extLst>
        </xdr:cNvPr>
        <xdr:cNvSpPr/>
      </xdr:nvSpPr>
      <xdr:spPr>
        <a:xfrm>
          <a:off x="9150473" y="4867244"/>
          <a:ext cx="608569" cy="258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/4</a:t>
          </a:r>
          <a:endParaRPr lang="en-US" sz="800"/>
        </a:p>
      </xdr:txBody>
    </xdr:sp>
    <xdr:clientData/>
  </xdr:twoCellAnchor>
  <xdr:twoCellAnchor>
    <xdr:from>
      <xdr:col>16</xdr:col>
      <xdr:colOff>5442</xdr:colOff>
      <xdr:row>24</xdr:row>
      <xdr:rowOff>81403</xdr:rowOff>
    </xdr:from>
    <xdr:to>
      <xdr:col>17</xdr:col>
      <xdr:colOff>219808</xdr:colOff>
      <xdr:row>24</xdr:row>
      <xdr:rowOff>81403</xdr:rowOff>
    </xdr:to>
    <xdr:cxnSp macro="">
      <xdr:nvCxnSpPr>
        <xdr:cNvPr id="151" name="Straight Arrow Connector 150">
          <a:extLst>
            <a:ext uri="{FF2B5EF4-FFF2-40B4-BE49-F238E27FC236}">
              <a16:creationId xmlns:a16="http://schemas.microsoft.com/office/drawing/2014/main" id="{00000000-0008-0000-0000-000097000000}"/>
            </a:ext>
          </a:extLst>
        </xdr:cNvPr>
        <xdr:cNvCxnSpPr>
          <a:stCxn id="147" idx="3"/>
        </xdr:cNvCxnSpPr>
      </xdr:nvCxnSpPr>
      <xdr:spPr>
        <a:xfrm>
          <a:off x="9735596" y="5173615"/>
          <a:ext cx="82250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583822</xdr:colOff>
      <xdr:row>23</xdr:row>
      <xdr:rowOff>101194</xdr:rowOff>
    </xdr:from>
    <xdr:ext cx="1057275" cy="419101"/>
    <xdr:sp macro="" textlink="">
      <xdr:nvSpPr>
        <xdr:cNvPr id="155" name="TextBox 154">
          <a:extLst>
            <a:ext uri="{FF2B5EF4-FFF2-40B4-BE49-F238E27FC236}">
              <a16:creationId xmlns:a16="http://schemas.microsoft.com/office/drawing/2014/main" id="{00000000-0008-0000-0000-00009B000000}"/>
            </a:ext>
          </a:extLst>
        </xdr:cNvPr>
        <xdr:cNvSpPr txBox="1"/>
      </xdr:nvSpPr>
      <xdr:spPr>
        <a:xfrm>
          <a:off x="13354649" y="498092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F40</a:t>
          </a:r>
        </a:p>
      </xdr:txBody>
    </xdr:sp>
    <xdr:clientData/>
  </xdr:oneCellAnchor>
  <xdr:twoCellAnchor>
    <xdr:from>
      <xdr:col>13</xdr:col>
      <xdr:colOff>163286</xdr:colOff>
      <xdr:row>26</xdr:row>
      <xdr:rowOff>97732</xdr:rowOff>
    </xdr:from>
    <xdr:to>
      <xdr:col>15</xdr:col>
      <xdr:colOff>6473</xdr:colOff>
      <xdr:row>26</xdr:row>
      <xdr:rowOff>97732</xdr:rowOff>
    </xdr:to>
    <xdr:cxnSp macro="">
      <xdr:nvCxnSpPr>
        <xdr:cNvPr id="157" name="Straight Arrow Connector 156">
          <a:extLst>
            <a:ext uri="{FF2B5EF4-FFF2-40B4-BE49-F238E27FC236}">
              <a16:creationId xmlns:a16="http://schemas.microsoft.com/office/drawing/2014/main" id="{00000000-0008-0000-0000-00009D000000}"/>
            </a:ext>
          </a:extLst>
        </xdr:cNvPr>
        <xdr:cNvCxnSpPr>
          <a:endCxn id="158" idx="1"/>
        </xdr:cNvCxnSpPr>
      </xdr:nvCxnSpPr>
      <xdr:spPr>
        <a:xfrm>
          <a:off x="8088086" y="5431732"/>
          <a:ext cx="1062387"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6473</xdr:colOff>
      <xdr:row>25</xdr:row>
      <xdr:rowOff>164616</xdr:rowOff>
    </xdr:from>
    <xdr:to>
      <xdr:col>16</xdr:col>
      <xdr:colOff>5442</xdr:colOff>
      <xdr:row>27</xdr:row>
      <xdr:rowOff>41733</xdr:rowOff>
    </xdr:to>
    <xdr:sp macro="" textlink="">
      <xdr:nvSpPr>
        <xdr:cNvPr id="158" name="Rectangle 157">
          <a:extLst>
            <a:ext uri="{FF2B5EF4-FFF2-40B4-BE49-F238E27FC236}">
              <a16:creationId xmlns:a16="http://schemas.microsoft.com/office/drawing/2014/main" id="{00000000-0008-0000-0000-00009E000000}"/>
            </a:ext>
          </a:extLst>
        </xdr:cNvPr>
        <xdr:cNvSpPr/>
      </xdr:nvSpPr>
      <xdr:spPr>
        <a:xfrm>
          <a:off x="9150473" y="5297230"/>
          <a:ext cx="608569" cy="26900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/2</a:t>
          </a:r>
          <a:endParaRPr lang="en-US" sz="800"/>
        </a:p>
      </xdr:txBody>
    </xdr:sp>
    <xdr:clientData/>
  </xdr:twoCellAnchor>
  <xdr:twoCellAnchor>
    <xdr:from>
      <xdr:col>16</xdr:col>
      <xdr:colOff>5442</xdr:colOff>
      <xdr:row>26</xdr:row>
      <xdr:rowOff>103174</xdr:rowOff>
    </xdr:from>
    <xdr:to>
      <xdr:col>17</xdr:col>
      <xdr:colOff>219808</xdr:colOff>
      <xdr:row>26</xdr:row>
      <xdr:rowOff>103175</xdr:rowOff>
    </xdr:to>
    <xdr:cxnSp macro="">
      <xdr:nvCxnSpPr>
        <xdr:cNvPr id="162" name="Straight Arrow Connector 161">
          <a:extLst>
            <a:ext uri="{FF2B5EF4-FFF2-40B4-BE49-F238E27FC236}">
              <a16:creationId xmlns:a16="http://schemas.microsoft.com/office/drawing/2014/main" id="{00000000-0008-0000-0000-0000A2000000}"/>
            </a:ext>
          </a:extLst>
        </xdr:cNvPr>
        <xdr:cNvCxnSpPr>
          <a:stCxn id="158" idx="3"/>
        </xdr:cNvCxnSpPr>
      </xdr:nvCxnSpPr>
      <xdr:spPr>
        <a:xfrm flipV="1">
          <a:off x="9735596" y="5620347"/>
          <a:ext cx="82250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583814</xdr:colOff>
      <xdr:row>25</xdr:row>
      <xdr:rowOff>112079</xdr:rowOff>
    </xdr:from>
    <xdr:ext cx="1057275" cy="419101"/>
    <xdr:sp macro="" textlink="">
      <xdr:nvSpPr>
        <xdr:cNvPr id="166" name="TextBox 165">
          <a:extLst>
            <a:ext uri="{FF2B5EF4-FFF2-40B4-BE49-F238E27FC236}">
              <a16:creationId xmlns:a16="http://schemas.microsoft.com/office/drawing/2014/main" id="{00000000-0008-0000-0000-0000A6000000}"/>
            </a:ext>
          </a:extLst>
        </xdr:cNvPr>
        <xdr:cNvSpPr txBox="1"/>
      </xdr:nvSpPr>
      <xdr:spPr>
        <a:xfrm>
          <a:off x="13354641" y="541677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F80</a:t>
          </a:r>
        </a:p>
      </xdr:txBody>
    </xdr:sp>
    <xdr:clientData/>
  </xdr:oneCellAnchor>
  <xdr:twoCellAnchor>
    <xdr:from>
      <xdr:col>13</xdr:col>
      <xdr:colOff>157843</xdr:colOff>
      <xdr:row>28</xdr:row>
      <xdr:rowOff>116152</xdr:rowOff>
    </xdr:from>
    <xdr:to>
      <xdr:col>15</xdr:col>
      <xdr:colOff>17358</xdr:colOff>
      <xdr:row>28</xdr:row>
      <xdr:rowOff>121595</xdr:rowOff>
    </xdr:to>
    <xdr:cxnSp macro="">
      <xdr:nvCxnSpPr>
        <xdr:cNvPr id="169" name="Straight Arrow Connector 168">
          <a:extLst>
            <a:ext uri="{FF2B5EF4-FFF2-40B4-BE49-F238E27FC236}">
              <a16:creationId xmlns:a16="http://schemas.microsoft.com/office/drawing/2014/main" id="{00000000-0008-0000-0000-0000A9000000}"/>
            </a:ext>
          </a:extLst>
        </xdr:cNvPr>
        <xdr:cNvCxnSpPr>
          <a:endCxn id="170" idx="1"/>
        </xdr:cNvCxnSpPr>
      </xdr:nvCxnSpPr>
      <xdr:spPr>
        <a:xfrm flipV="1">
          <a:off x="8063593" y="5919075"/>
          <a:ext cx="1075784" cy="5443"/>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17358</xdr:colOff>
      <xdr:row>27</xdr:row>
      <xdr:rowOff>177593</xdr:rowOff>
    </xdr:from>
    <xdr:to>
      <xdr:col>16</xdr:col>
      <xdr:colOff>16327</xdr:colOff>
      <xdr:row>29</xdr:row>
      <xdr:rowOff>65596</xdr:rowOff>
    </xdr:to>
    <xdr:sp macro="" textlink="">
      <xdr:nvSpPr>
        <xdr:cNvPr id="170" name="Rectangle 169">
          <a:extLst>
            <a:ext uri="{FF2B5EF4-FFF2-40B4-BE49-F238E27FC236}">
              <a16:creationId xmlns:a16="http://schemas.microsoft.com/office/drawing/2014/main" id="{00000000-0008-0000-0000-0000AA000000}"/>
            </a:ext>
          </a:extLst>
        </xdr:cNvPr>
        <xdr:cNvSpPr/>
      </xdr:nvSpPr>
      <xdr:spPr>
        <a:xfrm>
          <a:off x="9139377" y="5768035"/>
          <a:ext cx="607104" cy="3129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/8</a:t>
          </a:r>
          <a:endParaRPr lang="en-US" sz="800"/>
        </a:p>
      </xdr:txBody>
    </xdr:sp>
    <xdr:clientData/>
  </xdr:twoCellAnchor>
  <xdr:twoCellAnchor>
    <xdr:from>
      <xdr:col>16</xdr:col>
      <xdr:colOff>16327</xdr:colOff>
      <xdr:row>28</xdr:row>
      <xdr:rowOff>121594</xdr:rowOff>
    </xdr:from>
    <xdr:to>
      <xdr:col>17</xdr:col>
      <xdr:colOff>219808</xdr:colOff>
      <xdr:row>28</xdr:row>
      <xdr:rowOff>121594</xdr:rowOff>
    </xdr:to>
    <xdr:cxnSp macro="">
      <xdr:nvCxnSpPr>
        <xdr:cNvPr id="172" name="Straight Arrow Connector 171">
          <a:extLst>
            <a:ext uri="{FF2B5EF4-FFF2-40B4-BE49-F238E27FC236}">
              <a16:creationId xmlns:a16="http://schemas.microsoft.com/office/drawing/2014/main" id="{00000000-0008-0000-0000-0000AC000000}"/>
            </a:ext>
          </a:extLst>
        </xdr:cNvPr>
        <xdr:cNvCxnSpPr>
          <a:stCxn id="170" idx="3"/>
        </xdr:cNvCxnSpPr>
      </xdr:nvCxnSpPr>
      <xdr:spPr>
        <a:xfrm>
          <a:off x="9746481" y="6063729"/>
          <a:ext cx="81161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576485</xdr:colOff>
      <xdr:row>27</xdr:row>
      <xdr:rowOff>101188</xdr:rowOff>
    </xdr:from>
    <xdr:ext cx="1057275" cy="419101"/>
    <xdr:sp macro="" textlink="">
      <xdr:nvSpPr>
        <xdr:cNvPr id="177" name="TextBox 176">
          <a:extLst>
            <a:ext uri="{FF2B5EF4-FFF2-40B4-BE49-F238E27FC236}">
              <a16:creationId xmlns:a16="http://schemas.microsoft.com/office/drawing/2014/main" id="{00000000-0008-0000-0000-0000B1000000}"/>
            </a:ext>
          </a:extLst>
        </xdr:cNvPr>
        <xdr:cNvSpPr txBox="1"/>
      </xdr:nvSpPr>
      <xdr:spPr>
        <a:xfrm>
          <a:off x="13347312" y="583084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F20</a:t>
          </a:r>
        </a:p>
      </xdr:txBody>
    </xdr:sp>
    <xdr:clientData/>
  </xdr:oneCellAnchor>
  <xdr:twoCellAnchor>
    <xdr:from>
      <xdr:col>11</xdr:col>
      <xdr:colOff>272143</xdr:colOff>
      <xdr:row>32</xdr:row>
      <xdr:rowOff>92289</xdr:rowOff>
    </xdr:from>
    <xdr:to>
      <xdr:col>14</xdr:col>
      <xdr:colOff>593271</xdr:colOff>
      <xdr:row>32</xdr:row>
      <xdr:rowOff>92289</xdr:rowOff>
    </xdr:to>
    <xdr:cxnSp macro="">
      <xdr:nvCxnSpPr>
        <xdr:cNvPr id="178" name="Straight Arrow Connector 177">
          <a:extLst>
            <a:ext uri="{FF2B5EF4-FFF2-40B4-BE49-F238E27FC236}">
              <a16:creationId xmlns:a16="http://schemas.microsoft.com/office/drawing/2014/main" id="{00000000-0008-0000-0000-0000B2000000}"/>
            </a:ext>
          </a:extLst>
        </xdr:cNvPr>
        <xdr:cNvCxnSpPr/>
      </xdr:nvCxnSpPr>
      <xdr:spPr>
        <a:xfrm>
          <a:off x="6977743" y="6678146"/>
          <a:ext cx="2149928" cy="0"/>
        </a:xfrm>
        <a:prstGeom prst="straightConnector1">
          <a:avLst/>
        </a:prstGeom>
        <a:ln w="19050">
          <a:solidFill>
            <a:schemeClr val="accent2">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277823</xdr:colOff>
      <xdr:row>22</xdr:row>
      <xdr:rowOff>0</xdr:rowOff>
    </xdr:from>
    <xdr:to>
      <xdr:col>11</xdr:col>
      <xdr:colOff>277823</xdr:colOff>
      <xdr:row>32</xdr:row>
      <xdr:rowOff>92529</xdr:rowOff>
    </xdr:to>
    <xdr:cxnSp macro="">
      <xdr:nvCxnSpPr>
        <xdr:cNvPr id="179" name="Straight Arrow Connector 178">
          <a:extLst>
            <a:ext uri="{FF2B5EF4-FFF2-40B4-BE49-F238E27FC236}">
              <a16:creationId xmlns:a16="http://schemas.microsoft.com/office/drawing/2014/main" id="{00000000-0008-0000-0000-0000B3000000}"/>
            </a:ext>
          </a:extLst>
        </xdr:cNvPr>
        <xdr:cNvCxnSpPr/>
      </xdr:nvCxnSpPr>
      <xdr:spPr>
        <a:xfrm flipV="1">
          <a:off x="6983423" y="4495800"/>
          <a:ext cx="0" cy="2182586"/>
        </a:xfrm>
        <a:prstGeom prst="straightConnector1">
          <a:avLst/>
        </a:prstGeom>
        <a:ln w="19050">
          <a:solidFill>
            <a:schemeClr val="accent2">
              <a:lumMod val="40000"/>
              <a:lumOff val="6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438150</xdr:colOff>
      <xdr:row>22</xdr:row>
      <xdr:rowOff>1413</xdr:rowOff>
    </xdr:from>
    <xdr:to>
      <xdr:col>11</xdr:col>
      <xdr:colOff>283028</xdr:colOff>
      <xdr:row>22</xdr:row>
      <xdr:rowOff>1413</xdr:rowOff>
    </xdr:to>
    <xdr:cxnSp macro="">
      <xdr:nvCxnSpPr>
        <xdr:cNvPr id="182" name="Straight Arrow Connector 181">
          <a:extLst>
            <a:ext uri="{FF2B5EF4-FFF2-40B4-BE49-F238E27FC236}">
              <a16:creationId xmlns:a16="http://schemas.microsoft.com/office/drawing/2014/main" id="{00000000-0008-0000-0000-0000B6000000}"/>
            </a:ext>
          </a:extLst>
        </xdr:cNvPr>
        <xdr:cNvCxnSpPr/>
      </xdr:nvCxnSpPr>
      <xdr:spPr>
        <a:xfrm>
          <a:off x="6534150" y="4687713"/>
          <a:ext cx="454478" cy="0"/>
        </a:xfrm>
        <a:prstGeom prst="straightConnector1">
          <a:avLst/>
        </a:prstGeom>
        <a:ln w="19050">
          <a:solidFill>
            <a:schemeClr val="accent2">
              <a:lumMod val="40000"/>
              <a:lumOff val="6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15</xdr:col>
      <xdr:colOff>562041</xdr:colOff>
      <xdr:row>31</xdr:row>
      <xdr:rowOff>106633</xdr:rowOff>
    </xdr:from>
    <xdr:ext cx="1057275" cy="419101"/>
    <xdr:sp macro="" textlink="">
      <xdr:nvSpPr>
        <xdr:cNvPr id="185" name="TextBox 184">
          <a:hlinkClick xmlns:r="http://schemas.openxmlformats.org/officeDocument/2006/relationships" r:id="rId2"/>
          <a:extLst>
            <a:ext uri="{FF2B5EF4-FFF2-40B4-BE49-F238E27FC236}">
              <a16:creationId xmlns:a16="http://schemas.microsoft.com/office/drawing/2014/main" id="{00000000-0008-0000-0000-0000B9000000}"/>
            </a:ext>
          </a:extLst>
        </xdr:cNvPr>
        <xdr:cNvSpPr txBox="1"/>
      </xdr:nvSpPr>
      <xdr:spPr>
        <a:xfrm>
          <a:off x="9706041" y="650199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FMPLL PHI1</a:t>
          </a:r>
        </a:p>
      </xdr:txBody>
    </xdr:sp>
    <xdr:clientData/>
  </xdr:oneCellAnchor>
  <xdr:twoCellAnchor>
    <xdr:from>
      <xdr:col>10</xdr:col>
      <xdr:colOff>310661</xdr:colOff>
      <xdr:row>17</xdr:row>
      <xdr:rowOff>7327</xdr:rowOff>
    </xdr:from>
    <xdr:to>
      <xdr:col>10</xdr:col>
      <xdr:colOff>310661</xdr:colOff>
      <xdr:row>18</xdr:row>
      <xdr:rowOff>106316</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flipV="1">
          <a:off x="6392007" y="3421673"/>
          <a:ext cx="0" cy="31147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386195</xdr:colOff>
      <xdr:row>14</xdr:row>
      <xdr:rowOff>112913</xdr:rowOff>
    </xdr:from>
    <xdr:ext cx="1057275" cy="419101"/>
    <xdr:sp macro="" textlink="">
      <xdr:nvSpPr>
        <xdr:cNvPr id="66" name="TextBox 65">
          <a:hlinkClick xmlns:r="http://schemas.openxmlformats.org/officeDocument/2006/relationships" r:id="rId3"/>
          <a:extLst>
            <a:ext uri="{FF2B5EF4-FFF2-40B4-BE49-F238E27FC236}">
              <a16:creationId xmlns:a16="http://schemas.microsoft.com/office/drawing/2014/main" id="{00000000-0008-0000-0000-000042000000}"/>
            </a:ext>
          </a:extLst>
        </xdr:cNvPr>
        <xdr:cNvSpPr txBox="1"/>
      </xdr:nvSpPr>
      <xdr:spPr>
        <a:xfrm>
          <a:off x="5859407" y="291912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twoCellAnchor>
    <xdr:from>
      <xdr:col>1</xdr:col>
      <xdr:colOff>420565</xdr:colOff>
      <xdr:row>43</xdr:row>
      <xdr:rowOff>121612</xdr:rowOff>
    </xdr:from>
    <xdr:to>
      <xdr:col>3</xdr:col>
      <xdr:colOff>207205</xdr:colOff>
      <xdr:row>47</xdr:row>
      <xdr:rowOff>201036</xdr:rowOff>
    </xdr:to>
    <xdr:sp macro="" textlink="">
      <xdr:nvSpPr>
        <xdr:cNvPr id="61" name="Rectangle 60">
          <a:extLst>
            <a:ext uri="{FF2B5EF4-FFF2-40B4-BE49-F238E27FC236}">
              <a16:creationId xmlns:a16="http://schemas.microsoft.com/office/drawing/2014/main" id="{00000000-0008-0000-0000-00003D000000}"/>
            </a:ext>
          </a:extLst>
        </xdr:cNvPr>
        <xdr:cNvSpPr/>
      </xdr:nvSpPr>
      <xdr:spPr>
        <a:xfrm>
          <a:off x="1028700" y="9170362"/>
          <a:ext cx="1002909" cy="9000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128 kHz Slow RC</a:t>
          </a:r>
        </a:p>
        <a:p>
          <a:pPr algn="ctr"/>
          <a:r>
            <a:rPr lang="en-US" sz="1000"/>
            <a:t>Oscillator</a:t>
          </a:r>
        </a:p>
        <a:p>
          <a:pPr algn="ctr"/>
          <a:r>
            <a:rPr lang="en-US" sz="1000"/>
            <a:t>(SIRC)</a:t>
          </a:r>
        </a:p>
      </xdr:txBody>
    </xdr:sp>
    <xdr:clientData/>
  </xdr:twoCellAnchor>
  <xdr:twoCellAnchor>
    <xdr:from>
      <xdr:col>6</xdr:col>
      <xdr:colOff>163244</xdr:colOff>
      <xdr:row>45</xdr:row>
      <xdr:rowOff>102708</xdr:rowOff>
    </xdr:from>
    <xdr:to>
      <xdr:col>10</xdr:col>
      <xdr:colOff>556847</xdr:colOff>
      <xdr:row>45</xdr:row>
      <xdr:rowOff>102708</xdr:rowOff>
    </xdr:to>
    <xdr:cxnSp macro="">
      <xdr:nvCxnSpPr>
        <xdr:cNvPr id="67" name="Straight Arrow Connector 66">
          <a:extLst>
            <a:ext uri="{FF2B5EF4-FFF2-40B4-BE49-F238E27FC236}">
              <a16:creationId xmlns:a16="http://schemas.microsoft.com/office/drawing/2014/main" id="{00000000-0008-0000-0000-000043000000}"/>
            </a:ext>
          </a:extLst>
        </xdr:cNvPr>
        <xdr:cNvCxnSpPr/>
      </xdr:nvCxnSpPr>
      <xdr:spPr>
        <a:xfrm>
          <a:off x="3812052" y="9539785"/>
          <a:ext cx="2826141"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569370</xdr:colOff>
      <xdr:row>44</xdr:row>
      <xdr:rowOff>76272</xdr:rowOff>
    </xdr:from>
    <xdr:ext cx="1057275" cy="419101"/>
    <xdr:sp macro="" textlink="">
      <xdr:nvSpPr>
        <xdr:cNvPr id="71" name="TextBox 70">
          <a:extLst>
            <a:ext uri="{FF2B5EF4-FFF2-40B4-BE49-F238E27FC236}">
              <a16:creationId xmlns:a16="http://schemas.microsoft.com/office/drawing/2014/main" id="{00000000-0008-0000-0000-000047000000}"/>
            </a:ext>
          </a:extLst>
        </xdr:cNvPr>
        <xdr:cNvSpPr txBox="1"/>
      </xdr:nvSpPr>
      <xdr:spPr>
        <a:xfrm>
          <a:off x="7258851" y="933017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SIRC</a:t>
          </a:r>
        </a:p>
      </xdr:txBody>
    </xdr:sp>
    <xdr:clientData/>
  </xdr:oneCellAnchor>
  <xdr:twoCellAnchor>
    <xdr:from>
      <xdr:col>8</xdr:col>
      <xdr:colOff>600807</xdr:colOff>
      <xdr:row>46</xdr:row>
      <xdr:rowOff>143664</xdr:rowOff>
    </xdr:from>
    <xdr:to>
      <xdr:col>9</xdr:col>
      <xdr:colOff>599620</xdr:colOff>
      <xdr:row>47</xdr:row>
      <xdr:rowOff>204272</xdr:rowOff>
    </xdr:to>
    <xdr:sp macro="" textlink="">
      <xdr:nvSpPr>
        <xdr:cNvPr id="73" name="Rectangle 72">
          <a:extLst>
            <a:ext uri="{FF2B5EF4-FFF2-40B4-BE49-F238E27FC236}">
              <a16:creationId xmlns:a16="http://schemas.microsoft.com/office/drawing/2014/main" id="{00000000-0008-0000-0000-000049000000}"/>
            </a:ext>
          </a:extLst>
        </xdr:cNvPr>
        <xdr:cNvSpPr/>
      </xdr:nvSpPr>
      <xdr:spPr>
        <a:xfrm>
          <a:off x="5504111" y="9759773"/>
          <a:ext cx="611726" cy="2676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/1,2,3,32</a:t>
          </a:r>
          <a:endParaRPr lang="en-US" sz="800"/>
        </a:p>
      </xdr:txBody>
    </xdr:sp>
    <xdr:clientData/>
  </xdr:twoCellAnchor>
  <xdr:twoCellAnchor>
    <xdr:from>
      <xdr:col>10</xdr:col>
      <xdr:colOff>38686</xdr:colOff>
      <xdr:row>47</xdr:row>
      <xdr:rowOff>117362</xdr:rowOff>
    </xdr:from>
    <xdr:to>
      <xdr:col>10</xdr:col>
      <xdr:colOff>578826</xdr:colOff>
      <xdr:row>47</xdr:row>
      <xdr:rowOff>117362</xdr:rowOff>
    </xdr:to>
    <xdr:cxnSp macro="">
      <xdr:nvCxnSpPr>
        <xdr:cNvPr id="74" name="Straight Arrow Connector 73">
          <a:extLst>
            <a:ext uri="{FF2B5EF4-FFF2-40B4-BE49-F238E27FC236}">
              <a16:creationId xmlns:a16="http://schemas.microsoft.com/office/drawing/2014/main" id="{00000000-0008-0000-0000-00004A000000}"/>
            </a:ext>
          </a:extLst>
        </xdr:cNvPr>
        <xdr:cNvCxnSpPr/>
      </xdr:nvCxnSpPr>
      <xdr:spPr>
        <a:xfrm>
          <a:off x="6120032" y="9935439"/>
          <a:ext cx="540140" cy="0"/>
        </a:xfrm>
        <a:prstGeom prst="straightConnector1">
          <a:avLst/>
        </a:prstGeom>
        <a:ln w="38100">
          <a:solidFill>
            <a:schemeClr val="accent3">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589884</xdr:colOff>
      <xdr:row>46</xdr:row>
      <xdr:rowOff>67480</xdr:rowOff>
    </xdr:from>
    <xdr:ext cx="1057275" cy="419101"/>
    <xdr:sp macro="" textlink="">
      <xdr:nvSpPr>
        <xdr:cNvPr id="76" name="TextBox 75">
          <a:extLst>
            <a:ext uri="{FF2B5EF4-FFF2-40B4-BE49-F238E27FC236}">
              <a16:creationId xmlns:a16="http://schemas.microsoft.com/office/drawing/2014/main" id="{00000000-0008-0000-0000-00004C000000}"/>
            </a:ext>
          </a:extLst>
        </xdr:cNvPr>
        <xdr:cNvSpPr txBox="1"/>
      </xdr:nvSpPr>
      <xdr:spPr>
        <a:xfrm>
          <a:off x="7279365" y="969505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SIRC_DIV_CLK</a:t>
          </a:r>
        </a:p>
      </xdr:txBody>
    </xdr:sp>
    <xdr:clientData/>
  </xdr:oneCellAnchor>
  <xdr:twoCellAnchor>
    <xdr:from>
      <xdr:col>7</xdr:col>
      <xdr:colOff>271095</xdr:colOff>
      <xdr:row>47</xdr:row>
      <xdr:rowOff>132015</xdr:rowOff>
    </xdr:from>
    <xdr:to>
      <xdr:col>8</xdr:col>
      <xdr:colOff>556844</xdr:colOff>
      <xdr:row>47</xdr:row>
      <xdr:rowOff>132015</xdr:rowOff>
    </xdr:to>
    <xdr:cxnSp macro="">
      <xdr:nvCxnSpPr>
        <xdr:cNvPr id="77" name="Straight Arrow Connector 76">
          <a:extLst>
            <a:ext uri="{FF2B5EF4-FFF2-40B4-BE49-F238E27FC236}">
              <a16:creationId xmlns:a16="http://schemas.microsoft.com/office/drawing/2014/main" id="{00000000-0008-0000-0000-00004D000000}"/>
            </a:ext>
          </a:extLst>
        </xdr:cNvPr>
        <xdr:cNvCxnSpPr/>
      </xdr:nvCxnSpPr>
      <xdr:spPr>
        <a:xfrm>
          <a:off x="4528037" y="10001380"/>
          <a:ext cx="893884"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284283</xdr:colOff>
      <xdr:row>45</xdr:row>
      <xdr:rowOff>102570</xdr:rowOff>
    </xdr:from>
    <xdr:to>
      <xdr:col>7</xdr:col>
      <xdr:colOff>284283</xdr:colOff>
      <xdr:row>47</xdr:row>
      <xdr:rowOff>137876</xdr:rowOff>
    </xdr:to>
    <xdr:cxnSp macro="">
      <xdr:nvCxnSpPr>
        <xdr:cNvPr id="78" name="Straight Arrow Connector 77">
          <a:extLst>
            <a:ext uri="{FF2B5EF4-FFF2-40B4-BE49-F238E27FC236}">
              <a16:creationId xmlns:a16="http://schemas.microsoft.com/office/drawing/2014/main" id="{00000000-0008-0000-0000-00004E000000}"/>
            </a:ext>
          </a:extLst>
        </xdr:cNvPr>
        <xdr:cNvCxnSpPr/>
      </xdr:nvCxnSpPr>
      <xdr:spPr>
        <a:xfrm>
          <a:off x="4541225" y="9546974"/>
          <a:ext cx="0" cy="460267"/>
        </a:xfrm>
        <a:prstGeom prst="straightConnector1">
          <a:avLst/>
        </a:prstGeom>
        <a:ln w="38100">
          <a:solidFill>
            <a:schemeClr val="accent2"/>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0</xdr:colOff>
      <xdr:row>5</xdr:row>
      <xdr:rowOff>161192</xdr:rowOff>
    </xdr:from>
    <xdr:to>
      <xdr:col>3</xdr:col>
      <xdr:colOff>606948</xdr:colOff>
      <xdr:row>7</xdr:row>
      <xdr:rowOff>14736</xdr:rowOff>
    </xdr:to>
    <xdr:sp macro="" textlink="">
      <xdr:nvSpPr>
        <xdr:cNvPr id="81" name="Rectangle 80">
          <a:extLst>
            <a:ext uri="{FF2B5EF4-FFF2-40B4-BE49-F238E27FC236}">
              <a16:creationId xmlns:a16="http://schemas.microsoft.com/office/drawing/2014/main" id="{00000000-0008-0000-0000-000051000000}"/>
            </a:ext>
          </a:extLst>
        </xdr:cNvPr>
        <xdr:cNvSpPr/>
      </xdr:nvSpPr>
      <xdr:spPr>
        <a:xfrm>
          <a:off x="1824404" y="1121019"/>
          <a:ext cx="606948" cy="2418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/1,2,3,32</a:t>
          </a:r>
          <a:endParaRPr lang="en-US" sz="800"/>
        </a:p>
      </xdr:txBody>
    </xdr:sp>
    <xdr:clientData/>
  </xdr:twoCellAnchor>
  <xdr:oneCellAnchor>
    <xdr:from>
      <xdr:col>8</xdr:col>
      <xdr:colOff>536955</xdr:colOff>
      <xdr:row>49</xdr:row>
      <xdr:rowOff>11584</xdr:rowOff>
    </xdr:from>
    <xdr:ext cx="1148236" cy="677139"/>
    <xdr:sp macro="" textlink="">
      <xdr:nvSpPr>
        <xdr:cNvPr id="82" name="TextBox 81">
          <a:extLst>
            <a:ext uri="{FF2B5EF4-FFF2-40B4-BE49-F238E27FC236}">
              <a16:creationId xmlns:a16="http://schemas.microsoft.com/office/drawing/2014/main" id="{00000000-0008-0000-0000-000052000000}"/>
            </a:ext>
          </a:extLst>
        </xdr:cNvPr>
        <xdr:cNvSpPr txBox="1"/>
      </xdr:nvSpPr>
      <xdr:spPr>
        <a:xfrm>
          <a:off x="5402032" y="10239969"/>
          <a:ext cx="1148236" cy="677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 by 1</a:t>
          </a:r>
        </a:p>
        <a:p>
          <a:r>
            <a:rPr lang="en-US" sz="800"/>
            <a:t>1 - Div</a:t>
          </a:r>
          <a:r>
            <a:rPr lang="en-US" sz="800" baseline="0"/>
            <a:t> by 2</a:t>
          </a:r>
          <a:endParaRPr lang="en-US" sz="800"/>
        </a:p>
        <a:p>
          <a:r>
            <a:rPr lang="en-US" sz="800" baseline="0"/>
            <a:t>2 - Div by 3</a:t>
          </a:r>
        </a:p>
        <a:p>
          <a:r>
            <a:rPr lang="en-US" sz="800" baseline="0"/>
            <a:t>31 - Div by 32</a:t>
          </a:r>
          <a:endParaRPr lang="en-US" sz="800"/>
        </a:p>
      </xdr:txBody>
    </xdr:sp>
    <xdr:clientData/>
  </xdr:oneCellAnchor>
  <xdr:oneCellAnchor>
    <xdr:from>
      <xdr:col>2</xdr:col>
      <xdr:colOff>549520</xdr:colOff>
      <xdr:row>7</xdr:row>
      <xdr:rowOff>197826</xdr:rowOff>
    </xdr:from>
    <xdr:ext cx="1148236" cy="677139"/>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1765789" y="1545980"/>
          <a:ext cx="1148236" cy="6771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 by 1</a:t>
          </a:r>
        </a:p>
        <a:p>
          <a:r>
            <a:rPr lang="en-US" sz="800"/>
            <a:t>1 - Div</a:t>
          </a:r>
          <a:r>
            <a:rPr lang="en-US" sz="800" baseline="0"/>
            <a:t> by 2</a:t>
          </a:r>
          <a:endParaRPr lang="en-US" sz="800"/>
        </a:p>
        <a:p>
          <a:r>
            <a:rPr lang="en-US" sz="800"/>
            <a:t>2</a:t>
          </a:r>
          <a:r>
            <a:rPr lang="en-US" sz="800" baseline="0"/>
            <a:t> - Div by 3</a:t>
          </a:r>
        </a:p>
        <a:p>
          <a:r>
            <a:rPr lang="en-US" sz="800" baseline="0"/>
            <a:t>31 - Div by 32</a:t>
          </a:r>
          <a:endParaRPr lang="en-US" sz="800"/>
        </a:p>
      </xdr:txBody>
    </xdr:sp>
    <xdr:clientData/>
  </xdr:oneCellAnchor>
  <xdr:twoCellAnchor>
    <xdr:from>
      <xdr:col>4</xdr:col>
      <xdr:colOff>13189</xdr:colOff>
      <xdr:row>6</xdr:row>
      <xdr:rowOff>108575</xdr:rowOff>
    </xdr:from>
    <xdr:to>
      <xdr:col>5</xdr:col>
      <xdr:colOff>586154</xdr:colOff>
      <xdr:row>6</xdr:row>
      <xdr:rowOff>108575</xdr:rowOff>
    </xdr:to>
    <xdr:cxnSp macro="">
      <xdr:nvCxnSpPr>
        <xdr:cNvPr id="94" name="Straight Arrow Connector 93">
          <a:extLst>
            <a:ext uri="{FF2B5EF4-FFF2-40B4-BE49-F238E27FC236}">
              <a16:creationId xmlns:a16="http://schemas.microsoft.com/office/drawing/2014/main" id="{00000000-0008-0000-0000-00005E000000}"/>
            </a:ext>
          </a:extLst>
        </xdr:cNvPr>
        <xdr:cNvCxnSpPr/>
      </xdr:nvCxnSpPr>
      <xdr:spPr>
        <a:xfrm>
          <a:off x="2445727" y="1258902"/>
          <a:ext cx="1181100"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582556</xdr:colOff>
      <xdr:row>5</xdr:row>
      <xdr:rowOff>89467</xdr:rowOff>
    </xdr:from>
    <xdr:ext cx="1057275" cy="419101"/>
    <xdr:sp macro="" textlink="">
      <xdr:nvSpPr>
        <xdr:cNvPr id="97" name="TextBox 96">
          <a:extLst>
            <a:ext uri="{FF2B5EF4-FFF2-40B4-BE49-F238E27FC236}">
              <a16:creationId xmlns:a16="http://schemas.microsoft.com/office/drawing/2014/main" id="{00000000-0008-0000-0000-000061000000}"/>
            </a:ext>
          </a:extLst>
        </xdr:cNvPr>
        <xdr:cNvSpPr txBox="1"/>
      </xdr:nvSpPr>
      <xdr:spPr>
        <a:xfrm>
          <a:off x="4231364" y="104929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FIRC_DIV_CLK</a:t>
          </a:r>
        </a:p>
      </xdr:txBody>
    </xdr:sp>
    <xdr:clientData/>
  </xdr:oneCellAnchor>
  <xdr:twoCellAnchor>
    <xdr:from>
      <xdr:col>4</xdr:col>
      <xdr:colOff>205755</xdr:colOff>
      <xdr:row>33</xdr:row>
      <xdr:rowOff>75597</xdr:rowOff>
    </xdr:from>
    <xdr:to>
      <xdr:col>5</xdr:col>
      <xdr:colOff>586160</xdr:colOff>
      <xdr:row>37</xdr:row>
      <xdr:rowOff>87923</xdr:rowOff>
    </xdr:to>
    <xdr:cxnSp macro="">
      <xdr:nvCxnSpPr>
        <xdr:cNvPr id="100" name="Straight Arrow Connector 219">
          <a:extLst>
            <a:ext uri="{FF2B5EF4-FFF2-40B4-BE49-F238E27FC236}">
              <a16:creationId xmlns:a16="http://schemas.microsoft.com/office/drawing/2014/main" id="{00000000-0008-0000-0000-000064000000}"/>
            </a:ext>
          </a:extLst>
        </xdr:cNvPr>
        <xdr:cNvCxnSpPr>
          <a:stCxn id="167" idx="3"/>
        </xdr:cNvCxnSpPr>
      </xdr:nvCxnSpPr>
      <xdr:spPr>
        <a:xfrm>
          <a:off x="2638293" y="7080135"/>
          <a:ext cx="988540" cy="788980"/>
        </a:xfrm>
        <a:prstGeom prst="bentConnector3">
          <a:avLst>
            <a:gd name="adj1" fmla="val 82612"/>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599348</xdr:colOff>
      <xdr:row>37</xdr:row>
      <xdr:rowOff>79267</xdr:rowOff>
    </xdr:from>
    <xdr:to>
      <xdr:col>8</xdr:col>
      <xdr:colOff>564179</xdr:colOff>
      <xdr:row>37</xdr:row>
      <xdr:rowOff>79267</xdr:rowOff>
    </xdr:to>
    <xdr:cxnSp macro="">
      <xdr:nvCxnSpPr>
        <xdr:cNvPr id="107" name="Straight Arrow Connector 106">
          <a:extLst>
            <a:ext uri="{FF2B5EF4-FFF2-40B4-BE49-F238E27FC236}">
              <a16:creationId xmlns:a16="http://schemas.microsoft.com/office/drawing/2014/main" id="{00000000-0008-0000-0000-00006B000000}"/>
            </a:ext>
          </a:extLst>
        </xdr:cNvPr>
        <xdr:cNvCxnSpPr/>
      </xdr:nvCxnSpPr>
      <xdr:spPr>
        <a:xfrm>
          <a:off x="4248156" y="7867786"/>
          <a:ext cx="1181100"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559116</xdr:colOff>
      <xdr:row>36</xdr:row>
      <xdr:rowOff>95329</xdr:rowOff>
    </xdr:from>
    <xdr:ext cx="1057275" cy="419101"/>
    <xdr:sp macro="" textlink="">
      <xdr:nvSpPr>
        <xdr:cNvPr id="108" name="TextBox 107">
          <a:extLst>
            <a:ext uri="{FF2B5EF4-FFF2-40B4-BE49-F238E27FC236}">
              <a16:creationId xmlns:a16="http://schemas.microsoft.com/office/drawing/2014/main" id="{00000000-0008-0000-0000-00006C000000}"/>
            </a:ext>
          </a:extLst>
        </xdr:cNvPr>
        <xdr:cNvSpPr txBox="1"/>
      </xdr:nvSpPr>
      <xdr:spPr>
        <a:xfrm>
          <a:off x="6032328" y="769334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FXOSC_DIV_CLK</a:t>
          </a:r>
        </a:p>
      </xdr:txBody>
    </xdr:sp>
    <xdr:clientData/>
  </xdr:oneCellAnchor>
  <xdr:twoCellAnchor>
    <xdr:from>
      <xdr:col>1</xdr:col>
      <xdr:colOff>427894</xdr:colOff>
      <xdr:row>54</xdr:row>
      <xdr:rowOff>62995</xdr:rowOff>
    </xdr:from>
    <xdr:to>
      <xdr:col>3</xdr:col>
      <xdr:colOff>214534</xdr:colOff>
      <xdr:row>58</xdr:row>
      <xdr:rowOff>201033</xdr:rowOff>
    </xdr:to>
    <xdr:sp macro="" textlink="">
      <xdr:nvSpPr>
        <xdr:cNvPr id="109" name="Rectangle 108">
          <a:extLst>
            <a:ext uri="{FF2B5EF4-FFF2-40B4-BE49-F238E27FC236}">
              <a16:creationId xmlns:a16="http://schemas.microsoft.com/office/drawing/2014/main" id="{00000000-0008-0000-0000-00006D000000}"/>
            </a:ext>
          </a:extLst>
        </xdr:cNvPr>
        <xdr:cNvSpPr/>
      </xdr:nvSpPr>
      <xdr:spPr>
        <a:xfrm>
          <a:off x="1036029" y="11251207"/>
          <a:ext cx="1002909" cy="9513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32 kHz Slow Ext.</a:t>
          </a:r>
        </a:p>
        <a:p>
          <a:pPr algn="ctr"/>
          <a:r>
            <a:rPr lang="en-US" sz="1000"/>
            <a:t>Oscillator</a:t>
          </a:r>
        </a:p>
        <a:p>
          <a:pPr algn="ctr"/>
          <a:r>
            <a:rPr lang="en-US" sz="1000"/>
            <a:t>(SXOSC)</a:t>
          </a:r>
        </a:p>
      </xdr:txBody>
    </xdr:sp>
    <xdr:clientData/>
  </xdr:twoCellAnchor>
  <xdr:twoCellAnchor>
    <xdr:from>
      <xdr:col>6</xdr:col>
      <xdr:colOff>190515</xdr:colOff>
      <xdr:row>56</xdr:row>
      <xdr:rowOff>102708</xdr:rowOff>
    </xdr:from>
    <xdr:to>
      <xdr:col>10</xdr:col>
      <xdr:colOff>571504</xdr:colOff>
      <xdr:row>56</xdr:row>
      <xdr:rowOff>102708</xdr:rowOff>
    </xdr:to>
    <xdr:cxnSp macro="">
      <xdr:nvCxnSpPr>
        <xdr:cNvPr id="110" name="Straight Arrow Connector 109">
          <a:extLst>
            <a:ext uri="{FF2B5EF4-FFF2-40B4-BE49-F238E27FC236}">
              <a16:creationId xmlns:a16="http://schemas.microsoft.com/office/drawing/2014/main" id="{00000000-0008-0000-0000-00006E000000}"/>
            </a:ext>
          </a:extLst>
        </xdr:cNvPr>
        <xdr:cNvCxnSpPr/>
      </xdr:nvCxnSpPr>
      <xdr:spPr>
        <a:xfrm>
          <a:off x="3839323" y="11679246"/>
          <a:ext cx="2813527"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27192</xdr:colOff>
      <xdr:row>55</xdr:row>
      <xdr:rowOff>83598</xdr:rowOff>
    </xdr:from>
    <xdr:ext cx="1057275" cy="419101"/>
    <xdr:sp macro="" textlink="">
      <xdr:nvSpPr>
        <xdr:cNvPr id="111" name="TextBox 110">
          <a:extLst>
            <a:ext uri="{FF2B5EF4-FFF2-40B4-BE49-F238E27FC236}">
              <a16:creationId xmlns:a16="http://schemas.microsoft.com/office/drawing/2014/main" id="{00000000-0008-0000-0000-00006F000000}"/>
            </a:ext>
          </a:extLst>
        </xdr:cNvPr>
        <xdr:cNvSpPr txBox="1"/>
      </xdr:nvSpPr>
      <xdr:spPr>
        <a:xfrm>
          <a:off x="7324807" y="1146231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SXOSC</a:t>
          </a:r>
        </a:p>
      </xdr:txBody>
    </xdr:sp>
    <xdr:clientData/>
  </xdr:oneCellAnchor>
  <xdr:oneCellAnchor>
    <xdr:from>
      <xdr:col>11</xdr:col>
      <xdr:colOff>604558</xdr:colOff>
      <xdr:row>57</xdr:row>
      <xdr:rowOff>111441</xdr:rowOff>
    </xdr:from>
    <xdr:ext cx="1057275" cy="419101"/>
    <xdr:sp macro="" textlink="">
      <xdr:nvSpPr>
        <xdr:cNvPr id="115" name="TextBox 114">
          <a:extLst>
            <a:ext uri="{FF2B5EF4-FFF2-40B4-BE49-F238E27FC236}">
              <a16:creationId xmlns:a16="http://schemas.microsoft.com/office/drawing/2014/main" id="{00000000-0008-0000-0000-000073000000}"/>
            </a:ext>
          </a:extLst>
        </xdr:cNvPr>
        <xdr:cNvSpPr txBox="1"/>
      </xdr:nvSpPr>
      <xdr:spPr>
        <a:xfrm>
          <a:off x="7294039" y="1190046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SXOSC_DIV_CLK</a:t>
          </a:r>
        </a:p>
      </xdr:txBody>
    </xdr:sp>
    <xdr:clientData/>
  </xdr:oneCellAnchor>
  <xdr:twoCellAnchor>
    <xdr:from>
      <xdr:col>7</xdr:col>
      <xdr:colOff>87922</xdr:colOff>
      <xdr:row>58</xdr:row>
      <xdr:rowOff>108123</xdr:rowOff>
    </xdr:from>
    <xdr:to>
      <xdr:col>7</xdr:col>
      <xdr:colOff>586152</xdr:colOff>
      <xdr:row>58</xdr:row>
      <xdr:rowOff>108123</xdr:rowOff>
    </xdr:to>
    <xdr:cxnSp macro="">
      <xdr:nvCxnSpPr>
        <xdr:cNvPr id="116" name="Straight Arrow Connector 115">
          <a:extLst>
            <a:ext uri="{FF2B5EF4-FFF2-40B4-BE49-F238E27FC236}">
              <a16:creationId xmlns:a16="http://schemas.microsoft.com/office/drawing/2014/main" id="{00000000-0008-0000-0000-000074000000}"/>
            </a:ext>
          </a:extLst>
        </xdr:cNvPr>
        <xdr:cNvCxnSpPr/>
      </xdr:nvCxnSpPr>
      <xdr:spPr>
        <a:xfrm>
          <a:off x="4378313" y="12275275"/>
          <a:ext cx="49823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57149</xdr:colOff>
      <xdr:row>56</xdr:row>
      <xdr:rowOff>95244</xdr:rowOff>
    </xdr:from>
    <xdr:to>
      <xdr:col>7</xdr:col>
      <xdr:colOff>57149</xdr:colOff>
      <xdr:row>58</xdr:row>
      <xdr:rowOff>131878</xdr:rowOff>
    </xdr:to>
    <xdr:cxnSp macro="">
      <xdr:nvCxnSpPr>
        <xdr:cNvPr id="117" name="Straight Arrow Connector 116">
          <a:extLst>
            <a:ext uri="{FF2B5EF4-FFF2-40B4-BE49-F238E27FC236}">
              <a16:creationId xmlns:a16="http://schemas.microsoft.com/office/drawing/2014/main" id="{00000000-0008-0000-0000-000075000000}"/>
            </a:ext>
          </a:extLst>
        </xdr:cNvPr>
        <xdr:cNvCxnSpPr/>
      </xdr:nvCxnSpPr>
      <xdr:spPr>
        <a:xfrm flipV="1">
          <a:off x="4314091" y="11671782"/>
          <a:ext cx="0" cy="461596"/>
        </a:xfrm>
        <a:prstGeom prst="straightConnector1">
          <a:avLst/>
        </a:prstGeom>
        <a:ln w="38100">
          <a:solidFill>
            <a:srgbClr val="92D05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605205</xdr:colOff>
      <xdr:row>58</xdr:row>
      <xdr:rowOff>87669</xdr:rowOff>
    </xdr:from>
    <xdr:to>
      <xdr:col>10</xdr:col>
      <xdr:colOff>570036</xdr:colOff>
      <xdr:row>58</xdr:row>
      <xdr:rowOff>87669</xdr:rowOff>
    </xdr:to>
    <xdr:cxnSp macro="">
      <xdr:nvCxnSpPr>
        <xdr:cNvPr id="120" name="Straight Arrow Connector 119">
          <a:extLst>
            <a:ext uri="{FF2B5EF4-FFF2-40B4-BE49-F238E27FC236}">
              <a16:creationId xmlns:a16="http://schemas.microsoft.com/office/drawing/2014/main" id="{00000000-0008-0000-0000-000078000000}"/>
            </a:ext>
          </a:extLst>
        </xdr:cNvPr>
        <xdr:cNvCxnSpPr/>
      </xdr:nvCxnSpPr>
      <xdr:spPr>
        <a:xfrm>
          <a:off x="5508509" y="12254821"/>
          <a:ext cx="1190657" cy="0"/>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419100</xdr:colOff>
      <xdr:row>37</xdr:row>
      <xdr:rowOff>178035</xdr:rowOff>
    </xdr:from>
    <xdr:to>
      <xdr:col>19</xdr:col>
      <xdr:colOff>205740</xdr:colOff>
      <xdr:row>41</xdr:row>
      <xdr:rowOff>194447</xdr:rowOff>
    </xdr:to>
    <xdr:sp macro="" textlink="">
      <xdr:nvSpPr>
        <xdr:cNvPr id="88" name="Rectangle 87">
          <a:extLst>
            <a:ext uri="{FF2B5EF4-FFF2-40B4-BE49-F238E27FC236}">
              <a16:creationId xmlns:a16="http://schemas.microsoft.com/office/drawing/2014/main" id="{00000000-0008-0000-0000-000058000000}"/>
            </a:ext>
          </a:extLst>
        </xdr:cNvPr>
        <xdr:cNvSpPr/>
      </xdr:nvSpPr>
      <xdr:spPr>
        <a:xfrm>
          <a:off x="10782300" y="7750410"/>
          <a:ext cx="1005840" cy="8450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Low Power Unit Clock Selector</a:t>
          </a:r>
        </a:p>
        <a:p>
          <a:pPr algn="ctr"/>
          <a:r>
            <a:rPr lang="en-US" sz="800"/>
            <a:t>LPU_RUN_CF[SYS_CLK_SEL]</a:t>
          </a:r>
        </a:p>
      </xdr:txBody>
    </xdr:sp>
    <xdr:clientData/>
  </xdr:twoCellAnchor>
  <xdr:oneCellAnchor>
    <xdr:from>
      <xdr:col>11</xdr:col>
      <xdr:colOff>266766</xdr:colOff>
      <xdr:row>40</xdr:row>
      <xdr:rowOff>114379</xdr:rowOff>
    </xdr:from>
    <xdr:ext cx="1057275" cy="419101"/>
    <xdr:sp macro="" textlink="">
      <xdr:nvSpPr>
        <xdr:cNvPr id="89" name="TextBox 88">
          <a:hlinkClick xmlns:r="http://schemas.openxmlformats.org/officeDocument/2006/relationships" r:id="rId4"/>
          <a:extLst>
            <a:ext uri="{FF2B5EF4-FFF2-40B4-BE49-F238E27FC236}">
              <a16:creationId xmlns:a16="http://schemas.microsoft.com/office/drawing/2014/main" id="{00000000-0008-0000-0000-000059000000}"/>
            </a:ext>
          </a:extLst>
        </xdr:cNvPr>
        <xdr:cNvSpPr txBox="1"/>
      </xdr:nvSpPr>
      <xdr:spPr>
        <a:xfrm>
          <a:off x="6972366" y="830587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FXOSC_DIV_CLK</a:t>
          </a:r>
        </a:p>
      </xdr:txBody>
    </xdr:sp>
    <xdr:clientData/>
  </xdr:oneCellAnchor>
  <xdr:twoCellAnchor>
    <xdr:from>
      <xdr:col>14</xdr:col>
      <xdr:colOff>6594</xdr:colOff>
      <xdr:row>41</xdr:row>
      <xdr:rowOff>99050</xdr:rowOff>
    </xdr:from>
    <xdr:to>
      <xdr:col>17</xdr:col>
      <xdr:colOff>419100</xdr:colOff>
      <xdr:row>41</xdr:row>
      <xdr:rowOff>99050</xdr:rowOff>
    </xdr:to>
    <xdr:cxnSp macro="">
      <xdr:nvCxnSpPr>
        <xdr:cNvPr id="90" name="Straight Arrow Connector 89">
          <a:extLst>
            <a:ext uri="{FF2B5EF4-FFF2-40B4-BE49-F238E27FC236}">
              <a16:creationId xmlns:a16="http://schemas.microsoft.com/office/drawing/2014/main" id="{00000000-0008-0000-0000-00005A000000}"/>
            </a:ext>
          </a:extLst>
        </xdr:cNvPr>
        <xdr:cNvCxnSpPr/>
      </xdr:nvCxnSpPr>
      <xdr:spPr>
        <a:xfrm>
          <a:off x="8540994" y="8500100"/>
          <a:ext cx="2241306"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373739</xdr:colOff>
      <xdr:row>37</xdr:row>
      <xdr:rowOff>96794</xdr:rowOff>
    </xdr:from>
    <xdr:ext cx="1057275" cy="419101"/>
    <xdr:sp macro="" textlink="">
      <xdr:nvSpPr>
        <xdr:cNvPr id="93" name="TextBox 92">
          <a:hlinkClick xmlns:r="http://schemas.openxmlformats.org/officeDocument/2006/relationships" r:id="rId5"/>
          <a:extLst>
            <a:ext uri="{FF2B5EF4-FFF2-40B4-BE49-F238E27FC236}">
              <a16:creationId xmlns:a16="http://schemas.microsoft.com/office/drawing/2014/main" id="{00000000-0008-0000-0000-00005D000000}"/>
            </a:ext>
          </a:extLst>
        </xdr:cNvPr>
        <xdr:cNvSpPr txBox="1"/>
      </xdr:nvSpPr>
      <xdr:spPr>
        <a:xfrm>
          <a:off x="7079339" y="766916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FIRC_DIV_CLK</a:t>
          </a:r>
        </a:p>
      </xdr:txBody>
    </xdr:sp>
    <xdr:clientData/>
  </xdr:oneCellAnchor>
  <xdr:twoCellAnchor>
    <xdr:from>
      <xdr:col>14</xdr:col>
      <xdr:colOff>7327</xdr:colOff>
      <xdr:row>38</xdr:row>
      <xdr:rowOff>115902</xdr:rowOff>
    </xdr:from>
    <xdr:to>
      <xdr:col>17</xdr:col>
      <xdr:colOff>419100</xdr:colOff>
      <xdr:row>38</xdr:row>
      <xdr:rowOff>115902</xdr:rowOff>
    </xdr:to>
    <xdr:cxnSp macro="">
      <xdr:nvCxnSpPr>
        <xdr:cNvPr id="95" name="Straight Arrow Connector 94">
          <a:extLst>
            <a:ext uri="{FF2B5EF4-FFF2-40B4-BE49-F238E27FC236}">
              <a16:creationId xmlns:a16="http://schemas.microsoft.com/office/drawing/2014/main" id="{00000000-0008-0000-0000-00005F000000}"/>
            </a:ext>
          </a:extLst>
        </xdr:cNvPr>
        <xdr:cNvCxnSpPr/>
      </xdr:nvCxnSpPr>
      <xdr:spPr>
        <a:xfrm>
          <a:off x="8541727" y="7888302"/>
          <a:ext cx="2240573"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566373</xdr:colOff>
      <xdr:row>43</xdr:row>
      <xdr:rowOff>733</xdr:rowOff>
    </xdr:from>
    <xdr:ext cx="1062401" cy="342900"/>
    <xdr:sp macro="" textlink="">
      <xdr:nvSpPr>
        <xdr:cNvPr id="101" name="TextBox 100">
          <a:extLst>
            <a:ext uri="{FF2B5EF4-FFF2-40B4-BE49-F238E27FC236}">
              <a16:creationId xmlns:a16="http://schemas.microsoft.com/office/drawing/2014/main" id="{00000000-0008-0000-0000-000065000000}"/>
            </a:ext>
          </a:extLst>
        </xdr:cNvPr>
        <xdr:cNvSpPr txBox="1"/>
      </xdr:nvSpPr>
      <xdr:spPr>
        <a:xfrm>
          <a:off x="10929573" y="8820883"/>
          <a:ext cx="1062401"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FIRC_DIV_CLK</a:t>
          </a:r>
        </a:p>
        <a:p>
          <a:r>
            <a:rPr lang="en-US" sz="800"/>
            <a:t>1 - FXOSC_DIV_CLK</a:t>
          </a:r>
        </a:p>
      </xdr:txBody>
    </xdr:sp>
    <xdr:clientData/>
  </xdr:oneCellAnchor>
  <xdr:twoCellAnchor>
    <xdr:from>
      <xdr:col>19</xdr:col>
      <xdr:colOff>206827</xdr:colOff>
      <xdr:row>39</xdr:row>
      <xdr:rowOff>115421</xdr:rowOff>
    </xdr:from>
    <xdr:to>
      <xdr:col>21</xdr:col>
      <xdr:colOff>600075</xdr:colOff>
      <xdr:row>39</xdr:row>
      <xdr:rowOff>115421</xdr:rowOff>
    </xdr:to>
    <xdr:cxnSp macro="">
      <xdr:nvCxnSpPr>
        <xdr:cNvPr id="103" name="Straight Arrow Connector 102">
          <a:extLst>
            <a:ext uri="{FF2B5EF4-FFF2-40B4-BE49-F238E27FC236}">
              <a16:creationId xmlns:a16="http://schemas.microsoft.com/office/drawing/2014/main" id="{00000000-0008-0000-0000-000067000000}"/>
            </a:ext>
          </a:extLst>
        </xdr:cNvPr>
        <xdr:cNvCxnSpPr/>
      </xdr:nvCxnSpPr>
      <xdr:spPr>
        <a:xfrm>
          <a:off x="11789227" y="8097371"/>
          <a:ext cx="1612448" cy="0"/>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19</xdr:col>
      <xdr:colOff>383263</xdr:colOff>
      <xdr:row>38</xdr:row>
      <xdr:rowOff>25723</xdr:rowOff>
    </xdr:from>
    <xdr:ext cx="1057275" cy="419101"/>
    <xdr:sp macro="" textlink="">
      <xdr:nvSpPr>
        <xdr:cNvPr id="118" name="TextBox 117">
          <a:extLst>
            <a:ext uri="{FF2B5EF4-FFF2-40B4-BE49-F238E27FC236}">
              <a16:creationId xmlns:a16="http://schemas.microsoft.com/office/drawing/2014/main" id="{00000000-0008-0000-0000-000076000000}"/>
            </a:ext>
          </a:extLst>
        </xdr:cNvPr>
        <xdr:cNvSpPr txBox="1"/>
      </xdr:nvSpPr>
      <xdr:spPr>
        <a:xfrm>
          <a:off x="11937821" y="785820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LPU_SYS_CLK</a:t>
          </a:r>
        </a:p>
      </xdr:txBody>
    </xdr:sp>
    <xdr:clientData/>
  </xdr:oneCellAnchor>
  <xdr:twoCellAnchor>
    <xdr:from>
      <xdr:col>17</xdr:col>
      <xdr:colOff>241793</xdr:colOff>
      <xdr:row>7</xdr:row>
      <xdr:rowOff>0</xdr:rowOff>
    </xdr:from>
    <xdr:to>
      <xdr:col>19</xdr:col>
      <xdr:colOff>424967</xdr:colOff>
      <xdr:row>29</xdr:row>
      <xdr:rowOff>206827</xdr:rowOff>
    </xdr:to>
    <xdr:sp macro="" textlink="">
      <xdr:nvSpPr>
        <xdr:cNvPr id="121" name="Rectangle 120">
          <a:extLst>
            <a:ext uri="{FF2B5EF4-FFF2-40B4-BE49-F238E27FC236}">
              <a16:creationId xmlns:a16="http://schemas.microsoft.com/office/drawing/2014/main" id="{00000000-0008-0000-0000-000079000000}"/>
            </a:ext>
          </a:extLst>
        </xdr:cNvPr>
        <xdr:cNvSpPr/>
      </xdr:nvSpPr>
      <xdr:spPr>
        <a:xfrm rot="16200000">
          <a:off x="8853755" y="3235672"/>
          <a:ext cx="4852096" cy="139944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System Mode </a:t>
          </a:r>
        </a:p>
        <a:p>
          <a:pPr algn="ctr"/>
          <a:r>
            <a:rPr lang="en-US" sz="1100" baseline="0"/>
            <a:t>MC_ME_MCTL[TARGET_MODE] </a:t>
          </a:r>
        </a:p>
        <a:p>
          <a:pPr algn="ctr"/>
          <a:r>
            <a:rPr lang="en-US" sz="1100" baseline="0"/>
            <a:t>and</a:t>
          </a:r>
        </a:p>
        <a:p>
          <a:pPr algn="ctr"/>
          <a:r>
            <a:rPr lang="en-US" sz="1100" baseline="0"/>
            <a:t>LP Mode</a:t>
          </a:r>
        </a:p>
        <a:p>
          <a:pPr algn="ctr"/>
          <a:r>
            <a:rPr lang="en-US" sz="1100" baseline="0"/>
            <a:t>LPU_MCTL[TARGET_MODE]</a:t>
          </a:r>
          <a:endParaRPr lang="en-US" sz="1100"/>
        </a:p>
      </xdr:txBody>
    </xdr:sp>
    <xdr:clientData/>
  </xdr:twoCellAnchor>
  <xdr:twoCellAnchor>
    <xdr:from>
      <xdr:col>19</xdr:col>
      <xdr:colOff>439615</xdr:colOff>
      <xdr:row>28</xdr:row>
      <xdr:rowOff>87976</xdr:rowOff>
    </xdr:from>
    <xdr:to>
      <xdr:col>20</xdr:col>
      <xdr:colOff>578046</xdr:colOff>
      <xdr:row>28</xdr:row>
      <xdr:rowOff>87976</xdr:rowOff>
    </xdr:to>
    <xdr:cxnSp macro="">
      <xdr:nvCxnSpPr>
        <xdr:cNvPr id="122" name="Straight Arrow Connector 121">
          <a:extLst>
            <a:ext uri="{FF2B5EF4-FFF2-40B4-BE49-F238E27FC236}">
              <a16:creationId xmlns:a16="http://schemas.microsoft.com/office/drawing/2014/main" id="{00000000-0008-0000-0000-00007A000000}"/>
            </a:ext>
          </a:extLst>
        </xdr:cNvPr>
        <xdr:cNvCxnSpPr/>
      </xdr:nvCxnSpPr>
      <xdr:spPr>
        <a:xfrm>
          <a:off x="11994173" y="6030111"/>
          <a:ext cx="74656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432288</xdr:colOff>
      <xdr:row>26</xdr:row>
      <xdr:rowOff>98482</xdr:rowOff>
    </xdr:from>
    <xdr:to>
      <xdr:col>20</xdr:col>
      <xdr:colOff>590440</xdr:colOff>
      <xdr:row>26</xdr:row>
      <xdr:rowOff>98482</xdr:rowOff>
    </xdr:to>
    <xdr:cxnSp macro="">
      <xdr:nvCxnSpPr>
        <xdr:cNvPr id="127" name="Straight Arrow Connector 126">
          <a:extLst>
            <a:ext uri="{FF2B5EF4-FFF2-40B4-BE49-F238E27FC236}">
              <a16:creationId xmlns:a16="http://schemas.microsoft.com/office/drawing/2014/main" id="{00000000-0008-0000-0000-00007F000000}"/>
            </a:ext>
          </a:extLst>
        </xdr:cNvPr>
        <xdr:cNvCxnSpPr/>
      </xdr:nvCxnSpPr>
      <xdr:spPr>
        <a:xfrm>
          <a:off x="11986846" y="5615655"/>
          <a:ext cx="76628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446942</xdr:colOff>
      <xdr:row>24</xdr:row>
      <xdr:rowOff>98859</xdr:rowOff>
    </xdr:from>
    <xdr:to>
      <xdr:col>21</xdr:col>
      <xdr:colOff>1277</xdr:colOff>
      <xdr:row>24</xdr:row>
      <xdr:rowOff>98859</xdr:rowOff>
    </xdr:to>
    <xdr:cxnSp macro="">
      <xdr:nvCxnSpPr>
        <xdr:cNvPr id="128" name="Straight Arrow Connector 127">
          <a:extLst>
            <a:ext uri="{FF2B5EF4-FFF2-40B4-BE49-F238E27FC236}">
              <a16:creationId xmlns:a16="http://schemas.microsoft.com/office/drawing/2014/main" id="{00000000-0008-0000-0000-000080000000}"/>
            </a:ext>
          </a:extLst>
        </xdr:cNvPr>
        <xdr:cNvCxnSpPr/>
      </xdr:nvCxnSpPr>
      <xdr:spPr>
        <a:xfrm>
          <a:off x="12001500" y="5191071"/>
          <a:ext cx="770604"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439615</xdr:colOff>
      <xdr:row>20</xdr:row>
      <xdr:rowOff>103925</xdr:rowOff>
    </xdr:from>
    <xdr:to>
      <xdr:col>21</xdr:col>
      <xdr:colOff>2328</xdr:colOff>
      <xdr:row>20</xdr:row>
      <xdr:rowOff>103925</xdr:rowOff>
    </xdr:to>
    <xdr:cxnSp macro="">
      <xdr:nvCxnSpPr>
        <xdr:cNvPr id="129" name="Straight Arrow Connector 128">
          <a:extLst>
            <a:ext uri="{FF2B5EF4-FFF2-40B4-BE49-F238E27FC236}">
              <a16:creationId xmlns:a16="http://schemas.microsoft.com/office/drawing/2014/main" id="{00000000-0008-0000-0000-000081000000}"/>
            </a:ext>
          </a:extLst>
        </xdr:cNvPr>
        <xdr:cNvCxnSpPr/>
      </xdr:nvCxnSpPr>
      <xdr:spPr>
        <a:xfrm>
          <a:off x="11994173" y="4346213"/>
          <a:ext cx="778982"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439615</xdr:colOff>
      <xdr:row>17</xdr:row>
      <xdr:rowOff>112753</xdr:rowOff>
    </xdr:from>
    <xdr:to>
      <xdr:col>20</xdr:col>
      <xdr:colOff>586156</xdr:colOff>
      <xdr:row>17</xdr:row>
      <xdr:rowOff>112753</xdr:rowOff>
    </xdr:to>
    <xdr:cxnSp macro="">
      <xdr:nvCxnSpPr>
        <xdr:cNvPr id="131" name="Straight Arrow Connector 130">
          <a:extLst>
            <a:ext uri="{FF2B5EF4-FFF2-40B4-BE49-F238E27FC236}">
              <a16:creationId xmlns:a16="http://schemas.microsoft.com/office/drawing/2014/main" id="{00000000-0008-0000-0000-000083000000}"/>
            </a:ext>
          </a:extLst>
        </xdr:cNvPr>
        <xdr:cNvCxnSpPr/>
      </xdr:nvCxnSpPr>
      <xdr:spPr>
        <a:xfrm>
          <a:off x="11994173" y="3717599"/>
          <a:ext cx="754675"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424961</xdr:colOff>
      <xdr:row>13</xdr:row>
      <xdr:rowOff>102814</xdr:rowOff>
    </xdr:from>
    <xdr:to>
      <xdr:col>21</xdr:col>
      <xdr:colOff>7319</xdr:colOff>
      <xdr:row>13</xdr:row>
      <xdr:rowOff>102814</xdr:rowOff>
    </xdr:to>
    <xdr:cxnSp macro="">
      <xdr:nvCxnSpPr>
        <xdr:cNvPr id="132" name="Straight Arrow Connector 131">
          <a:extLst>
            <a:ext uri="{FF2B5EF4-FFF2-40B4-BE49-F238E27FC236}">
              <a16:creationId xmlns:a16="http://schemas.microsoft.com/office/drawing/2014/main" id="{00000000-0008-0000-0000-000084000000}"/>
            </a:ext>
          </a:extLst>
        </xdr:cNvPr>
        <xdr:cNvCxnSpPr/>
      </xdr:nvCxnSpPr>
      <xdr:spPr>
        <a:xfrm>
          <a:off x="11979519" y="2857737"/>
          <a:ext cx="798627"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417634</xdr:colOff>
      <xdr:row>9</xdr:row>
      <xdr:rowOff>104695</xdr:rowOff>
    </xdr:from>
    <xdr:to>
      <xdr:col>21</xdr:col>
      <xdr:colOff>3191</xdr:colOff>
      <xdr:row>9</xdr:row>
      <xdr:rowOff>104696</xdr:rowOff>
    </xdr:to>
    <xdr:cxnSp macro="">
      <xdr:nvCxnSpPr>
        <xdr:cNvPr id="133" name="Straight Arrow Connector 132">
          <a:extLst>
            <a:ext uri="{FF2B5EF4-FFF2-40B4-BE49-F238E27FC236}">
              <a16:creationId xmlns:a16="http://schemas.microsoft.com/office/drawing/2014/main" id="{00000000-0008-0000-0000-000085000000}"/>
            </a:ext>
          </a:extLst>
        </xdr:cNvPr>
        <xdr:cNvCxnSpPr/>
      </xdr:nvCxnSpPr>
      <xdr:spPr>
        <a:xfrm>
          <a:off x="11972192" y="2039003"/>
          <a:ext cx="801826"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432288</xdr:colOff>
      <xdr:row>7</xdr:row>
      <xdr:rowOff>104695</xdr:rowOff>
    </xdr:from>
    <xdr:to>
      <xdr:col>20</xdr:col>
      <xdr:colOff>592882</xdr:colOff>
      <xdr:row>7</xdr:row>
      <xdr:rowOff>104696</xdr:rowOff>
    </xdr:to>
    <xdr:cxnSp macro="">
      <xdr:nvCxnSpPr>
        <xdr:cNvPr id="135" name="Straight Arrow Connector 134">
          <a:extLst>
            <a:ext uri="{FF2B5EF4-FFF2-40B4-BE49-F238E27FC236}">
              <a16:creationId xmlns:a16="http://schemas.microsoft.com/office/drawing/2014/main" id="{00000000-0008-0000-0000-000087000000}"/>
            </a:ext>
          </a:extLst>
        </xdr:cNvPr>
        <xdr:cNvCxnSpPr/>
      </xdr:nvCxnSpPr>
      <xdr:spPr>
        <a:xfrm>
          <a:off x="11986846" y="1614041"/>
          <a:ext cx="768728"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492671</xdr:colOff>
      <xdr:row>35</xdr:row>
      <xdr:rowOff>144517</xdr:rowOff>
    </xdr:from>
    <xdr:ext cx="3268989" cy="234839"/>
    <xdr:sp macro="" textlink="">
      <xdr:nvSpPr>
        <xdr:cNvPr id="139" name="TextBox 138">
          <a:extLst>
            <a:ext uri="{FF2B5EF4-FFF2-40B4-BE49-F238E27FC236}">
              <a16:creationId xmlns:a16="http://schemas.microsoft.com/office/drawing/2014/main" id="{00000000-0008-0000-0000-00008B000000}"/>
            </a:ext>
          </a:extLst>
        </xdr:cNvPr>
        <xdr:cNvSpPr txBox="1"/>
      </xdr:nvSpPr>
      <xdr:spPr>
        <a:xfrm>
          <a:off x="9045464" y="7337534"/>
          <a:ext cx="3268989" cy="2348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600" b="1"/>
            <a:t>Low Power Clock Generation</a:t>
          </a:r>
        </a:p>
      </xdr:txBody>
    </xdr:sp>
    <xdr:clientData/>
  </xdr:oneCellAnchor>
  <xdr:twoCellAnchor>
    <xdr:from>
      <xdr:col>13</xdr:col>
      <xdr:colOff>505558</xdr:colOff>
      <xdr:row>29</xdr:row>
      <xdr:rowOff>146538</xdr:rowOff>
    </xdr:from>
    <xdr:to>
      <xdr:col>17</xdr:col>
      <xdr:colOff>212481</xdr:colOff>
      <xdr:row>29</xdr:row>
      <xdr:rowOff>146538</xdr:rowOff>
    </xdr:to>
    <xdr:cxnSp macro="">
      <xdr:nvCxnSpPr>
        <xdr:cNvPr id="140" name="Straight Arrow Connector 139">
          <a:extLst>
            <a:ext uri="{FF2B5EF4-FFF2-40B4-BE49-F238E27FC236}">
              <a16:creationId xmlns:a16="http://schemas.microsoft.com/office/drawing/2014/main" id="{00000000-0008-0000-0000-00008C000000}"/>
            </a:ext>
          </a:extLst>
        </xdr:cNvPr>
        <xdr:cNvCxnSpPr/>
      </xdr:nvCxnSpPr>
      <xdr:spPr>
        <a:xfrm>
          <a:off x="8411308" y="6301153"/>
          <a:ext cx="2139461"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583956</xdr:colOff>
      <xdr:row>34</xdr:row>
      <xdr:rowOff>153865</xdr:rowOff>
    </xdr:from>
    <xdr:to>
      <xdr:col>21</xdr:col>
      <xdr:colOff>583956</xdr:colOff>
      <xdr:row>39</xdr:row>
      <xdr:rowOff>118351</xdr:rowOff>
    </xdr:to>
    <xdr:cxnSp macro="">
      <xdr:nvCxnSpPr>
        <xdr:cNvPr id="141" name="Straight Arrow Connector 140">
          <a:extLst>
            <a:ext uri="{FF2B5EF4-FFF2-40B4-BE49-F238E27FC236}">
              <a16:creationId xmlns:a16="http://schemas.microsoft.com/office/drawing/2014/main" id="{00000000-0008-0000-0000-00008D000000}"/>
            </a:ext>
          </a:extLst>
        </xdr:cNvPr>
        <xdr:cNvCxnSpPr/>
      </xdr:nvCxnSpPr>
      <xdr:spPr>
        <a:xfrm>
          <a:off x="13354783" y="7217019"/>
          <a:ext cx="0" cy="946294"/>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505558</xdr:colOff>
      <xdr:row>34</xdr:row>
      <xdr:rowOff>161192</xdr:rowOff>
    </xdr:from>
    <xdr:to>
      <xdr:col>21</xdr:col>
      <xdr:colOff>591075</xdr:colOff>
      <xdr:row>34</xdr:row>
      <xdr:rowOff>161192</xdr:rowOff>
    </xdr:to>
    <xdr:cxnSp macro="">
      <xdr:nvCxnSpPr>
        <xdr:cNvPr id="144" name="Straight Arrow Connector 143">
          <a:extLst>
            <a:ext uri="{FF2B5EF4-FFF2-40B4-BE49-F238E27FC236}">
              <a16:creationId xmlns:a16="http://schemas.microsoft.com/office/drawing/2014/main" id="{00000000-0008-0000-0000-000090000000}"/>
            </a:ext>
          </a:extLst>
        </xdr:cNvPr>
        <xdr:cNvCxnSpPr/>
      </xdr:nvCxnSpPr>
      <xdr:spPr>
        <a:xfrm>
          <a:off x="8411308" y="7224346"/>
          <a:ext cx="4950594" cy="0"/>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512885</xdr:colOff>
      <xdr:row>29</xdr:row>
      <xdr:rowOff>161192</xdr:rowOff>
    </xdr:from>
    <xdr:to>
      <xdr:col>13</xdr:col>
      <xdr:colOff>512885</xdr:colOff>
      <xdr:row>34</xdr:row>
      <xdr:rowOff>168519</xdr:rowOff>
    </xdr:to>
    <xdr:cxnSp macro="">
      <xdr:nvCxnSpPr>
        <xdr:cNvPr id="145" name="Straight Arrow Connector 144">
          <a:extLst>
            <a:ext uri="{FF2B5EF4-FFF2-40B4-BE49-F238E27FC236}">
              <a16:creationId xmlns:a16="http://schemas.microsoft.com/office/drawing/2014/main" id="{00000000-0008-0000-0000-000091000000}"/>
            </a:ext>
          </a:extLst>
        </xdr:cNvPr>
        <xdr:cNvCxnSpPr/>
      </xdr:nvCxnSpPr>
      <xdr:spPr>
        <a:xfrm>
          <a:off x="8418635" y="6176596"/>
          <a:ext cx="0" cy="1055077"/>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413254</xdr:colOff>
      <xdr:row>54</xdr:row>
      <xdr:rowOff>62995</xdr:rowOff>
    </xdr:from>
    <xdr:to>
      <xdr:col>6</xdr:col>
      <xdr:colOff>199893</xdr:colOff>
      <xdr:row>58</xdr:row>
      <xdr:rowOff>201033</xdr:rowOff>
    </xdr:to>
    <xdr:sp macro="" textlink="">
      <xdr:nvSpPr>
        <xdr:cNvPr id="146" name="Rectangle 145">
          <a:hlinkClick xmlns:r="http://schemas.openxmlformats.org/officeDocument/2006/relationships" r:id="rId6"/>
          <a:extLst>
            <a:ext uri="{FF2B5EF4-FFF2-40B4-BE49-F238E27FC236}">
              <a16:creationId xmlns:a16="http://schemas.microsoft.com/office/drawing/2014/main" id="{00000000-0008-0000-0000-000092000000}"/>
            </a:ext>
          </a:extLst>
        </xdr:cNvPr>
        <xdr:cNvSpPr/>
      </xdr:nvSpPr>
      <xdr:spPr>
        <a:xfrm>
          <a:off x="2845792" y="11251207"/>
          <a:ext cx="1002909" cy="9513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Clock Source Control</a:t>
          </a:r>
        </a:p>
        <a:p>
          <a:pPr algn="ctr"/>
          <a:r>
            <a:rPr lang="en-US" sz="1000"/>
            <a:t>Click</a:t>
          </a:r>
          <a:r>
            <a:rPr lang="en-US" sz="1000" baseline="0"/>
            <a:t> me for more info</a:t>
          </a:r>
          <a:endParaRPr lang="en-US" sz="1000"/>
        </a:p>
      </xdr:txBody>
    </xdr:sp>
    <xdr:clientData/>
  </xdr:twoCellAnchor>
  <xdr:twoCellAnchor>
    <xdr:from>
      <xdr:col>3</xdr:col>
      <xdr:colOff>241804</xdr:colOff>
      <xdr:row>56</xdr:row>
      <xdr:rowOff>102708</xdr:rowOff>
    </xdr:from>
    <xdr:to>
      <xdr:col>4</xdr:col>
      <xdr:colOff>410308</xdr:colOff>
      <xdr:row>56</xdr:row>
      <xdr:rowOff>102708</xdr:rowOff>
    </xdr:to>
    <xdr:cxnSp macro="">
      <xdr:nvCxnSpPr>
        <xdr:cNvPr id="163" name="Straight Arrow Connector 162">
          <a:extLst>
            <a:ext uri="{FF2B5EF4-FFF2-40B4-BE49-F238E27FC236}">
              <a16:creationId xmlns:a16="http://schemas.microsoft.com/office/drawing/2014/main" id="{00000000-0008-0000-0000-0000A3000000}"/>
            </a:ext>
          </a:extLst>
        </xdr:cNvPr>
        <xdr:cNvCxnSpPr/>
      </xdr:nvCxnSpPr>
      <xdr:spPr>
        <a:xfrm>
          <a:off x="2066208" y="11745189"/>
          <a:ext cx="77663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398600</xdr:colOff>
      <xdr:row>43</xdr:row>
      <xdr:rowOff>62996</xdr:rowOff>
    </xdr:from>
    <xdr:to>
      <xdr:col>6</xdr:col>
      <xdr:colOff>185239</xdr:colOff>
      <xdr:row>47</xdr:row>
      <xdr:rowOff>193707</xdr:rowOff>
    </xdr:to>
    <xdr:sp macro="" textlink="">
      <xdr:nvSpPr>
        <xdr:cNvPr id="164" name="Rectangle 163">
          <a:hlinkClick xmlns:r="http://schemas.openxmlformats.org/officeDocument/2006/relationships" r:id="rId7"/>
          <a:extLst>
            <a:ext uri="{FF2B5EF4-FFF2-40B4-BE49-F238E27FC236}">
              <a16:creationId xmlns:a16="http://schemas.microsoft.com/office/drawing/2014/main" id="{00000000-0008-0000-0000-0000A4000000}"/>
            </a:ext>
          </a:extLst>
        </xdr:cNvPr>
        <xdr:cNvSpPr/>
      </xdr:nvSpPr>
      <xdr:spPr>
        <a:xfrm>
          <a:off x="2831138" y="9111746"/>
          <a:ext cx="1002909" cy="9513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Clock Source Control</a:t>
          </a:r>
        </a:p>
        <a:p>
          <a:pPr algn="ctr"/>
          <a:r>
            <a:rPr lang="en-US" sz="1000"/>
            <a:t>Click</a:t>
          </a:r>
          <a:r>
            <a:rPr lang="en-US" sz="1000" baseline="0"/>
            <a:t> me for more info</a:t>
          </a:r>
          <a:endParaRPr lang="en-US" sz="1000"/>
        </a:p>
      </xdr:txBody>
    </xdr:sp>
    <xdr:clientData/>
  </xdr:twoCellAnchor>
  <xdr:twoCellAnchor>
    <xdr:from>
      <xdr:col>3</xdr:col>
      <xdr:colOff>214533</xdr:colOff>
      <xdr:row>45</xdr:row>
      <xdr:rowOff>102708</xdr:rowOff>
    </xdr:from>
    <xdr:to>
      <xdr:col>4</xdr:col>
      <xdr:colOff>410308</xdr:colOff>
      <xdr:row>45</xdr:row>
      <xdr:rowOff>102708</xdr:rowOff>
    </xdr:to>
    <xdr:cxnSp macro="">
      <xdr:nvCxnSpPr>
        <xdr:cNvPr id="165" name="Straight Arrow Connector 164">
          <a:extLst>
            <a:ext uri="{FF2B5EF4-FFF2-40B4-BE49-F238E27FC236}">
              <a16:creationId xmlns:a16="http://schemas.microsoft.com/office/drawing/2014/main" id="{00000000-0008-0000-0000-0000A5000000}"/>
            </a:ext>
          </a:extLst>
        </xdr:cNvPr>
        <xdr:cNvCxnSpPr/>
      </xdr:nvCxnSpPr>
      <xdr:spPr>
        <a:xfrm>
          <a:off x="2038937" y="9547112"/>
          <a:ext cx="803909"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419115</xdr:colOff>
      <xdr:row>31</xdr:row>
      <xdr:rowOff>24895</xdr:rowOff>
    </xdr:from>
    <xdr:to>
      <xdr:col>4</xdr:col>
      <xdr:colOff>205755</xdr:colOff>
      <xdr:row>35</xdr:row>
      <xdr:rowOff>162933</xdr:rowOff>
    </xdr:to>
    <xdr:sp macro="" textlink="">
      <xdr:nvSpPr>
        <xdr:cNvPr id="167" name="Rectangle 166">
          <a:hlinkClick xmlns:r="http://schemas.openxmlformats.org/officeDocument/2006/relationships" r:id="rId8"/>
          <a:extLst>
            <a:ext uri="{FF2B5EF4-FFF2-40B4-BE49-F238E27FC236}">
              <a16:creationId xmlns:a16="http://schemas.microsoft.com/office/drawing/2014/main" id="{00000000-0008-0000-0000-0000A7000000}"/>
            </a:ext>
          </a:extLst>
        </xdr:cNvPr>
        <xdr:cNvSpPr/>
      </xdr:nvSpPr>
      <xdr:spPr>
        <a:xfrm>
          <a:off x="1635384" y="6619126"/>
          <a:ext cx="1002909" cy="9513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Clock Source Control</a:t>
          </a:r>
        </a:p>
        <a:p>
          <a:pPr algn="ctr"/>
          <a:r>
            <a:rPr lang="en-US" sz="1000"/>
            <a:t>Click</a:t>
          </a:r>
          <a:r>
            <a:rPr lang="en-US" sz="1000" baseline="0"/>
            <a:t> me for more info</a:t>
          </a:r>
          <a:endParaRPr lang="en-US" sz="1000"/>
        </a:p>
      </xdr:txBody>
    </xdr:sp>
    <xdr:clientData/>
  </xdr:twoCellAnchor>
  <xdr:twoCellAnchor>
    <xdr:from>
      <xdr:col>3</xdr:col>
      <xdr:colOff>471068</xdr:colOff>
      <xdr:row>26</xdr:row>
      <xdr:rowOff>212103</xdr:rowOff>
    </xdr:from>
    <xdr:to>
      <xdr:col>3</xdr:col>
      <xdr:colOff>471069</xdr:colOff>
      <xdr:row>31</xdr:row>
      <xdr:rowOff>43961</xdr:rowOff>
    </xdr:to>
    <xdr:cxnSp macro="">
      <xdr:nvCxnSpPr>
        <xdr:cNvPr id="171" name="Straight Arrow Connector 170">
          <a:extLst>
            <a:ext uri="{FF2B5EF4-FFF2-40B4-BE49-F238E27FC236}">
              <a16:creationId xmlns:a16="http://schemas.microsoft.com/office/drawing/2014/main" id="{00000000-0008-0000-0000-0000AB000000}"/>
            </a:ext>
          </a:extLst>
        </xdr:cNvPr>
        <xdr:cNvCxnSpPr/>
      </xdr:nvCxnSpPr>
      <xdr:spPr>
        <a:xfrm flipH="1">
          <a:off x="2295472" y="5743930"/>
          <a:ext cx="1" cy="894262"/>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222999</xdr:colOff>
      <xdr:row>26</xdr:row>
      <xdr:rowOff>205560</xdr:rowOff>
    </xdr:from>
    <xdr:to>
      <xdr:col>3</xdr:col>
      <xdr:colOff>483577</xdr:colOff>
      <xdr:row>26</xdr:row>
      <xdr:rowOff>206912</xdr:rowOff>
    </xdr:to>
    <xdr:cxnSp macro="">
      <xdr:nvCxnSpPr>
        <xdr:cNvPr id="173" name="Straight Connector 172">
          <a:extLst>
            <a:ext uri="{FF2B5EF4-FFF2-40B4-BE49-F238E27FC236}">
              <a16:creationId xmlns:a16="http://schemas.microsoft.com/office/drawing/2014/main" id="{00000000-0008-0000-0000-0000AD000000}"/>
            </a:ext>
          </a:extLst>
        </xdr:cNvPr>
        <xdr:cNvCxnSpPr/>
      </xdr:nvCxnSpPr>
      <xdr:spPr>
        <a:xfrm flipV="1">
          <a:off x="2047403" y="5737387"/>
          <a:ext cx="260578" cy="1352"/>
        </a:xfrm>
        <a:prstGeom prst="line">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395654</xdr:colOff>
      <xdr:row>22</xdr:row>
      <xdr:rowOff>21601</xdr:rowOff>
    </xdr:from>
    <xdr:to>
      <xdr:col>5</xdr:col>
      <xdr:colOff>392267</xdr:colOff>
      <xdr:row>22</xdr:row>
      <xdr:rowOff>21601</xdr:rowOff>
    </xdr:to>
    <xdr:cxnSp macro="">
      <xdr:nvCxnSpPr>
        <xdr:cNvPr id="174" name="Straight Arrow Connector 173">
          <a:extLst>
            <a:ext uri="{FF2B5EF4-FFF2-40B4-BE49-F238E27FC236}">
              <a16:creationId xmlns:a16="http://schemas.microsoft.com/office/drawing/2014/main" id="{00000000-0008-0000-0000-0000AE000000}"/>
            </a:ext>
          </a:extLst>
        </xdr:cNvPr>
        <xdr:cNvCxnSpPr/>
      </xdr:nvCxnSpPr>
      <xdr:spPr>
        <a:xfrm>
          <a:off x="2828192" y="4703505"/>
          <a:ext cx="604748"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397449</xdr:colOff>
      <xdr:row>22</xdr:row>
      <xdr:rowOff>19837</xdr:rowOff>
    </xdr:from>
    <xdr:to>
      <xdr:col>4</xdr:col>
      <xdr:colOff>397449</xdr:colOff>
      <xdr:row>33</xdr:row>
      <xdr:rowOff>73270</xdr:rowOff>
    </xdr:to>
    <xdr:cxnSp macro="">
      <xdr:nvCxnSpPr>
        <xdr:cNvPr id="175" name="Straight Connector 174">
          <a:extLst>
            <a:ext uri="{FF2B5EF4-FFF2-40B4-BE49-F238E27FC236}">
              <a16:creationId xmlns:a16="http://schemas.microsoft.com/office/drawing/2014/main" id="{00000000-0008-0000-0000-0000AF000000}"/>
            </a:ext>
          </a:extLst>
        </xdr:cNvPr>
        <xdr:cNvCxnSpPr/>
      </xdr:nvCxnSpPr>
      <xdr:spPr>
        <a:xfrm flipV="1">
          <a:off x="2829987" y="4687087"/>
          <a:ext cx="0" cy="2390721"/>
        </a:xfrm>
        <a:prstGeom prst="line">
          <a:avLst/>
        </a:prstGeom>
        <a:ln w="19050">
          <a:solidFill>
            <a:srgbClr val="FF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219808</xdr:colOff>
      <xdr:row>20</xdr:row>
      <xdr:rowOff>9885</xdr:rowOff>
    </xdr:from>
    <xdr:to>
      <xdr:col>5</xdr:col>
      <xdr:colOff>395654</xdr:colOff>
      <xdr:row>20</xdr:row>
      <xdr:rowOff>9885</xdr:rowOff>
    </xdr:to>
    <xdr:cxnSp macro="">
      <xdr:nvCxnSpPr>
        <xdr:cNvPr id="176" name="Straight Arrow Connector 175">
          <a:extLst>
            <a:ext uri="{FF2B5EF4-FFF2-40B4-BE49-F238E27FC236}">
              <a16:creationId xmlns:a16="http://schemas.microsoft.com/office/drawing/2014/main" id="{00000000-0008-0000-0000-0000B0000000}"/>
            </a:ext>
          </a:extLst>
        </xdr:cNvPr>
        <xdr:cNvCxnSpPr/>
      </xdr:nvCxnSpPr>
      <xdr:spPr>
        <a:xfrm>
          <a:off x="2652346" y="4252173"/>
          <a:ext cx="78398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395654</xdr:colOff>
      <xdr:row>6</xdr:row>
      <xdr:rowOff>96343</xdr:rowOff>
    </xdr:from>
    <xdr:to>
      <xdr:col>2</xdr:col>
      <xdr:colOff>606670</xdr:colOff>
      <xdr:row>6</xdr:row>
      <xdr:rowOff>96343</xdr:rowOff>
    </xdr:to>
    <xdr:cxnSp macro="">
      <xdr:nvCxnSpPr>
        <xdr:cNvPr id="180" name="Straight Arrow Connector 179">
          <a:extLst>
            <a:ext uri="{FF2B5EF4-FFF2-40B4-BE49-F238E27FC236}">
              <a16:creationId xmlns:a16="http://schemas.microsoft.com/office/drawing/2014/main" id="{00000000-0008-0000-0000-0000B4000000}"/>
            </a:ext>
          </a:extLst>
        </xdr:cNvPr>
        <xdr:cNvCxnSpPr/>
      </xdr:nvCxnSpPr>
      <xdr:spPr>
        <a:xfrm>
          <a:off x="1611923" y="1393208"/>
          <a:ext cx="211016"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410320</xdr:colOff>
      <xdr:row>12</xdr:row>
      <xdr:rowOff>74719</xdr:rowOff>
    </xdr:from>
    <xdr:to>
      <xdr:col>2</xdr:col>
      <xdr:colOff>196960</xdr:colOff>
      <xdr:row>16</xdr:row>
      <xdr:rowOff>190776</xdr:rowOff>
    </xdr:to>
    <xdr:sp macro="" textlink="">
      <xdr:nvSpPr>
        <xdr:cNvPr id="181" name="Rectangle 180">
          <a:hlinkClick xmlns:r="http://schemas.openxmlformats.org/officeDocument/2006/relationships" r:id="rId9"/>
          <a:extLst>
            <a:ext uri="{FF2B5EF4-FFF2-40B4-BE49-F238E27FC236}">
              <a16:creationId xmlns:a16="http://schemas.microsoft.com/office/drawing/2014/main" id="{00000000-0008-0000-0000-0000B5000000}"/>
            </a:ext>
          </a:extLst>
        </xdr:cNvPr>
        <xdr:cNvSpPr/>
      </xdr:nvSpPr>
      <xdr:spPr>
        <a:xfrm>
          <a:off x="410320" y="2631815"/>
          <a:ext cx="1002909" cy="9513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a:t>Clock Source Control</a:t>
          </a:r>
        </a:p>
        <a:p>
          <a:pPr algn="ctr"/>
          <a:r>
            <a:rPr lang="en-US" sz="1000"/>
            <a:t>Click</a:t>
          </a:r>
          <a:r>
            <a:rPr lang="en-US" sz="1000" baseline="0"/>
            <a:t> me for more info</a:t>
          </a:r>
          <a:endParaRPr lang="en-US" sz="1000"/>
        </a:p>
      </xdr:txBody>
    </xdr:sp>
    <xdr:clientData/>
  </xdr:twoCellAnchor>
  <xdr:twoCellAnchor>
    <xdr:from>
      <xdr:col>2</xdr:col>
      <xdr:colOff>395655</xdr:colOff>
      <xdr:row>6</xdr:row>
      <xdr:rowOff>95250</xdr:rowOff>
    </xdr:from>
    <xdr:to>
      <xdr:col>2</xdr:col>
      <xdr:colOff>395655</xdr:colOff>
      <xdr:row>14</xdr:row>
      <xdr:rowOff>139211</xdr:rowOff>
    </xdr:to>
    <xdr:cxnSp macro="">
      <xdr:nvCxnSpPr>
        <xdr:cNvPr id="183" name="Straight Arrow Connector 182">
          <a:extLst>
            <a:ext uri="{FF2B5EF4-FFF2-40B4-BE49-F238E27FC236}">
              <a16:creationId xmlns:a16="http://schemas.microsoft.com/office/drawing/2014/main" id="{00000000-0008-0000-0000-0000B7000000}"/>
            </a:ext>
          </a:extLst>
        </xdr:cNvPr>
        <xdr:cNvCxnSpPr/>
      </xdr:nvCxnSpPr>
      <xdr:spPr>
        <a:xfrm flipV="1">
          <a:off x="1611924" y="1392115"/>
          <a:ext cx="0" cy="1714500"/>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303640</xdr:colOff>
      <xdr:row>16</xdr:row>
      <xdr:rowOff>190776</xdr:rowOff>
    </xdr:from>
    <xdr:to>
      <xdr:col>1</xdr:col>
      <xdr:colOff>305090</xdr:colOff>
      <xdr:row>18</xdr:row>
      <xdr:rowOff>38833</xdr:rowOff>
    </xdr:to>
    <xdr:cxnSp macro="">
      <xdr:nvCxnSpPr>
        <xdr:cNvPr id="184" name="Straight Arrow Connector 183">
          <a:extLst>
            <a:ext uri="{FF2B5EF4-FFF2-40B4-BE49-F238E27FC236}">
              <a16:creationId xmlns:a16="http://schemas.microsoft.com/office/drawing/2014/main" id="{00000000-0008-0000-0000-0000B8000000}"/>
            </a:ext>
          </a:extLst>
        </xdr:cNvPr>
        <xdr:cNvCxnSpPr>
          <a:stCxn id="3" idx="0"/>
          <a:endCxn id="181" idx="2"/>
        </xdr:cNvCxnSpPr>
      </xdr:nvCxnSpPr>
      <xdr:spPr>
        <a:xfrm flipH="1" flipV="1">
          <a:off x="911775" y="3583141"/>
          <a:ext cx="1450" cy="273019"/>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212482</xdr:colOff>
      <xdr:row>14</xdr:row>
      <xdr:rowOff>139212</xdr:rowOff>
    </xdr:from>
    <xdr:to>
      <xdr:col>4</xdr:col>
      <xdr:colOff>212482</xdr:colOff>
      <xdr:row>20</xdr:row>
      <xdr:rowOff>7327</xdr:rowOff>
    </xdr:to>
    <xdr:cxnSp macro="">
      <xdr:nvCxnSpPr>
        <xdr:cNvPr id="188" name="Straight Arrow Connector 187">
          <a:extLst>
            <a:ext uri="{FF2B5EF4-FFF2-40B4-BE49-F238E27FC236}">
              <a16:creationId xmlns:a16="http://schemas.microsoft.com/office/drawing/2014/main" id="{00000000-0008-0000-0000-0000BC000000}"/>
            </a:ext>
          </a:extLst>
        </xdr:cNvPr>
        <xdr:cNvCxnSpPr/>
      </xdr:nvCxnSpPr>
      <xdr:spPr>
        <a:xfrm flipV="1">
          <a:off x="2645020" y="3106616"/>
          <a:ext cx="0" cy="1142999"/>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336177</xdr:colOff>
      <xdr:row>10</xdr:row>
      <xdr:rowOff>78440</xdr:rowOff>
    </xdr:from>
    <xdr:ext cx="1057275" cy="419101"/>
    <xdr:sp macro="" textlink="">
      <xdr:nvSpPr>
        <xdr:cNvPr id="148" name="TextBox 147">
          <a:extLst>
            <a:ext uri="{FF2B5EF4-FFF2-40B4-BE49-F238E27FC236}">
              <a16:creationId xmlns:a16="http://schemas.microsoft.com/office/drawing/2014/main" id="{00000000-0008-0000-0000-000094000000}"/>
            </a:ext>
          </a:extLst>
        </xdr:cNvPr>
        <xdr:cNvSpPr txBox="1"/>
      </xdr:nvSpPr>
      <xdr:spPr>
        <a:xfrm>
          <a:off x="2756648" y="229720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oneCellAnchor>
    <xdr:from>
      <xdr:col>4</xdr:col>
      <xdr:colOff>286871</xdr:colOff>
      <xdr:row>8</xdr:row>
      <xdr:rowOff>129987</xdr:rowOff>
    </xdr:from>
    <xdr:ext cx="1057275" cy="419101"/>
    <xdr:sp macro="" textlink="">
      <xdr:nvSpPr>
        <xdr:cNvPr id="149" name="TextBox 148">
          <a:extLst>
            <a:ext uri="{FF2B5EF4-FFF2-40B4-BE49-F238E27FC236}">
              <a16:creationId xmlns:a16="http://schemas.microsoft.com/office/drawing/2014/main" id="{00000000-0008-0000-0000-000095000000}"/>
            </a:ext>
          </a:extLst>
        </xdr:cNvPr>
        <xdr:cNvSpPr txBox="1"/>
      </xdr:nvSpPr>
      <xdr:spPr>
        <a:xfrm>
          <a:off x="2707342" y="192292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4</xdr:col>
      <xdr:colOff>280147</xdr:colOff>
      <xdr:row>7</xdr:row>
      <xdr:rowOff>67235</xdr:rowOff>
    </xdr:from>
    <xdr:ext cx="1057275" cy="419101"/>
    <xdr:sp macro="" textlink="">
      <xdr:nvSpPr>
        <xdr:cNvPr id="150" name="TextBox 149">
          <a:extLst>
            <a:ext uri="{FF2B5EF4-FFF2-40B4-BE49-F238E27FC236}">
              <a16:creationId xmlns:a16="http://schemas.microsoft.com/office/drawing/2014/main" id="{00000000-0008-0000-0000-000096000000}"/>
            </a:ext>
          </a:extLst>
        </xdr:cNvPr>
        <xdr:cNvSpPr txBox="1"/>
      </xdr:nvSpPr>
      <xdr:spPr>
        <a:xfrm>
          <a:off x="2700618" y="164726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a:t>
          </a:r>
        </a:p>
      </xdr:txBody>
    </xdr:sp>
    <xdr:clientData/>
  </xdr:oneCellAnchor>
  <xdr:oneCellAnchor>
    <xdr:from>
      <xdr:col>7</xdr:col>
      <xdr:colOff>369794</xdr:colOff>
      <xdr:row>16</xdr:row>
      <xdr:rowOff>190500</xdr:rowOff>
    </xdr:from>
    <xdr:ext cx="1057275" cy="419101"/>
    <xdr:sp macro="" textlink="">
      <xdr:nvSpPr>
        <xdr:cNvPr id="152" name="TextBox 151">
          <a:hlinkClick xmlns:r="http://schemas.openxmlformats.org/officeDocument/2006/relationships" r:id="rId3"/>
          <a:extLst>
            <a:ext uri="{FF2B5EF4-FFF2-40B4-BE49-F238E27FC236}">
              <a16:creationId xmlns:a16="http://schemas.microsoft.com/office/drawing/2014/main" id="{00000000-0008-0000-0000-000098000000}"/>
            </a:ext>
          </a:extLst>
        </xdr:cNvPr>
        <xdr:cNvSpPr txBox="1"/>
      </xdr:nvSpPr>
      <xdr:spPr>
        <a:xfrm>
          <a:off x="4605618" y="366432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oneCellAnchor>
    <xdr:from>
      <xdr:col>10</xdr:col>
      <xdr:colOff>392206</xdr:colOff>
      <xdr:row>20</xdr:row>
      <xdr:rowOff>89647</xdr:rowOff>
    </xdr:from>
    <xdr:ext cx="1057275" cy="419101"/>
    <xdr:sp macro="" textlink="">
      <xdr:nvSpPr>
        <xdr:cNvPr id="153" name="TextBox 152">
          <a:hlinkClick xmlns:r="http://schemas.openxmlformats.org/officeDocument/2006/relationships" r:id="rId2"/>
          <a:extLst>
            <a:ext uri="{FF2B5EF4-FFF2-40B4-BE49-F238E27FC236}">
              <a16:creationId xmlns:a16="http://schemas.microsoft.com/office/drawing/2014/main" id="{00000000-0008-0000-0000-000099000000}"/>
            </a:ext>
          </a:extLst>
        </xdr:cNvPr>
        <xdr:cNvSpPr txBox="1"/>
      </xdr:nvSpPr>
      <xdr:spPr>
        <a:xfrm>
          <a:off x="6443382" y="441511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FMPLL PHI1</a:t>
          </a:r>
        </a:p>
      </xdr:txBody>
    </xdr:sp>
    <xdr:clientData/>
  </xdr:oneCellAnchor>
  <xdr:twoCellAnchor>
    <xdr:from>
      <xdr:col>7</xdr:col>
      <xdr:colOff>571500</xdr:colOff>
      <xdr:row>57</xdr:row>
      <xdr:rowOff>110985</xdr:rowOff>
    </xdr:from>
    <xdr:to>
      <xdr:col>9</xdr:col>
      <xdr:colOff>54253</xdr:colOff>
      <xdr:row>58</xdr:row>
      <xdr:rowOff>181166</xdr:rowOff>
    </xdr:to>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61891" y="12071072"/>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5</xdr:col>
      <xdr:colOff>579783</xdr:colOff>
      <xdr:row>36</xdr:row>
      <xdr:rowOff>140803</xdr:rowOff>
    </xdr:from>
    <xdr:to>
      <xdr:col>7</xdr:col>
      <xdr:colOff>62536</xdr:colOff>
      <xdr:row>38</xdr:row>
      <xdr:rowOff>12202</xdr:rowOff>
    </xdr:to>
    <xdr:sp macro="" textlink="">
      <xdr:nvSpPr>
        <xdr:cNvPr id="156" name="Rectangle 155">
          <a:extLst>
            <a:ext uri="{FF2B5EF4-FFF2-40B4-BE49-F238E27FC236}">
              <a16:creationId xmlns:a16="http://schemas.microsoft.com/office/drawing/2014/main" id="{00000000-0008-0000-0000-00009C000000}"/>
            </a:ext>
          </a:extLst>
        </xdr:cNvPr>
        <xdr:cNvSpPr/>
      </xdr:nvSpPr>
      <xdr:spPr>
        <a:xfrm>
          <a:off x="3644348" y="7876760"/>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14</xdr:col>
      <xdr:colOff>546653</xdr:colOff>
      <xdr:row>8</xdr:row>
      <xdr:rowOff>115957</xdr:rowOff>
    </xdr:from>
    <xdr:to>
      <xdr:col>16</xdr:col>
      <xdr:colOff>29406</xdr:colOff>
      <xdr:row>9</xdr:row>
      <xdr:rowOff>186138</xdr:rowOff>
    </xdr:to>
    <xdr:sp macro="" textlink="">
      <xdr:nvSpPr>
        <xdr:cNvPr id="159" name="Rectangle 158">
          <a:extLst>
            <a:ext uri="{FF2B5EF4-FFF2-40B4-BE49-F238E27FC236}">
              <a16:creationId xmlns:a16="http://schemas.microsoft.com/office/drawing/2014/main" id="{00000000-0008-0000-0000-00009F000000}"/>
            </a:ext>
          </a:extLst>
        </xdr:cNvPr>
        <xdr:cNvSpPr/>
      </xdr:nvSpPr>
      <xdr:spPr>
        <a:xfrm>
          <a:off x="9127436" y="2112066"/>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/(1+(0..7))</a:t>
          </a:r>
          <a:endParaRPr lang="en-US" sz="750"/>
        </a:p>
      </xdr:txBody>
    </xdr:sp>
    <xdr:clientData/>
  </xdr:twoCellAnchor>
  <xdr:twoCellAnchor>
    <xdr:from>
      <xdr:col>14</xdr:col>
      <xdr:colOff>563217</xdr:colOff>
      <xdr:row>12</xdr:row>
      <xdr:rowOff>107674</xdr:rowOff>
    </xdr:from>
    <xdr:to>
      <xdr:col>16</xdr:col>
      <xdr:colOff>45970</xdr:colOff>
      <xdr:row>13</xdr:row>
      <xdr:rowOff>186137</xdr:rowOff>
    </xdr:to>
    <xdr:sp macro="" textlink="">
      <xdr:nvSpPr>
        <xdr:cNvPr id="161" name="Rectangle 160">
          <a:extLst>
            <a:ext uri="{FF2B5EF4-FFF2-40B4-BE49-F238E27FC236}">
              <a16:creationId xmlns:a16="http://schemas.microsoft.com/office/drawing/2014/main" id="{00000000-0008-0000-0000-0000A1000000}"/>
            </a:ext>
          </a:extLst>
        </xdr:cNvPr>
        <xdr:cNvSpPr/>
      </xdr:nvSpPr>
      <xdr:spPr>
        <a:xfrm>
          <a:off x="9144000" y="2923761"/>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/(1+(0..7))</a:t>
          </a:r>
          <a:endParaRPr lang="en-US" sz="750"/>
        </a:p>
      </xdr:txBody>
    </xdr:sp>
    <xdr:clientData/>
  </xdr:twoCellAnchor>
  <xdr:twoCellAnchor>
    <xdr:from>
      <xdr:col>14</xdr:col>
      <xdr:colOff>566531</xdr:colOff>
      <xdr:row>16</xdr:row>
      <xdr:rowOff>144117</xdr:rowOff>
    </xdr:from>
    <xdr:to>
      <xdr:col>16</xdr:col>
      <xdr:colOff>49284</xdr:colOff>
      <xdr:row>18</xdr:row>
      <xdr:rowOff>7232</xdr:rowOff>
    </xdr:to>
    <xdr:sp macro="" textlink="">
      <xdr:nvSpPr>
        <xdr:cNvPr id="186" name="Rectangle 185">
          <a:extLst>
            <a:ext uri="{FF2B5EF4-FFF2-40B4-BE49-F238E27FC236}">
              <a16:creationId xmlns:a16="http://schemas.microsoft.com/office/drawing/2014/main" id="{00000000-0008-0000-0000-0000BA000000}"/>
            </a:ext>
          </a:extLst>
        </xdr:cNvPr>
        <xdr:cNvSpPr/>
      </xdr:nvSpPr>
      <xdr:spPr>
        <a:xfrm>
          <a:off x="9147314" y="3780182"/>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/(1+(0..7))</a:t>
          </a:r>
          <a:endParaRPr lang="en-US" sz="750"/>
        </a:p>
      </xdr:txBody>
    </xdr:sp>
    <xdr:clientData/>
  </xdr:twoCellAnchor>
  <xdr:twoCellAnchor>
    <xdr:from>
      <xdr:col>14</xdr:col>
      <xdr:colOff>563218</xdr:colOff>
      <xdr:row>19</xdr:row>
      <xdr:rowOff>132522</xdr:rowOff>
    </xdr:from>
    <xdr:to>
      <xdr:col>16</xdr:col>
      <xdr:colOff>45971</xdr:colOff>
      <xdr:row>20</xdr:row>
      <xdr:rowOff>202703</xdr:rowOff>
    </xdr:to>
    <xdr:sp macro="" textlink="">
      <xdr:nvSpPr>
        <xdr:cNvPr id="189" name="Rectangle 188">
          <a:extLst>
            <a:ext uri="{FF2B5EF4-FFF2-40B4-BE49-F238E27FC236}">
              <a16:creationId xmlns:a16="http://schemas.microsoft.com/office/drawing/2014/main" id="{00000000-0008-0000-0000-0000BD000000}"/>
            </a:ext>
          </a:extLst>
        </xdr:cNvPr>
        <xdr:cNvSpPr/>
      </xdr:nvSpPr>
      <xdr:spPr>
        <a:xfrm>
          <a:off x="9144001" y="4389783"/>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/(1+(0..15))</a:t>
          </a:r>
          <a:endParaRPr lang="en-US" sz="750"/>
        </a:p>
      </xdr:txBody>
    </xdr:sp>
    <xdr:clientData/>
  </xdr:twoCellAnchor>
  <mc:AlternateContent xmlns:mc="http://schemas.openxmlformats.org/markup-compatibility/2006">
    <mc:Choice xmlns:a14="http://schemas.microsoft.com/office/drawing/2010/main" Requires="a14">
      <xdr:twoCellAnchor>
        <xdr:from>
          <xdr:col>0</xdr:col>
          <xdr:colOff>518160</xdr:colOff>
          <xdr:row>1</xdr:row>
          <xdr:rowOff>76200</xdr:rowOff>
        </xdr:from>
        <xdr:to>
          <xdr:col>2</xdr:col>
          <xdr:colOff>480060</xdr:colOff>
          <xdr:row>2</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525780</xdr:colOff>
          <xdr:row>3</xdr:row>
          <xdr:rowOff>45720</xdr:rowOff>
        </xdr:from>
        <xdr:to>
          <xdr:col>2</xdr:col>
          <xdr:colOff>480060</xdr:colOff>
          <xdr:row>4</xdr:row>
          <xdr:rowOff>76200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Max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314325</xdr:colOff>
      <xdr:row>3</xdr:row>
      <xdr:rowOff>17859</xdr:rowOff>
    </xdr:from>
    <xdr:to>
      <xdr:col>4</xdr:col>
      <xdr:colOff>314325</xdr:colOff>
      <xdr:row>47</xdr:row>
      <xdr:rowOff>9525</xdr:rowOff>
    </xdr:to>
    <xdr:cxnSp macro="">
      <xdr:nvCxnSpPr>
        <xdr:cNvPr id="2" name="Straight Arrow Connector 1">
          <a:extLst>
            <a:ext uri="{FF2B5EF4-FFF2-40B4-BE49-F238E27FC236}">
              <a16:creationId xmlns:a16="http://schemas.microsoft.com/office/drawing/2014/main" id="{00000000-0008-0000-0100-000002000000}"/>
            </a:ext>
          </a:extLst>
        </xdr:cNvPr>
        <xdr:cNvCxnSpPr/>
      </xdr:nvCxnSpPr>
      <xdr:spPr>
        <a:xfrm>
          <a:off x="2752725" y="617934"/>
          <a:ext cx="0" cy="8840391"/>
        </a:xfrm>
        <a:prstGeom prst="straightConnector1">
          <a:avLst/>
        </a:prstGeom>
        <a:ln w="19050">
          <a:solidFill>
            <a:srgbClr val="0070C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401242</xdr:colOff>
      <xdr:row>0</xdr:row>
      <xdr:rowOff>70247</xdr:rowOff>
    </xdr:from>
    <xdr:ext cx="1057275" cy="419101"/>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222898" y="7024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a:t>
          </a:r>
        </a:p>
      </xdr:txBody>
    </xdr:sp>
    <xdr:clientData/>
  </xdr:oneCellAnchor>
  <xdr:twoCellAnchor>
    <xdr:from>
      <xdr:col>7</xdr:col>
      <xdr:colOff>419100</xdr:colOff>
      <xdr:row>9</xdr:row>
      <xdr:rowOff>0</xdr:rowOff>
    </xdr:from>
    <xdr:to>
      <xdr:col>9</xdr:col>
      <xdr:colOff>202809</xdr:colOff>
      <xdr:row>13</xdr:row>
      <xdr:rowOff>179801</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4686300" y="1743075"/>
          <a:ext cx="1002909" cy="9513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LPU_RUN/LPU_SLEEP Control</a:t>
          </a:r>
        </a:p>
        <a:p>
          <a:pPr algn="ctr"/>
          <a:r>
            <a:rPr lang="en-US" sz="800" baseline="0"/>
            <a:t>FIRC is always on during LPU_RUN and LPU_SLEEP</a:t>
          </a:r>
          <a:endParaRPr lang="en-US" sz="800"/>
        </a:p>
      </xdr:txBody>
    </xdr:sp>
    <xdr:clientData/>
  </xdr:twoCellAnchor>
  <xdr:twoCellAnchor>
    <xdr:from>
      <xdr:col>4</xdr:col>
      <xdr:colOff>304800</xdr:colOff>
      <xdr:row>11</xdr:row>
      <xdr:rowOff>114300</xdr:rowOff>
    </xdr:from>
    <xdr:to>
      <xdr:col>7</xdr:col>
      <xdr:colOff>428625</xdr:colOff>
      <xdr:row>11</xdr:row>
      <xdr:rowOff>114300</xdr:rowOff>
    </xdr:to>
    <xdr:cxnSp macro="">
      <xdr:nvCxnSpPr>
        <xdr:cNvPr id="9" name="Straight Arrow Connector 8">
          <a:extLst>
            <a:ext uri="{FF2B5EF4-FFF2-40B4-BE49-F238E27FC236}">
              <a16:creationId xmlns:a16="http://schemas.microsoft.com/office/drawing/2014/main" id="{00000000-0008-0000-0100-000009000000}"/>
            </a:ext>
          </a:extLst>
        </xdr:cNvPr>
        <xdr:cNvCxnSpPr/>
      </xdr:nvCxnSpPr>
      <xdr:spPr>
        <a:xfrm>
          <a:off x="2743200" y="2247900"/>
          <a:ext cx="1952625"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200025</xdr:colOff>
      <xdr:row>11</xdr:row>
      <xdr:rowOff>95250</xdr:rowOff>
    </xdr:from>
    <xdr:to>
      <xdr:col>12</xdr:col>
      <xdr:colOff>0</xdr:colOff>
      <xdr:row>11</xdr:row>
      <xdr:rowOff>95250</xdr:rowOff>
    </xdr:to>
    <xdr:cxnSp macro="">
      <xdr:nvCxnSpPr>
        <xdr:cNvPr id="11" name="Straight Arrow Connector 10">
          <a:extLst>
            <a:ext uri="{FF2B5EF4-FFF2-40B4-BE49-F238E27FC236}">
              <a16:creationId xmlns:a16="http://schemas.microsoft.com/office/drawing/2014/main" id="{00000000-0008-0000-0100-00000B000000}"/>
            </a:ext>
          </a:extLst>
        </xdr:cNvPr>
        <xdr:cNvCxnSpPr/>
      </xdr:nvCxnSpPr>
      <xdr:spPr>
        <a:xfrm>
          <a:off x="5686425" y="2238375"/>
          <a:ext cx="1628775"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571500</xdr:colOff>
      <xdr:row>10</xdr:row>
      <xdr:rowOff>85725</xdr:rowOff>
    </xdr:from>
    <xdr:ext cx="1510861" cy="419101"/>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7902466" y="2023570"/>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 (LPU_RUN/LPU_SLEEP)</a:t>
          </a:r>
        </a:p>
      </xdr:txBody>
    </xdr:sp>
    <xdr:clientData/>
  </xdr:oneCellAnchor>
  <xdr:twoCellAnchor>
    <xdr:from>
      <xdr:col>7</xdr:col>
      <xdr:colOff>422713</xdr:colOff>
      <xdr:row>25</xdr:row>
      <xdr:rowOff>102476</xdr:rowOff>
    </xdr:from>
    <xdr:to>
      <xdr:col>9</xdr:col>
      <xdr:colOff>206422</xdr:colOff>
      <xdr:row>30</xdr:row>
      <xdr:rowOff>177502</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4689913" y="5150726"/>
          <a:ext cx="1002909" cy="10561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LPU_STOP Control</a:t>
          </a:r>
        </a:p>
        <a:p>
          <a:pPr algn="ctr"/>
          <a:r>
            <a:rPr lang="en-US" sz="800" baseline="0"/>
            <a:t>LPU_STOP_CF[FIRC_ON]</a:t>
          </a:r>
          <a:endParaRPr lang="en-US" sz="800"/>
        </a:p>
      </xdr:txBody>
    </xdr:sp>
    <xdr:clientData/>
  </xdr:twoCellAnchor>
  <xdr:oneCellAnchor>
    <xdr:from>
      <xdr:col>7</xdr:col>
      <xdr:colOff>564930</xdr:colOff>
      <xdr:row>31</xdr:row>
      <xdr:rowOff>180975</xdr:rowOff>
    </xdr:from>
    <xdr:ext cx="926641" cy="381000"/>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4832130" y="644842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 Off</a:t>
          </a:r>
        </a:p>
        <a:p>
          <a:r>
            <a:rPr lang="en-US" sz="800"/>
            <a:t>1 - FIRC</a:t>
          </a:r>
          <a:r>
            <a:rPr lang="en-US" sz="800" baseline="0"/>
            <a:t> On</a:t>
          </a:r>
          <a:endParaRPr lang="en-US" sz="800"/>
        </a:p>
      </xdr:txBody>
    </xdr:sp>
    <xdr:clientData/>
  </xdr:oneCellAnchor>
  <xdr:twoCellAnchor>
    <xdr:from>
      <xdr:col>9</xdr:col>
      <xdr:colOff>221046</xdr:colOff>
      <xdr:row>28</xdr:row>
      <xdr:rowOff>93279</xdr:rowOff>
    </xdr:from>
    <xdr:to>
      <xdr:col>11</xdr:col>
      <xdr:colOff>591207</xdr:colOff>
      <xdr:row>28</xdr:row>
      <xdr:rowOff>93279</xdr:rowOff>
    </xdr:to>
    <xdr:cxnSp macro="">
      <xdr:nvCxnSpPr>
        <xdr:cNvPr id="17" name="Straight Arrow Connector 16">
          <a:extLst>
            <a:ext uri="{FF2B5EF4-FFF2-40B4-BE49-F238E27FC236}">
              <a16:creationId xmlns:a16="http://schemas.microsoft.com/office/drawing/2014/main" id="{00000000-0008-0000-0100-000011000000}"/>
            </a:ext>
          </a:extLst>
        </xdr:cNvPr>
        <xdr:cNvCxnSpPr/>
      </xdr:nvCxnSpPr>
      <xdr:spPr>
        <a:xfrm>
          <a:off x="5707446" y="5713029"/>
          <a:ext cx="158936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559676</xdr:colOff>
      <xdr:row>27</xdr:row>
      <xdr:rowOff>95907</xdr:rowOff>
    </xdr:from>
    <xdr:ext cx="1510861" cy="419101"/>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7874876" y="5506107"/>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 (LPU_STOP)</a:t>
          </a:r>
        </a:p>
      </xdr:txBody>
    </xdr:sp>
    <xdr:clientData/>
  </xdr:oneCellAnchor>
  <xdr:twoCellAnchor>
    <xdr:from>
      <xdr:col>4</xdr:col>
      <xdr:colOff>312683</xdr:colOff>
      <xdr:row>28</xdr:row>
      <xdr:rowOff>100833</xdr:rowOff>
    </xdr:from>
    <xdr:to>
      <xdr:col>7</xdr:col>
      <xdr:colOff>413844</xdr:colOff>
      <xdr:row>28</xdr:row>
      <xdr:rowOff>100833</xdr:rowOff>
    </xdr:to>
    <xdr:cxnSp macro="">
      <xdr:nvCxnSpPr>
        <xdr:cNvPr id="20" name="Straight Arrow Connector 19">
          <a:extLst>
            <a:ext uri="{FF2B5EF4-FFF2-40B4-BE49-F238E27FC236}">
              <a16:creationId xmlns:a16="http://schemas.microsoft.com/office/drawing/2014/main" id="{00000000-0008-0000-0100-000014000000}"/>
            </a:ext>
          </a:extLst>
        </xdr:cNvPr>
        <xdr:cNvCxnSpPr/>
      </xdr:nvCxnSpPr>
      <xdr:spPr>
        <a:xfrm>
          <a:off x="2751083" y="5711058"/>
          <a:ext cx="192996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307428</xdr:colOff>
      <xdr:row>37</xdr:row>
      <xdr:rowOff>110358</xdr:rowOff>
    </xdr:from>
    <xdr:to>
      <xdr:col>7</xdr:col>
      <xdr:colOff>408589</xdr:colOff>
      <xdr:row>37</xdr:row>
      <xdr:rowOff>110358</xdr:rowOff>
    </xdr:to>
    <xdr:cxnSp macro="">
      <xdr:nvCxnSpPr>
        <xdr:cNvPr id="23" name="Straight Arrow Connector 22">
          <a:extLst>
            <a:ext uri="{FF2B5EF4-FFF2-40B4-BE49-F238E27FC236}">
              <a16:creationId xmlns:a16="http://schemas.microsoft.com/office/drawing/2014/main" id="{00000000-0008-0000-0100-000017000000}"/>
            </a:ext>
          </a:extLst>
        </xdr:cNvPr>
        <xdr:cNvCxnSpPr/>
      </xdr:nvCxnSpPr>
      <xdr:spPr>
        <a:xfrm>
          <a:off x="2745828" y="7568433"/>
          <a:ext cx="192996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404320</xdr:colOff>
      <xdr:row>34</xdr:row>
      <xdr:rowOff>67332</xdr:rowOff>
    </xdr:from>
    <xdr:to>
      <xdr:col>9</xdr:col>
      <xdr:colOff>188029</xdr:colOff>
      <xdr:row>39</xdr:row>
      <xdr:rowOff>184727</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4671520" y="6963432"/>
          <a:ext cx="1002909" cy="10698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LPU_STANDBY Control</a:t>
          </a:r>
        </a:p>
        <a:p>
          <a:pPr algn="ctr"/>
          <a:r>
            <a:rPr lang="en-US" sz="800" baseline="0"/>
            <a:t>LPU_STANDBY_CF[FIRC_ON]</a:t>
          </a:r>
          <a:endParaRPr lang="en-US" sz="800"/>
        </a:p>
      </xdr:txBody>
    </xdr:sp>
    <xdr:clientData/>
  </xdr:twoCellAnchor>
  <xdr:oneCellAnchor>
    <xdr:from>
      <xdr:col>7</xdr:col>
      <xdr:colOff>579382</xdr:colOff>
      <xdr:row>41</xdr:row>
      <xdr:rowOff>26275</xdr:rowOff>
    </xdr:from>
    <xdr:ext cx="926641" cy="381000"/>
    <xdr:sp macro="" textlink="">
      <xdr:nvSpPr>
        <xdr:cNvPr id="25" name="TextBox 24">
          <a:extLst>
            <a:ext uri="{FF2B5EF4-FFF2-40B4-BE49-F238E27FC236}">
              <a16:creationId xmlns:a16="http://schemas.microsoft.com/office/drawing/2014/main" id="{00000000-0008-0000-0100-000019000000}"/>
            </a:ext>
          </a:extLst>
        </xdr:cNvPr>
        <xdr:cNvSpPr txBox="1"/>
      </xdr:nvSpPr>
      <xdr:spPr>
        <a:xfrm>
          <a:off x="4846582" y="829397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 Off</a:t>
          </a:r>
        </a:p>
        <a:p>
          <a:r>
            <a:rPr lang="en-US" sz="800"/>
            <a:t>1 - FIRC</a:t>
          </a:r>
          <a:r>
            <a:rPr lang="en-US" sz="800" baseline="0"/>
            <a:t> On</a:t>
          </a:r>
          <a:endParaRPr lang="en-US" sz="800"/>
        </a:p>
      </xdr:txBody>
    </xdr:sp>
    <xdr:clientData/>
  </xdr:oneCellAnchor>
  <xdr:twoCellAnchor>
    <xdr:from>
      <xdr:col>9</xdr:col>
      <xdr:colOff>201339</xdr:colOff>
      <xdr:row>37</xdr:row>
      <xdr:rowOff>93280</xdr:rowOff>
    </xdr:from>
    <xdr:to>
      <xdr:col>11</xdr:col>
      <xdr:colOff>571500</xdr:colOff>
      <xdr:row>37</xdr:row>
      <xdr:rowOff>93280</xdr:rowOff>
    </xdr:to>
    <xdr:cxnSp macro="">
      <xdr:nvCxnSpPr>
        <xdr:cNvPr id="26" name="Straight Arrow Connector 25">
          <a:extLst>
            <a:ext uri="{FF2B5EF4-FFF2-40B4-BE49-F238E27FC236}">
              <a16:creationId xmlns:a16="http://schemas.microsoft.com/office/drawing/2014/main" id="{00000000-0008-0000-0100-00001A000000}"/>
            </a:ext>
          </a:extLst>
        </xdr:cNvPr>
        <xdr:cNvCxnSpPr/>
      </xdr:nvCxnSpPr>
      <xdr:spPr>
        <a:xfrm>
          <a:off x="5687739" y="7560880"/>
          <a:ext cx="158936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593835</xdr:colOff>
      <xdr:row>36</xdr:row>
      <xdr:rowOff>94266</xdr:rowOff>
    </xdr:from>
    <xdr:ext cx="1600199" cy="419101"/>
    <xdr:sp macro="" textlink="">
      <xdr:nvSpPr>
        <xdr:cNvPr id="27" name="TextBox 26">
          <a:extLst>
            <a:ext uri="{FF2B5EF4-FFF2-40B4-BE49-F238E27FC236}">
              <a16:creationId xmlns:a16="http://schemas.microsoft.com/office/drawing/2014/main" id="{00000000-0008-0000-0100-00001B000000}"/>
            </a:ext>
          </a:extLst>
        </xdr:cNvPr>
        <xdr:cNvSpPr txBox="1"/>
      </xdr:nvSpPr>
      <xdr:spPr>
        <a:xfrm>
          <a:off x="7909035" y="7352316"/>
          <a:ext cx="1600199"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a:t>
          </a:r>
          <a:r>
            <a:rPr lang="en-US" sz="1000" b="1" baseline="0"/>
            <a:t> </a:t>
          </a:r>
          <a:r>
            <a:rPr lang="en-US" sz="1000" b="1"/>
            <a:t>(LPU_STANDBY)</a:t>
          </a:r>
        </a:p>
      </xdr:txBody>
    </xdr:sp>
    <xdr:clientData/>
  </xdr:oneCellAnchor>
  <xdr:oneCellAnchor>
    <xdr:from>
      <xdr:col>17</xdr:col>
      <xdr:colOff>376278</xdr:colOff>
      <xdr:row>0</xdr:row>
      <xdr:rowOff>90119</xdr:rowOff>
    </xdr:from>
    <xdr:ext cx="1057275" cy="419101"/>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10698997" y="9011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twoCellAnchor>
    <xdr:from>
      <xdr:col>18</xdr:col>
      <xdr:colOff>302173</xdr:colOff>
      <xdr:row>3</xdr:row>
      <xdr:rowOff>17862</xdr:rowOff>
    </xdr:from>
    <xdr:to>
      <xdr:col>18</xdr:col>
      <xdr:colOff>302173</xdr:colOff>
      <xdr:row>84</xdr:row>
      <xdr:rowOff>95250</xdr:rowOff>
    </xdr:to>
    <xdr:cxnSp macro="">
      <xdr:nvCxnSpPr>
        <xdr:cNvPr id="21" name="Straight Arrow Connector 20">
          <a:extLst>
            <a:ext uri="{FF2B5EF4-FFF2-40B4-BE49-F238E27FC236}">
              <a16:creationId xmlns:a16="http://schemas.microsoft.com/office/drawing/2014/main" id="{00000000-0008-0000-0100-000015000000}"/>
            </a:ext>
          </a:extLst>
        </xdr:cNvPr>
        <xdr:cNvCxnSpPr/>
      </xdr:nvCxnSpPr>
      <xdr:spPr>
        <a:xfrm flipV="1">
          <a:off x="11274973" y="617937"/>
          <a:ext cx="0" cy="16469913"/>
        </a:xfrm>
        <a:prstGeom prst="straightConnector1">
          <a:avLst/>
        </a:prstGeom>
        <a:ln w="19050">
          <a:solidFill>
            <a:srgbClr val="FF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299585</xdr:colOff>
      <xdr:row>11</xdr:row>
      <xdr:rowOff>112986</xdr:rowOff>
    </xdr:from>
    <xdr:to>
      <xdr:col>21</xdr:col>
      <xdr:colOff>423410</xdr:colOff>
      <xdr:row>11</xdr:row>
      <xdr:rowOff>112986</xdr:rowOff>
    </xdr:to>
    <xdr:cxnSp macro="">
      <xdr:nvCxnSpPr>
        <xdr:cNvPr id="22" name="Straight Arrow Connector 21">
          <a:extLst>
            <a:ext uri="{FF2B5EF4-FFF2-40B4-BE49-F238E27FC236}">
              <a16:creationId xmlns:a16="http://schemas.microsoft.com/office/drawing/2014/main" id="{00000000-0008-0000-0100-000016000000}"/>
            </a:ext>
          </a:extLst>
        </xdr:cNvPr>
        <xdr:cNvCxnSpPr/>
      </xdr:nvCxnSpPr>
      <xdr:spPr>
        <a:xfrm>
          <a:off x="11296033" y="2247900"/>
          <a:ext cx="195656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433550</xdr:colOff>
      <xdr:row>9</xdr:row>
      <xdr:rowOff>6569</xdr:rowOff>
    </xdr:from>
    <xdr:to>
      <xdr:col>23</xdr:col>
      <xdr:colOff>217259</xdr:colOff>
      <xdr:row>13</xdr:row>
      <xdr:rowOff>186370</xdr:rowOff>
    </xdr:to>
    <xdr:sp macro="" textlink="">
      <xdr:nvSpPr>
        <xdr:cNvPr id="28" name="Rectangle 27">
          <a:extLst>
            <a:ext uri="{FF2B5EF4-FFF2-40B4-BE49-F238E27FC236}">
              <a16:creationId xmlns:a16="http://schemas.microsoft.com/office/drawing/2014/main" id="{00000000-0008-0000-0100-00001C000000}"/>
            </a:ext>
          </a:extLst>
        </xdr:cNvPr>
        <xdr:cNvSpPr/>
      </xdr:nvSpPr>
      <xdr:spPr>
        <a:xfrm>
          <a:off x="13262740" y="1747345"/>
          <a:ext cx="1005536" cy="9812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LPU_RUN/LPU_SLEEP Control</a:t>
          </a:r>
        </a:p>
        <a:p>
          <a:pPr algn="ctr"/>
          <a:r>
            <a:rPr lang="en-US" sz="800" baseline="0"/>
            <a:t>LPU_RUN_CF[FXOSC_ON]</a:t>
          </a:r>
          <a:endParaRPr lang="en-US" sz="800"/>
        </a:p>
      </xdr:txBody>
    </xdr:sp>
    <xdr:clientData/>
  </xdr:twoCellAnchor>
  <xdr:oneCellAnchor>
    <xdr:from>
      <xdr:col>21</xdr:col>
      <xdr:colOff>545224</xdr:colOff>
      <xdr:row>14</xdr:row>
      <xdr:rowOff>197070</xdr:rowOff>
    </xdr:from>
    <xdr:ext cx="926641" cy="381000"/>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13374414" y="2936329"/>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twoCellAnchor>
    <xdr:from>
      <xdr:col>23</xdr:col>
      <xdr:colOff>228655</xdr:colOff>
      <xdr:row>11</xdr:row>
      <xdr:rowOff>114300</xdr:rowOff>
    </xdr:from>
    <xdr:to>
      <xdr:col>26</xdr:col>
      <xdr:colOff>604345</xdr:colOff>
      <xdr:row>11</xdr:row>
      <xdr:rowOff>114300</xdr:rowOff>
    </xdr:to>
    <xdr:cxnSp macro="">
      <xdr:nvCxnSpPr>
        <xdr:cNvPr id="30" name="Straight Arrow Connector 29">
          <a:extLst>
            <a:ext uri="{FF2B5EF4-FFF2-40B4-BE49-F238E27FC236}">
              <a16:creationId xmlns:a16="http://schemas.microsoft.com/office/drawing/2014/main" id="{00000000-0008-0000-0100-00001E000000}"/>
            </a:ext>
          </a:extLst>
        </xdr:cNvPr>
        <xdr:cNvCxnSpPr/>
      </xdr:nvCxnSpPr>
      <xdr:spPr>
        <a:xfrm>
          <a:off x="14279672" y="2249214"/>
          <a:ext cx="2208432"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7883</xdr:colOff>
      <xdr:row>10</xdr:row>
      <xdr:rowOff>93608</xdr:rowOff>
    </xdr:from>
    <xdr:ext cx="1510861" cy="419101"/>
    <xdr:sp macro="" textlink="">
      <xdr:nvSpPr>
        <xdr:cNvPr id="31" name="TextBox 30">
          <a:extLst>
            <a:ext uri="{FF2B5EF4-FFF2-40B4-BE49-F238E27FC236}">
              <a16:creationId xmlns:a16="http://schemas.microsoft.com/office/drawing/2014/main" id="{00000000-0008-0000-0100-00001F000000}"/>
            </a:ext>
          </a:extLst>
        </xdr:cNvPr>
        <xdr:cNvSpPr txBox="1"/>
      </xdr:nvSpPr>
      <xdr:spPr>
        <a:xfrm>
          <a:off x="17113469" y="2031453"/>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(LPU_RUN/LPU_SLEEP)</a:t>
          </a:r>
        </a:p>
      </xdr:txBody>
    </xdr:sp>
    <xdr:clientData/>
  </xdr:oneCellAnchor>
  <xdr:twoCellAnchor>
    <xdr:from>
      <xdr:col>18</xdr:col>
      <xdr:colOff>294330</xdr:colOff>
      <xdr:row>19</xdr:row>
      <xdr:rowOff>68320</xdr:rowOff>
    </xdr:from>
    <xdr:to>
      <xdr:col>21</xdr:col>
      <xdr:colOff>418155</xdr:colOff>
      <xdr:row>19</xdr:row>
      <xdr:rowOff>68320</xdr:rowOff>
    </xdr:to>
    <xdr:cxnSp macro="">
      <xdr:nvCxnSpPr>
        <xdr:cNvPr id="32" name="Straight Arrow Connector 31">
          <a:extLst>
            <a:ext uri="{FF2B5EF4-FFF2-40B4-BE49-F238E27FC236}">
              <a16:creationId xmlns:a16="http://schemas.microsoft.com/office/drawing/2014/main" id="{00000000-0008-0000-0100-000020000000}"/>
            </a:ext>
          </a:extLst>
        </xdr:cNvPr>
        <xdr:cNvCxnSpPr/>
      </xdr:nvCxnSpPr>
      <xdr:spPr>
        <a:xfrm>
          <a:off x="11290778" y="3812630"/>
          <a:ext cx="195656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442420</xdr:colOff>
      <xdr:row>16</xdr:row>
      <xdr:rowOff>163240</xdr:rowOff>
    </xdr:from>
    <xdr:to>
      <xdr:col>23</xdr:col>
      <xdr:colOff>226129</xdr:colOff>
      <xdr:row>21</xdr:row>
      <xdr:rowOff>200165</xdr:rowOff>
    </xdr:to>
    <xdr:sp macro="" textlink="">
      <xdr:nvSpPr>
        <xdr:cNvPr id="33" name="Rectangle 32">
          <a:extLst>
            <a:ext uri="{FF2B5EF4-FFF2-40B4-BE49-F238E27FC236}">
              <a16:creationId xmlns:a16="http://schemas.microsoft.com/office/drawing/2014/main" id="{00000000-0008-0000-0100-000021000000}"/>
            </a:ext>
          </a:extLst>
        </xdr:cNvPr>
        <xdr:cNvSpPr/>
      </xdr:nvSpPr>
      <xdr:spPr>
        <a:xfrm>
          <a:off x="13271610" y="3309774"/>
          <a:ext cx="1005536" cy="10288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LPU_STOP Control</a:t>
          </a:r>
        </a:p>
        <a:p>
          <a:pPr algn="ctr"/>
          <a:r>
            <a:rPr lang="en-US" sz="800" baseline="0"/>
            <a:t>LPU_STOP_CF[FXOSC_ON]</a:t>
          </a:r>
          <a:endParaRPr lang="en-US" sz="800"/>
        </a:p>
      </xdr:txBody>
    </xdr:sp>
    <xdr:clientData/>
  </xdr:twoCellAnchor>
  <xdr:oneCellAnchor>
    <xdr:from>
      <xdr:col>21</xdr:col>
      <xdr:colOff>553106</xdr:colOff>
      <xdr:row>22</xdr:row>
      <xdr:rowOff>172108</xdr:rowOff>
    </xdr:from>
    <xdr:ext cx="926641" cy="381000"/>
    <xdr:sp macro="" textlink="">
      <xdr:nvSpPr>
        <xdr:cNvPr id="34" name="TextBox 33">
          <a:extLst>
            <a:ext uri="{FF2B5EF4-FFF2-40B4-BE49-F238E27FC236}">
              <a16:creationId xmlns:a16="http://schemas.microsoft.com/office/drawing/2014/main" id="{00000000-0008-0000-0100-000022000000}"/>
            </a:ext>
          </a:extLst>
        </xdr:cNvPr>
        <xdr:cNvSpPr txBox="1"/>
      </xdr:nvSpPr>
      <xdr:spPr>
        <a:xfrm>
          <a:off x="13382296" y="4520763"/>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twoCellAnchor>
    <xdr:from>
      <xdr:col>23</xdr:col>
      <xdr:colOff>229968</xdr:colOff>
      <xdr:row>19</xdr:row>
      <xdr:rowOff>69632</xdr:rowOff>
    </xdr:from>
    <xdr:to>
      <xdr:col>26</xdr:col>
      <xdr:colOff>605658</xdr:colOff>
      <xdr:row>19</xdr:row>
      <xdr:rowOff>69632</xdr:rowOff>
    </xdr:to>
    <xdr:cxnSp macro="">
      <xdr:nvCxnSpPr>
        <xdr:cNvPr id="35" name="Straight Arrow Connector 34">
          <a:extLst>
            <a:ext uri="{FF2B5EF4-FFF2-40B4-BE49-F238E27FC236}">
              <a16:creationId xmlns:a16="http://schemas.microsoft.com/office/drawing/2014/main" id="{00000000-0008-0000-0100-000023000000}"/>
            </a:ext>
          </a:extLst>
        </xdr:cNvPr>
        <xdr:cNvCxnSpPr/>
      </xdr:nvCxnSpPr>
      <xdr:spPr>
        <a:xfrm>
          <a:off x="14280985" y="3813942"/>
          <a:ext cx="2208432"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579383</xdr:colOff>
      <xdr:row>18</xdr:row>
      <xdr:rowOff>106746</xdr:rowOff>
    </xdr:from>
    <xdr:ext cx="1510861" cy="419101"/>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7074055" y="3640849"/>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(LPU_STOP)</a:t>
          </a:r>
        </a:p>
      </xdr:txBody>
    </xdr:sp>
    <xdr:clientData/>
  </xdr:oneCellAnchor>
  <xdr:twoCellAnchor>
    <xdr:from>
      <xdr:col>18</xdr:col>
      <xdr:colOff>295644</xdr:colOff>
      <xdr:row>28</xdr:row>
      <xdr:rowOff>201013</xdr:rowOff>
    </xdr:from>
    <xdr:to>
      <xdr:col>21</xdr:col>
      <xdr:colOff>419469</xdr:colOff>
      <xdr:row>28</xdr:row>
      <xdr:rowOff>201013</xdr:rowOff>
    </xdr:to>
    <xdr:cxnSp macro="">
      <xdr:nvCxnSpPr>
        <xdr:cNvPr id="37" name="Straight Arrow Connector 36">
          <a:extLst>
            <a:ext uri="{FF2B5EF4-FFF2-40B4-BE49-F238E27FC236}">
              <a16:creationId xmlns:a16="http://schemas.microsoft.com/office/drawing/2014/main" id="{00000000-0008-0000-0100-000025000000}"/>
            </a:ext>
          </a:extLst>
        </xdr:cNvPr>
        <xdr:cNvCxnSpPr/>
      </xdr:nvCxnSpPr>
      <xdr:spPr>
        <a:xfrm>
          <a:off x="11292092" y="5751789"/>
          <a:ext cx="195656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437165</xdr:colOff>
      <xdr:row>26</xdr:row>
      <xdr:rowOff>131708</xdr:rowOff>
    </xdr:from>
    <xdr:to>
      <xdr:col>23</xdr:col>
      <xdr:colOff>220874</xdr:colOff>
      <xdr:row>31</xdr:row>
      <xdr:rowOff>194909</xdr:rowOff>
    </xdr:to>
    <xdr:sp macro="" textlink="">
      <xdr:nvSpPr>
        <xdr:cNvPr id="38" name="Rectangle 37">
          <a:extLst>
            <a:ext uri="{FF2B5EF4-FFF2-40B4-BE49-F238E27FC236}">
              <a16:creationId xmlns:a16="http://schemas.microsoft.com/office/drawing/2014/main" id="{00000000-0008-0000-0100-000026000000}"/>
            </a:ext>
          </a:extLst>
        </xdr:cNvPr>
        <xdr:cNvSpPr/>
      </xdr:nvSpPr>
      <xdr:spPr>
        <a:xfrm>
          <a:off x="13266355" y="5294915"/>
          <a:ext cx="1005536" cy="10551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LPU_STANDBY Control</a:t>
          </a:r>
        </a:p>
        <a:p>
          <a:pPr algn="ctr"/>
          <a:r>
            <a:rPr lang="en-US" sz="800" baseline="0"/>
            <a:t>LPU_STANDBY_CF[FXOSC_ON]</a:t>
          </a:r>
          <a:endParaRPr lang="en-US" sz="800"/>
        </a:p>
      </xdr:txBody>
    </xdr:sp>
    <xdr:clientData/>
  </xdr:twoCellAnchor>
  <xdr:twoCellAnchor>
    <xdr:from>
      <xdr:col>23</xdr:col>
      <xdr:colOff>237850</xdr:colOff>
      <xdr:row>29</xdr:row>
      <xdr:rowOff>103790</xdr:rowOff>
    </xdr:from>
    <xdr:to>
      <xdr:col>27</xdr:col>
      <xdr:colOff>2627</xdr:colOff>
      <xdr:row>29</xdr:row>
      <xdr:rowOff>103790</xdr:rowOff>
    </xdr:to>
    <xdr:cxnSp macro="">
      <xdr:nvCxnSpPr>
        <xdr:cNvPr id="39" name="Straight Arrow Connector 38">
          <a:extLst>
            <a:ext uri="{FF2B5EF4-FFF2-40B4-BE49-F238E27FC236}">
              <a16:creationId xmlns:a16="http://schemas.microsoft.com/office/drawing/2014/main" id="{00000000-0008-0000-0100-000027000000}"/>
            </a:ext>
          </a:extLst>
        </xdr:cNvPr>
        <xdr:cNvCxnSpPr/>
      </xdr:nvCxnSpPr>
      <xdr:spPr>
        <a:xfrm>
          <a:off x="14288867" y="5864773"/>
          <a:ext cx="2208432"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546537</xdr:colOff>
      <xdr:row>32</xdr:row>
      <xdr:rowOff>191815</xdr:rowOff>
    </xdr:from>
    <xdr:ext cx="926641" cy="381000"/>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13375727" y="6557143"/>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oneCellAnchor>
    <xdr:from>
      <xdr:col>27</xdr:col>
      <xdr:colOff>567560</xdr:colOff>
      <xdr:row>28</xdr:row>
      <xdr:rowOff>101492</xdr:rowOff>
    </xdr:from>
    <xdr:ext cx="1738147" cy="419101"/>
    <xdr:sp macro="" textlink="">
      <xdr:nvSpPr>
        <xdr:cNvPr id="41" name="TextBox 40">
          <a:extLst>
            <a:ext uri="{FF2B5EF4-FFF2-40B4-BE49-F238E27FC236}">
              <a16:creationId xmlns:a16="http://schemas.microsoft.com/office/drawing/2014/main" id="{00000000-0008-0000-0100-000029000000}"/>
            </a:ext>
          </a:extLst>
        </xdr:cNvPr>
        <xdr:cNvSpPr txBox="1"/>
      </xdr:nvSpPr>
      <xdr:spPr>
        <a:xfrm>
          <a:off x="17062232" y="5652268"/>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(LPU_STANDBY)</a:t>
          </a:r>
        </a:p>
      </xdr:txBody>
    </xdr:sp>
    <xdr:clientData/>
  </xdr:oneCellAnchor>
  <xdr:twoCellAnchor>
    <xdr:from>
      <xdr:col>4</xdr:col>
      <xdr:colOff>320278</xdr:colOff>
      <xdr:row>5</xdr:row>
      <xdr:rowOff>116681</xdr:rowOff>
    </xdr:from>
    <xdr:to>
      <xdr:col>7</xdr:col>
      <xdr:colOff>416719</xdr:colOff>
      <xdr:row>5</xdr:row>
      <xdr:rowOff>116681</xdr:rowOff>
    </xdr:to>
    <xdr:cxnSp macro="">
      <xdr:nvCxnSpPr>
        <xdr:cNvPr id="86" name="Straight Arrow Connector 85">
          <a:extLst>
            <a:ext uri="{FF2B5EF4-FFF2-40B4-BE49-F238E27FC236}">
              <a16:creationId xmlns:a16="http://schemas.microsoft.com/office/drawing/2014/main" id="{00000000-0008-0000-0100-000056000000}"/>
            </a:ext>
          </a:extLst>
        </xdr:cNvPr>
        <xdr:cNvCxnSpPr/>
      </xdr:nvCxnSpPr>
      <xdr:spPr>
        <a:xfrm>
          <a:off x="2749153" y="1110853"/>
          <a:ext cx="1918097"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417909</xdr:colOff>
      <xdr:row>2</xdr:row>
      <xdr:rowOff>183356</xdr:rowOff>
    </xdr:from>
    <xdr:to>
      <xdr:col>9</xdr:col>
      <xdr:colOff>201618</xdr:colOff>
      <xdr:row>7</xdr:row>
      <xdr:rowOff>196469</xdr:rowOff>
    </xdr:to>
    <xdr:sp macro="" textlink="">
      <xdr:nvSpPr>
        <xdr:cNvPr id="87" name="Rectangle 86">
          <a:extLst>
            <a:ext uri="{FF2B5EF4-FFF2-40B4-BE49-F238E27FC236}">
              <a16:creationId xmlns:a16="http://schemas.microsoft.com/office/drawing/2014/main" id="{00000000-0008-0000-0100-000057000000}"/>
            </a:ext>
          </a:extLst>
        </xdr:cNvPr>
        <xdr:cNvSpPr/>
      </xdr:nvSpPr>
      <xdr:spPr>
        <a:xfrm>
          <a:off x="4668440" y="576262"/>
          <a:ext cx="998147" cy="9953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 Mode Control</a:t>
          </a:r>
          <a:endParaRPr lang="en-US" sz="800" baseline="0"/>
        </a:p>
        <a:p>
          <a:pPr algn="ctr"/>
          <a:r>
            <a:rPr lang="en-US" sz="800"/>
            <a:t>FIRC</a:t>
          </a:r>
          <a:r>
            <a:rPr lang="en-US" sz="800" baseline="0"/>
            <a:t> always enabled in run modes</a:t>
          </a:r>
          <a:endParaRPr lang="en-US" sz="800"/>
        </a:p>
      </xdr:txBody>
    </xdr:sp>
    <xdr:clientData/>
  </xdr:twoCellAnchor>
  <xdr:twoCellAnchor>
    <xdr:from>
      <xdr:col>9</xdr:col>
      <xdr:colOff>216694</xdr:colOff>
      <xdr:row>5</xdr:row>
      <xdr:rowOff>108347</xdr:rowOff>
    </xdr:from>
    <xdr:to>
      <xdr:col>11</xdr:col>
      <xdr:colOff>601266</xdr:colOff>
      <xdr:row>5</xdr:row>
      <xdr:rowOff>108347</xdr:rowOff>
    </xdr:to>
    <xdr:cxnSp macro="">
      <xdr:nvCxnSpPr>
        <xdr:cNvPr id="89" name="Straight Arrow Connector 88">
          <a:extLst>
            <a:ext uri="{FF2B5EF4-FFF2-40B4-BE49-F238E27FC236}">
              <a16:creationId xmlns:a16="http://schemas.microsoft.com/office/drawing/2014/main" id="{00000000-0008-0000-0100-000059000000}"/>
            </a:ext>
          </a:extLst>
        </xdr:cNvPr>
        <xdr:cNvCxnSpPr/>
      </xdr:nvCxnSpPr>
      <xdr:spPr>
        <a:xfrm>
          <a:off x="5681663" y="1102519"/>
          <a:ext cx="1599009"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571500</xdr:colOff>
      <xdr:row>4</xdr:row>
      <xdr:rowOff>89297</xdr:rowOff>
    </xdr:from>
    <xdr:ext cx="2333625" cy="419101"/>
    <xdr:sp macro="" textlink="">
      <xdr:nvSpPr>
        <xdr:cNvPr id="91" name="TextBox 90">
          <a:extLst>
            <a:ext uri="{FF2B5EF4-FFF2-40B4-BE49-F238E27FC236}">
              <a16:creationId xmlns:a16="http://schemas.microsoft.com/office/drawing/2014/main" id="{00000000-0008-0000-0100-00005B000000}"/>
            </a:ext>
          </a:extLst>
        </xdr:cNvPr>
        <xdr:cNvSpPr txBox="1"/>
      </xdr:nvSpPr>
      <xdr:spPr>
        <a:xfrm>
          <a:off x="7886700" y="898922"/>
          <a:ext cx="233362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 (Run Modes/RESET/SAFE)</a:t>
          </a:r>
        </a:p>
      </xdr:txBody>
    </xdr:sp>
    <xdr:clientData/>
  </xdr:oneCellAnchor>
  <xdr:twoCellAnchor>
    <xdr:from>
      <xdr:col>21</xdr:col>
      <xdr:colOff>422671</xdr:colOff>
      <xdr:row>0</xdr:row>
      <xdr:rowOff>166688</xdr:rowOff>
    </xdr:from>
    <xdr:to>
      <xdr:col>23</xdr:col>
      <xdr:colOff>206381</xdr:colOff>
      <xdr:row>5</xdr:row>
      <xdr:rowOff>188136</xdr:rowOff>
    </xdr:to>
    <xdr:sp macro="" textlink="">
      <xdr:nvSpPr>
        <xdr:cNvPr id="93" name="Rectangle 92">
          <a:extLst>
            <a:ext uri="{FF2B5EF4-FFF2-40B4-BE49-F238E27FC236}">
              <a16:creationId xmlns:a16="http://schemas.microsoft.com/office/drawing/2014/main" id="{00000000-0008-0000-0100-00005D000000}"/>
            </a:ext>
          </a:extLst>
        </xdr:cNvPr>
        <xdr:cNvSpPr/>
      </xdr:nvSpPr>
      <xdr:spPr>
        <a:xfrm>
          <a:off x="13174265" y="166688"/>
          <a:ext cx="998147" cy="10275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DRUN Control</a:t>
          </a:r>
          <a:endParaRPr lang="en-US" sz="800" baseline="0"/>
        </a:p>
        <a:p>
          <a:pPr algn="ctr"/>
          <a:r>
            <a:rPr lang="en-US" sz="800"/>
            <a:t>MC_ME_DRUN_ME[FXOSCON]</a:t>
          </a:r>
        </a:p>
      </xdr:txBody>
    </xdr:sp>
    <xdr:clientData/>
  </xdr:twoCellAnchor>
  <xdr:oneCellAnchor>
    <xdr:from>
      <xdr:col>21</xdr:col>
      <xdr:colOff>539475</xdr:colOff>
      <xdr:row>6</xdr:row>
      <xdr:rowOff>191938</xdr:rowOff>
    </xdr:from>
    <xdr:ext cx="926641" cy="381000"/>
    <xdr:sp macro="" textlink="">
      <xdr:nvSpPr>
        <xdr:cNvPr id="94" name="TextBox 93">
          <a:extLst>
            <a:ext uri="{FF2B5EF4-FFF2-40B4-BE49-F238E27FC236}">
              <a16:creationId xmlns:a16="http://schemas.microsoft.com/office/drawing/2014/main" id="{00000000-0008-0000-0100-00005E000000}"/>
            </a:ext>
          </a:extLst>
        </xdr:cNvPr>
        <xdr:cNvSpPr txBox="1"/>
      </xdr:nvSpPr>
      <xdr:spPr>
        <a:xfrm>
          <a:off x="13291069" y="1406376"/>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twoCellAnchor>
    <xdr:from>
      <xdr:col>18</xdr:col>
      <xdr:colOff>306564</xdr:colOff>
      <xdr:row>4</xdr:row>
      <xdr:rowOff>110728</xdr:rowOff>
    </xdr:from>
    <xdr:to>
      <xdr:col>21</xdr:col>
      <xdr:colOff>386953</xdr:colOff>
      <xdr:row>4</xdr:row>
      <xdr:rowOff>110728</xdr:rowOff>
    </xdr:to>
    <xdr:cxnSp macro="">
      <xdr:nvCxnSpPr>
        <xdr:cNvPr id="95" name="Straight Arrow Connector 94">
          <a:extLst>
            <a:ext uri="{FF2B5EF4-FFF2-40B4-BE49-F238E27FC236}">
              <a16:creationId xmlns:a16="http://schemas.microsoft.com/office/drawing/2014/main" id="{00000000-0008-0000-0100-00005F000000}"/>
            </a:ext>
          </a:extLst>
        </xdr:cNvPr>
        <xdr:cNvCxnSpPr/>
      </xdr:nvCxnSpPr>
      <xdr:spPr>
        <a:xfrm>
          <a:off x="11236502" y="914400"/>
          <a:ext cx="190204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230297</xdr:colOff>
      <xdr:row>4</xdr:row>
      <xdr:rowOff>88229</xdr:rowOff>
    </xdr:from>
    <xdr:to>
      <xdr:col>26</xdr:col>
      <xdr:colOff>605987</xdr:colOff>
      <xdr:row>4</xdr:row>
      <xdr:rowOff>88229</xdr:rowOff>
    </xdr:to>
    <xdr:cxnSp macro="">
      <xdr:nvCxnSpPr>
        <xdr:cNvPr id="98" name="Straight Arrow Connector 97">
          <a:extLst>
            <a:ext uri="{FF2B5EF4-FFF2-40B4-BE49-F238E27FC236}">
              <a16:creationId xmlns:a16="http://schemas.microsoft.com/office/drawing/2014/main" id="{00000000-0008-0000-0100-000062000000}"/>
            </a:ext>
          </a:extLst>
        </xdr:cNvPr>
        <xdr:cNvCxnSpPr/>
      </xdr:nvCxnSpPr>
      <xdr:spPr>
        <a:xfrm>
          <a:off x="14196328" y="891901"/>
          <a:ext cx="219734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587593</xdr:colOff>
      <xdr:row>3</xdr:row>
      <xdr:rowOff>96687</xdr:rowOff>
    </xdr:from>
    <xdr:ext cx="2250857" cy="419101"/>
    <xdr:sp macro="" textlink="">
      <xdr:nvSpPr>
        <xdr:cNvPr id="99" name="TextBox 98">
          <a:extLst>
            <a:ext uri="{FF2B5EF4-FFF2-40B4-BE49-F238E27FC236}">
              <a16:creationId xmlns:a16="http://schemas.microsoft.com/office/drawing/2014/main" id="{00000000-0008-0000-0100-000063000000}"/>
            </a:ext>
          </a:extLst>
        </xdr:cNvPr>
        <xdr:cNvSpPr txBox="1"/>
      </xdr:nvSpPr>
      <xdr:spPr>
        <a:xfrm>
          <a:off x="17046793" y="696762"/>
          <a:ext cx="225085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(DRUN)</a:t>
          </a:r>
        </a:p>
      </xdr:txBody>
    </xdr:sp>
    <xdr:clientData/>
  </xdr:oneCellAnchor>
  <xdr:oneCellAnchor>
    <xdr:from>
      <xdr:col>9</xdr:col>
      <xdr:colOff>537882</xdr:colOff>
      <xdr:row>0</xdr:row>
      <xdr:rowOff>56030</xdr:rowOff>
    </xdr:from>
    <xdr:ext cx="4840942" cy="895348"/>
    <xdr:sp macro="" textlink="">
      <xdr:nvSpPr>
        <xdr:cNvPr id="88" name="TextBox 87">
          <a:extLst>
            <a:ext uri="{FF2B5EF4-FFF2-40B4-BE49-F238E27FC236}">
              <a16:creationId xmlns:a16="http://schemas.microsoft.com/office/drawing/2014/main" id="{00000000-0008-0000-0100-000058000000}"/>
            </a:ext>
          </a:extLst>
        </xdr:cNvPr>
        <xdr:cNvSpPr txBox="1"/>
      </xdr:nvSpPr>
      <xdr:spPr>
        <a:xfrm>
          <a:off x="5983941" y="56030"/>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MPC574xG</a:t>
          </a:r>
          <a:r>
            <a:rPr lang="en-US" sz="2800" b="1" baseline="0"/>
            <a:t> Source Control</a:t>
          </a:r>
          <a:endParaRPr lang="en-US" sz="2800" b="1"/>
        </a:p>
      </xdr:txBody>
    </xdr:sp>
    <xdr:clientData/>
  </xdr:oneCellAnchor>
  <xdr:twoCellAnchor>
    <xdr:from>
      <xdr:col>7</xdr:col>
      <xdr:colOff>432238</xdr:colOff>
      <xdr:row>15</xdr:row>
      <xdr:rowOff>121526</xdr:rowOff>
    </xdr:from>
    <xdr:to>
      <xdr:col>9</xdr:col>
      <xdr:colOff>215947</xdr:colOff>
      <xdr:row>20</xdr:row>
      <xdr:rowOff>177502</xdr:rowOff>
    </xdr:to>
    <xdr:sp macro="" textlink="">
      <xdr:nvSpPr>
        <xdr:cNvPr id="90" name="Rectangle 89">
          <a:extLst>
            <a:ext uri="{FF2B5EF4-FFF2-40B4-BE49-F238E27FC236}">
              <a16:creationId xmlns:a16="http://schemas.microsoft.com/office/drawing/2014/main" id="{00000000-0008-0000-0100-00005A000000}"/>
            </a:ext>
          </a:extLst>
        </xdr:cNvPr>
        <xdr:cNvSpPr/>
      </xdr:nvSpPr>
      <xdr:spPr>
        <a:xfrm>
          <a:off x="4699438" y="3160001"/>
          <a:ext cx="1002909" cy="10465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STOP Control</a:t>
          </a:r>
        </a:p>
        <a:p>
          <a:pPr algn="ctr"/>
          <a:r>
            <a:rPr lang="en-US" sz="800" baseline="0"/>
            <a:t>MC_ME_STOP_MC[FIRCON]</a:t>
          </a:r>
          <a:endParaRPr lang="en-US" sz="800"/>
        </a:p>
      </xdr:txBody>
    </xdr:sp>
    <xdr:clientData/>
  </xdr:twoCellAnchor>
  <xdr:oneCellAnchor>
    <xdr:from>
      <xdr:col>7</xdr:col>
      <xdr:colOff>552450</xdr:colOff>
      <xdr:row>22</xdr:row>
      <xdr:rowOff>19050</xdr:rowOff>
    </xdr:from>
    <xdr:ext cx="926641" cy="381000"/>
    <xdr:sp macro="" textlink="">
      <xdr:nvSpPr>
        <xdr:cNvPr id="96" name="TextBox 95">
          <a:extLst>
            <a:ext uri="{FF2B5EF4-FFF2-40B4-BE49-F238E27FC236}">
              <a16:creationId xmlns:a16="http://schemas.microsoft.com/office/drawing/2014/main" id="{00000000-0008-0000-0100-000060000000}"/>
            </a:ext>
          </a:extLst>
        </xdr:cNvPr>
        <xdr:cNvSpPr txBox="1"/>
      </xdr:nvSpPr>
      <xdr:spPr>
        <a:xfrm>
          <a:off x="4819650" y="446722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 Off</a:t>
          </a:r>
        </a:p>
        <a:p>
          <a:r>
            <a:rPr lang="en-US" sz="800"/>
            <a:t>1 - FIRC</a:t>
          </a:r>
          <a:r>
            <a:rPr lang="en-US" sz="800" baseline="0"/>
            <a:t> On</a:t>
          </a:r>
          <a:endParaRPr lang="en-US" sz="800"/>
        </a:p>
      </xdr:txBody>
    </xdr:sp>
    <xdr:clientData/>
  </xdr:oneCellAnchor>
  <xdr:twoCellAnchor>
    <xdr:from>
      <xdr:col>4</xdr:col>
      <xdr:colOff>304800</xdr:colOff>
      <xdr:row>18</xdr:row>
      <xdr:rowOff>123825</xdr:rowOff>
    </xdr:from>
    <xdr:to>
      <xdr:col>7</xdr:col>
      <xdr:colOff>428625</xdr:colOff>
      <xdr:row>18</xdr:row>
      <xdr:rowOff>123825</xdr:rowOff>
    </xdr:to>
    <xdr:cxnSp macro="">
      <xdr:nvCxnSpPr>
        <xdr:cNvPr id="97" name="Straight Arrow Connector 96">
          <a:extLst>
            <a:ext uri="{FF2B5EF4-FFF2-40B4-BE49-F238E27FC236}">
              <a16:creationId xmlns:a16="http://schemas.microsoft.com/office/drawing/2014/main" id="{00000000-0008-0000-0100-000061000000}"/>
            </a:ext>
          </a:extLst>
        </xdr:cNvPr>
        <xdr:cNvCxnSpPr/>
      </xdr:nvCxnSpPr>
      <xdr:spPr>
        <a:xfrm>
          <a:off x="2743200" y="3743325"/>
          <a:ext cx="1952625"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228600</xdr:colOff>
      <xdr:row>18</xdr:row>
      <xdr:rowOff>123825</xdr:rowOff>
    </xdr:from>
    <xdr:to>
      <xdr:col>12</xdr:col>
      <xdr:colOff>28575</xdr:colOff>
      <xdr:row>18</xdr:row>
      <xdr:rowOff>123825</xdr:rowOff>
    </xdr:to>
    <xdr:cxnSp macro="">
      <xdr:nvCxnSpPr>
        <xdr:cNvPr id="100" name="Straight Arrow Connector 99">
          <a:extLst>
            <a:ext uri="{FF2B5EF4-FFF2-40B4-BE49-F238E27FC236}">
              <a16:creationId xmlns:a16="http://schemas.microsoft.com/office/drawing/2014/main" id="{00000000-0008-0000-0100-000064000000}"/>
            </a:ext>
          </a:extLst>
        </xdr:cNvPr>
        <xdr:cNvCxnSpPr/>
      </xdr:nvCxnSpPr>
      <xdr:spPr>
        <a:xfrm>
          <a:off x="5715000" y="3743325"/>
          <a:ext cx="1628775"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600075</xdr:colOff>
      <xdr:row>17</xdr:row>
      <xdr:rowOff>123825</xdr:rowOff>
    </xdr:from>
    <xdr:ext cx="1510861" cy="419101"/>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7915275" y="3552825"/>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 (STOP)</a:t>
          </a:r>
        </a:p>
      </xdr:txBody>
    </xdr:sp>
    <xdr:clientData/>
  </xdr:oneCellAnchor>
  <xdr:twoCellAnchor>
    <xdr:from>
      <xdr:col>7</xdr:col>
      <xdr:colOff>387568</xdr:colOff>
      <xdr:row>44</xdr:row>
      <xdr:rowOff>59120</xdr:rowOff>
    </xdr:from>
    <xdr:to>
      <xdr:col>9</xdr:col>
      <xdr:colOff>171277</xdr:colOff>
      <xdr:row>49</xdr:row>
      <xdr:rowOff>167648</xdr:rowOff>
    </xdr:to>
    <xdr:sp macro="" textlink="">
      <xdr:nvSpPr>
        <xdr:cNvPr id="121" name="Rectangle 120">
          <a:extLst>
            <a:ext uri="{FF2B5EF4-FFF2-40B4-BE49-F238E27FC236}">
              <a16:creationId xmlns:a16="http://schemas.microsoft.com/office/drawing/2014/main" id="{00000000-0008-0000-0100-000079000000}"/>
            </a:ext>
          </a:extLst>
        </xdr:cNvPr>
        <xdr:cNvSpPr/>
      </xdr:nvSpPr>
      <xdr:spPr>
        <a:xfrm>
          <a:off x="4663965" y="8907517"/>
          <a:ext cx="1005536" cy="10610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STANDBY Control</a:t>
          </a:r>
        </a:p>
        <a:p>
          <a:pPr algn="ctr"/>
          <a:r>
            <a:rPr lang="en-US" sz="800" baseline="0"/>
            <a:t>MC_ME_STANDBY_MC[FIRCON]</a:t>
          </a:r>
          <a:endParaRPr lang="en-US" sz="800"/>
        </a:p>
      </xdr:txBody>
    </xdr:sp>
    <xdr:clientData/>
  </xdr:twoCellAnchor>
  <xdr:twoCellAnchor>
    <xdr:from>
      <xdr:col>4</xdr:col>
      <xdr:colOff>295275</xdr:colOff>
      <xdr:row>47</xdr:row>
      <xdr:rowOff>19050</xdr:rowOff>
    </xdr:from>
    <xdr:to>
      <xdr:col>7</xdr:col>
      <xdr:colOff>396436</xdr:colOff>
      <xdr:row>47</xdr:row>
      <xdr:rowOff>19050</xdr:rowOff>
    </xdr:to>
    <xdr:cxnSp macro="">
      <xdr:nvCxnSpPr>
        <xdr:cNvPr id="122" name="Straight Arrow Connector 121">
          <a:extLst>
            <a:ext uri="{FF2B5EF4-FFF2-40B4-BE49-F238E27FC236}">
              <a16:creationId xmlns:a16="http://schemas.microsoft.com/office/drawing/2014/main" id="{00000000-0008-0000-0100-00007A000000}"/>
            </a:ext>
          </a:extLst>
        </xdr:cNvPr>
        <xdr:cNvCxnSpPr/>
      </xdr:nvCxnSpPr>
      <xdr:spPr>
        <a:xfrm>
          <a:off x="2733675" y="9467850"/>
          <a:ext cx="192996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180975</xdr:colOff>
      <xdr:row>46</xdr:row>
      <xdr:rowOff>114300</xdr:rowOff>
    </xdr:from>
    <xdr:to>
      <xdr:col>11</xdr:col>
      <xdr:colOff>589236</xdr:colOff>
      <xdr:row>46</xdr:row>
      <xdr:rowOff>114300</xdr:rowOff>
    </xdr:to>
    <xdr:cxnSp macro="">
      <xdr:nvCxnSpPr>
        <xdr:cNvPr id="123" name="Straight Arrow Connector 122">
          <a:extLst>
            <a:ext uri="{FF2B5EF4-FFF2-40B4-BE49-F238E27FC236}">
              <a16:creationId xmlns:a16="http://schemas.microsoft.com/office/drawing/2014/main" id="{00000000-0008-0000-0100-00007B000000}"/>
            </a:ext>
          </a:extLst>
        </xdr:cNvPr>
        <xdr:cNvCxnSpPr/>
      </xdr:nvCxnSpPr>
      <xdr:spPr>
        <a:xfrm>
          <a:off x="5667375" y="9372600"/>
          <a:ext cx="1627461" cy="0"/>
        </a:xfrm>
        <a:prstGeom prst="straightConnector1">
          <a:avLst/>
        </a:prstGeom>
        <a:ln w="19050">
          <a:solidFill>
            <a:srgbClr val="0070C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571500</xdr:colOff>
      <xdr:row>51</xdr:row>
      <xdr:rowOff>19050</xdr:rowOff>
    </xdr:from>
    <xdr:ext cx="926641" cy="381000"/>
    <xdr:sp macro="" textlink="">
      <xdr:nvSpPr>
        <xdr:cNvPr id="124" name="TextBox 123">
          <a:extLst>
            <a:ext uri="{FF2B5EF4-FFF2-40B4-BE49-F238E27FC236}">
              <a16:creationId xmlns:a16="http://schemas.microsoft.com/office/drawing/2014/main" id="{00000000-0008-0000-0100-00007C000000}"/>
            </a:ext>
          </a:extLst>
        </xdr:cNvPr>
        <xdr:cNvSpPr txBox="1"/>
      </xdr:nvSpPr>
      <xdr:spPr>
        <a:xfrm>
          <a:off x="4838700" y="1025842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 Off</a:t>
          </a:r>
        </a:p>
        <a:p>
          <a:r>
            <a:rPr lang="en-US" sz="800"/>
            <a:t>1 - FIRC</a:t>
          </a:r>
          <a:r>
            <a:rPr lang="en-US" sz="800" baseline="0"/>
            <a:t> On</a:t>
          </a:r>
          <a:endParaRPr lang="en-US" sz="800"/>
        </a:p>
      </xdr:txBody>
    </xdr:sp>
    <xdr:clientData/>
  </xdr:oneCellAnchor>
  <xdr:oneCellAnchor>
    <xdr:from>
      <xdr:col>12</xdr:col>
      <xdr:colOff>581025</xdr:colOff>
      <xdr:row>45</xdr:row>
      <xdr:rowOff>95250</xdr:rowOff>
    </xdr:from>
    <xdr:ext cx="1510861" cy="419101"/>
    <xdr:sp macro="" textlink="">
      <xdr:nvSpPr>
        <xdr:cNvPr id="125" name="TextBox 124">
          <a:extLst>
            <a:ext uri="{FF2B5EF4-FFF2-40B4-BE49-F238E27FC236}">
              <a16:creationId xmlns:a16="http://schemas.microsoft.com/office/drawing/2014/main" id="{00000000-0008-0000-0100-00007D000000}"/>
            </a:ext>
          </a:extLst>
        </xdr:cNvPr>
        <xdr:cNvSpPr txBox="1"/>
      </xdr:nvSpPr>
      <xdr:spPr>
        <a:xfrm>
          <a:off x="7896225" y="9163050"/>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FIRC (STANDBY)</a:t>
          </a:r>
        </a:p>
      </xdr:txBody>
    </xdr:sp>
    <xdr:clientData/>
  </xdr:oneCellAnchor>
  <xdr:twoCellAnchor>
    <xdr:from>
      <xdr:col>21</xdr:col>
      <xdr:colOff>400050</xdr:colOff>
      <xdr:row>35</xdr:row>
      <xdr:rowOff>142875</xdr:rowOff>
    </xdr:from>
    <xdr:to>
      <xdr:col>23</xdr:col>
      <xdr:colOff>183760</xdr:colOff>
      <xdr:row>40</xdr:row>
      <xdr:rowOff>183373</xdr:rowOff>
    </xdr:to>
    <xdr:sp macro="" textlink="">
      <xdr:nvSpPr>
        <xdr:cNvPr id="126" name="Rectangle 125">
          <a:extLst>
            <a:ext uri="{FF2B5EF4-FFF2-40B4-BE49-F238E27FC236}">
              <a16:creationId xmlns:a16="http://schemas.microsoft.com/office/drawing/2014/main" id="{00000000-0008-0000-0100-00007E000000}"/>
            </a:ext>
          </a:extLst>
        </xdr:cNvPr>
        <xdr:cNvSpPr/>
      </xdr:nvSpPr>
      <xdr:spPr>
        <a:xfrm>
          <a:off x="13201650" y="7229475"/>
          <a:ext cx="1002910" cy="1040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RUN0 Control</a:t>
          </a:r>
          <a:endParaRPr lang="en-US" sz="800" baseline="0"/>
        </a:p>
        <a:p>
          <a:pPr algn="ctr"/>
          <a:r>
            <a:rPr lang="en-US" sz="800"/>
            <a:t>MC_ME_RUN0_MC[FXOSCON]</a:t>
          </a:r>
        </a:p>
      </xdr:txBody>
    </xdr:sp>
    <xdr:clientData/>
  </xdr:twoCellAnchor>
  <xdr:oneCellAnchor>
    <xdr:from>
      <xdr:col>21</xdr:col>
      <xdr:colOff>552450</xdr:colOff>
      <xdr:row>42</xdr:row>
      <xdr:rowOff>19050</xdr:rowOff>
    </xdr:from>
    <xdr:ext cx="926641" cy="381000"/>
    <xdr:sp macro="" textlink="">
      <xdr:nvSpPr>
        <xdr:cNvPr id="127" name="TextBox 126">
          <a:extLst>
            <a:ext uri="{FF2B5EF4-FFF2-40B4-BE49-F238E27FC236}">
              <a16:creationId xmlns:a16="http://schemas.microsoft.com/office/drawing/2014/main" id="{00000000-0008-0000-0100-00007F000000}"/>
            </a:ext>
          </a:extLst>
        </xdr:cNvPr>
        <xdr:cNvSpPr txBox="1"/>
      </xdr:nvSpPr>
      <xdr:spPr>
        <a:xfrm>
          <a:off x="13354050" y="852487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twoCellAnchor>
    <xdr:from>
      <xdr:col>18</xdr:col>
      <xdr:colOff>295275</xdr:colOff>
      <xdr:row>38</xdr:row>
      <xdr:rowOff>104775</xdr:rowOff>
    </xdr:from>
    <xdr:to>
      <xdr:col>21</xdr:col>
      <xdr:colOff>381000</xdr:colOff>
      <xdr:row>38</xdr:row>
      <xdr:rowOff>104775</xdr:rowOff>
    </xdr:to>
    <xdr:cxnSp macro="">
      <xdr:nvCxnSpPr>
        <xdr:cNvPr id="128" name="Straight Arrow Connector 127">
          <a:extLst>
            <a:ext uri="{FF2B5EF4-FFF2-40B4-BE49-F238E27FC236}">
              <a16:creationId xmlns:a16="http://schemas.microsoft.com/office/drawing/2014/main" id="{00000000-0008-0000-0100-000080000000}"/>
            </a:ext>
          </a:extLst>
        </xdr:cNvPr>
        <xdr:cNvCxnSpPr/>
      </xdr:nvCxnSpPr>
      <xdr:spPr>
        <a:xfrm>
          <a:off x="11268075" y="7791450"/>
          <a:ext cx="191452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219075</xdr:colOff>
      <xdr:row>38</xdr:row>
      <xdr:rowOff>114300</xdr:rowOff>
    </xdr:from>
    <xdr:to>
      <xdr:col>26</xdr:col>
      <xdr:colOff>593452</xdr:colOff>
      <xdr:row>38</xdr:row>
      <xdr:rowOff>114300</xdr:rowOff>
    </xdr:to>
    <xdr:cxnSp macro="">
      <xdr:nvCxnSpPr>
        <xdr:cNvPr id="129" name="Straight Arrow Connector 128">
          <a:extLst>
            <a:ext uri="{FF2B5EF4-FFF2-40B4-BE49-F238E27FC236}">
              <a16:creationId xmlns:a16="http://schemas.microsoft.com/office/drawing/2014/main" id="{00000000-0008-0000-0100-000081000000}"/>
            </a:ext>
          </a:extLst>
        </xdr:cNvPr>
        <xdr:cNvCxnSpPr/>
      </xdr:nvCxnSpPr>
      <xdr:spPr>
        <a:xfrm>
          <a:off x="14239875" y="7800975"/>
          <a:ext cx="22031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590550</xdr:colOff>
      <xdr:row>37</xdr:row>
      <xdr:rowOff>114300</xdr:rowOff>
    </xdr:from>
    <xdr:ext cx="1738147" cy="419101"/>
    <xdr:sp macro="" textlink="">
      <xdr:nvSpPr>
        <xdr:cNvPr id="130" name="TextBox 129">
          <a:extLst>
            <a:ext uri="{FF2B5EF4-FFF2-40B4-BE49-F238E27FC236}">
              <a16:creationId xmlns:a16="http://schemas.microsoft.com/office/drawing/2014/main" id="{00000000-0008-0000-0100-000082000000}"/>
            </a:ext>
          </a:extLst>
        </xdr:cNvPr>
        <xdr:cNvSpPr txBox="1"/>
      </xdr:nvSpPr>
      <xdr:spPr>
        <a:xfrm>
          <a:off x="17049750" y="7591425"/>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(RUN0)</a:t>
          </a:r>
        </a:p>
      </xdr:txBody>
    </xdr:sp>
    <xdr:clientData/>
  </xdr:oneCellAnchor>
  <xdr:twoCellAnchor>
    <xdr:from>
      <xdr:col>21</xdr:col>
      <xdr:colOff>419100</xdr:colOff>
      <xdr:row>44</xdr:row>
      <xdr:rowOff>114300</xdr:rowOff>
    </xdr:from>
    <xdr:to>
      <xdr:col>23</xdr:col>
      <xdr:colOff>202810</xdr:colOff>
      <xdr:row>49</xdr:row>
      <xdr:rowOff>183373</xdr:rowOff>
    </xdr:to>
    <xdr:sp macro="" textlink="">
      <xdr:nvSpPr>
        <xdr:cNvPr id="131" name="Rectangle 130">
          <a:extLst>
            <a:ext uri="{FF2B5EF4-FFF2-40B4-BE49-F238E27FC236}">
              <a16:creationId xmlns:a16="http://schemas.microsoft.com/office/drawing/2014/main" id="{00000000-0008-0000-0100-000083000000}"/>
            </a:ext>
          </a:extLst>
        </xdr:cNvPr>
        <xdr:cNvSpPr/>
      </xdr:nvSpPr>
      <xdr:spPr>
        <a:xfrm>
          <a:off x="13220700" y="9029700"/>
          <a:ext cx="1002910" cy="10596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RUN1 Control</a:t>
          </a:r>
          <a:endParaRPr lang="en-US" sz="800" baseline="0"/>
        </a:p>
        <a:p>
          <a:pPr algn="ctr"/>
          <a:r>
            <a:rPr lang="en-US" sz="800"/>
            <a:t>MC_ME_RUN1_MC[FXOSCON]</a:t>
          </a:r>
        </a:p>
      </xdr:txBody>
    </xdr:sp>
    <xdr:clientData/>
  </xdr:twoCellAnchor>
  <xdr:oneCellAnchor>
    <xdr:from>
      <xdr:col>21</xdr:col>
      <xdr:colOff>561975</xdr:colOff>
      <xdr:row>51</xdr:row>
      <xdr:rowOff>19050</xdr:rowOff>
    </xdr:from>
    <xdr:ext cx="926641" cy="381000"/>
    <xdr:sp macro="" textlink="">
      <xdr:nvSpPr>
        <xdr:cNvPr id="132" name="TextBox 131">
          <a:extLst>
            <a:ext uri="{FF2B5EF4-FFF2-40B4-BE49-F238E27FC236}">
              <a16:creationId xmlns:a16="http://schemas.microsoft.com/office/drawing/2014/main" id="{00000000-0008-0000-0100-000084000000}"/>
            </a:ext>
          </a:extLst>
        </xdr:cNvPr>
        <xdr:cNvSpPr txBox="1"/>
      </xdr:nvSpPr>
      <xdr:spPr>
        <a:xfrm>
          <a:off x="13363575" y="1033462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oneCellAnchor>
    <xdr:from>
      <xdr:col>27</xdr:col>
      <xdr:colOff>561975</xdr:colOff>
      <xdr:row>46</xdr:row>
      <xdr:rowOff>104775</xdr:rowOff>
    </xdr:from>
    <xdr:ext cx="1738147" cy="419101"/>
    <xdr:sp macro="" textlink="">
      <xdr:nvSpPr>
        <xdr:cNvPr id="133" name="TextBox 132">
          <a:extLst>
            <a:ext uri="{FF2B5EF4-FFF2-40B4-BE49-F238E27FC236}">
              <a16:creationId xmlns:a16="http://schemas.microsoft.com/office/drawing/2014/main" id="{00000000-0008-0000-0100-000085000000}"/>
            </a:ext>
          </a:extLst>
        </xdr:cNvPr>
        <xdr:cNvSpPr txBox="1"/>
      </xdr:nvSpPr>
      <xdr:spPr>
        <a:xfrm>
          <a:off x="17021175" y="9410700"/>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(RUN1)</a:t>
          </a:r>
        </a:p>
      </xdr:txBody>
    </xdr:sp>
    <xdr:clientData/>
  </xdr:oneCellAnchor>
  <xdr:twoCellAnchor>
    <xdr:from>
      <xdr:col>18</xdr:col>
      <xdr:colOff>304800</xdr:colOff>
      <xdr:row>47</xdr:row>
      <xdr:rowOff>114300</xdr:rowOff>
    </xdr:from>
    <xdr:to>
      <xdr:col>21</xdr:col>
      <xdr:colOff>390525</xdr:colOff>
      <xdr:row>47</xdr:row>
      <xdr:rowOff>114300</xdr:rowOff>
    </xdr:to>
    <xdr:cxnSp macro="">
      <xdr:nvCxnSpPr>
        <xdr:cNvPr id="134" name="Straight Arrow Connector 133">
          <a:extLst>
            <a:ext uri="{FF2B5EF4-FFF2-40B4-BE49-F238E27FC236}">
              <a16:creationId xmlns:a16="http://schemas.microsoft.com/office/drawing/2014/main" id="{00000000-0008-0000-0100-000086000000}"/>
            </a:ext>
          </a:extLst>
        </xdr:cNvPr>
        <xdr:cNvCxnSpPr/>
      </xdr:nvCxnSpPr>
      <xdr:spPr>
        <a:xfrm>
          <a:off x="11277600" y="9629775"/>
          <a:ext cx="191452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219075</xdr:colOff>
      <xdr:row>47</xdr:row>
      <xdr:rowOff>104775</xdr:rowOff>
    </xdr:from>
    <xdr:to>
      <xdr:col>26</xdr:col>
      <xdr:colOff>593452</xdr:colOff>
      <xdr:row>47</xdr:row>
      <xdr:rowOff>104775</xdr:rowOff>
    </xdr:to>
    <xdr:cxnSp macro="">
      <xdr:nvCxnSpPr>
        <xdr:cNvPr id="135" name="Straight Arrow Connector 134">
          <a:extLst>
            <a:ext uri="{FF2B5EF4-FFF2-40B4-BE49-F238E27FC236}">
              <a16:creationId xmlns:a16="http://schemas.microsoft.com/office/drawing/2014/main" id="{00000000-0008-0000-0100-000087000000}"/>
            </a:ext>
          </a:extLst>
        </xdr:cNvPr>
        <xdr:cNvCxnSpPr/>
      </xdr:nvCxnSpPr>
      <xdr:spPr>
        <a:xfrm>
          <a:off x="14239875" y="9620250"/>
          <a:ext cx="22031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409575</xdr:colOff>
      <xdr:row>53</xdr:row>
      <xdr:rowOff>47625</xdr:rowOff>
    </xdr:from>
    <xdr:to>
      <xdr:col>23</xdr:col>
      <xdr:colOff>193285</xdr:colOff>
      <xdr:row>58</xdr:row>
      <xdr:rowOff>173848</xdr:rowOff>
    </xdr:to>
    <xdr:sp macro="" textlink="">
      <xdr:nvSpPr>
        <xdr:cNvPr id="136" name="Rectangle 135">
          <a:extLst>
            <a:ext uri="{FF2B5EF4-FFF2-40B4-BE49-F238E27FC236}">
              <a16:creationId xmlns:a16="http://schemas.microsoft.com/office/drawing/2014/main" id="{00000000-0008-0000-0100-000088000000}"/>
            </a:ext>
          </a:extLst>
        </xdr:cNvPr>
        <xdr:cNvSpPr/>
      </xdr:nvSpPr>
      <xdr:spPr>
        <a:xfrm>
          <a:off x="13211175" y="10772775"/>
          <a:ext cx="1002910" cy="10787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RUN2 Control</a:t>
          </a:r>
          <a:endParaRPr lang="en-US" sz="800" baseline="0"/>
        </a:p>
        <a:p>
          <a:pPr algn="ctr"/>
          <a:r>
            <a:rPr lang="en-US" sz="800"/>
            <a:t>MC_ME_RUN2_MC[FXOSCON]</a:t>
          </a:r>
        </a:p>
      </xdr:txBody>
    </xdr:sp>
    <xdr:clientData/>
  </xdr:twoCellAnchor>
  <xdr:oneCellAnchor>
    <xdr:from>
      <xdr:col>21</xdr:col>
      <xdr:colOff>552450</xdr:colOff>
      <xdr:row>59</xdr:row>
      <xdr:rowOff>200025</xdr:rowOff>
    </xdr:from>
    <xdr:ext cx="926641" cy="381000"/>
    <xdr:sp macro="" textlink="">
      <xdr:nvSpPr>
        <xdr:cNvPr id="137" name="TextBox 136">
          <a:extLst>
            <a:ext uri="{FF2B5EF4-FFF2-40B4-BE49-F238E27FC236}">
              <a16:creationId xmlns:a16="http://schemas.microsoft.com/office/drawing/2014/main" id="{00000000-0008-0000-0100-000089000000}"/>
            </a:ext>
          </a:extLst>
        </xdr:cNvPr>
        <xdr:cNvSpPr txBox="1"/>
      </xdr:nvSpPr>
      <xdr:spPr>
        <a:xfrm>
          <a:off x="13354050" y="12115800"/>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oneCellAnchor>
    <xdr:from>
      <xdr:col>27</xdr:col>
      <xdr:colOff>561975</xdr:colOff>
      <xdr:row>55</xdr:row>
      <xdr:rowOff>85725</xdr:rowOff>
    </xdr:from>
    <xdr:ext cx="1738147" cy="419101"/>
    <xdr:sp macro="" textlink="">
      <xdr:nvSpPr>
        <xdr:cNvPr id="138" name="TextBox 137">
          <a:extLst>
            <a:ext uri="{FF2B5EF4-FFF2-40B4-BE49-F238E27FC236}">
              <a16:creationId xmlns:a16="http://schemas.microsoft.com/office/drawing/2014/main" id="{00000000-0008-0000-0100-00008A000000}"/>
            </a:ext>
          </a:extLst>
        </xdr:cNvPr>
        <xdr:cNvSpPr txBox="1"/>
      </xdr:nvSpPr>
      <xdr:spPr>
        <a:xfrm>
          <a:off x="17021175" y="11191875"/>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(RUN2)</a:t>
          </a:r>
        </a:p>
      </xdr:txBody>
    </xdr:sp>
    <xdr:clientData/>
  </xdr:oneCellAnchor>
  <xdr:twoCellAnchor>
    <xdr:from>
      <xdr:col>18</xdr:col>
      <xdr:colOff>295275</xdr:colOff>
      <xdr:row>56</xdr:row>
      <xdr:rowOff>85725</xdr:rowOff>
    </xdr:from>
    <xdr:to>
      <xdr:col>21</xdr:col>
      <xdr:colOff>381000</xdr:colOff>
      <xdr:row>56</xdr:row>
      <xdr:rowOff>85725</xdr:rowOff>
    </xdr:to>
    <xdr:cxnSp macro="">
      <xdr:nvCxnSpPr>
        <xdr:cNvPr id="139" name="Straight Arrow Connector 138">
          <a:extLst>
            <a:ext uri="{FF2B5EF4-FFF2-40B4-BE49-F238E27FC236}">
              <a16:creationId xmlns:a16="http://schemas.microsoft.com/office/drawing/2014/main" id="{00000000-0008-0000-0100-00008B000000}"/>
            </a:ext>
          </a:extLst>
        </xdr:cNvPr>
        <xdr:cNvCxnSpPr/>
      </xdr:nvCxnSpPr>
      <xdr:spPr>
        <a:xfrm>
          <a:off x="11268075" y="11382375"/>
          <a:ext cx="191452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209550</xdr:colOff>
      <xdr:row>56</xdr:row>
      <xdr:rowOff>85725</xdr:rowOff>
    </xdr:from>
    <xdr:to>
      <xdr:col>26</xdr:col>
      <xdr:colOff>583927</xdr:colOff>
      <xdr:row>56</xdr:row>
      <xdr:rowOff>85725</xdr:rowOff>
    </xdr:to>
    <xdr:cxnSp macro="">
      <xdr:nvCxnSpPr>
        <xdr:cNvPr id="140" name="Straight Arrow Connector 139">
          <a:extLst>
            <a:ext uri="{FF2B5EF4-FFF2-40B4-BE49-F238E27FC236}">
              <a16:creationId xmlns:a16="http://schemas.microsoft.com/office/drawing/2014/main" id="{00000000-0008-0000-0100-00008C000000}"/>
            </a:ext>
          </a:extLst>
        </xdr:cNvPr>
        <xdr:cNvCxnSpPr/>
      </xdr:nvCxnSpPr>
      <xdr:spPr>
        <a:xfrm>
          <a:off x="14230350" y="11382375"/>
          <a:ext cx="22031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381000</xdr:colOff>
      <xdr:row>62</xdr:row>
      <xdr:rowOff>0</xdr:rowOff>
    </xdr:from>
    <xdr:to>
      <xdr:col>23</xdr:col>
      <xdr:colOff>164710</xdr:colOff>
      <xdr:row>67</xdr:row>
      <xdr:rowOff>164323</xdr:rowOff>
    </xdr:to>
    <xdr:sp macro="" textlink="">
      <xdr:nvSpPr>
        <xdr:cNvPr id="141" name="Rectangle 140">
          <a:extLst>
            <a:ext uri="{FF2B5EF4-FFF2-40B4-BE49-F238E27FC236}">
              <a16:creationId xmlns:a16="http://schemas.microsoft.com/office/drawing/2014/main" id="{00000000-0008-0000-0100-00008D000000}"/>
            </a:ext>
          </a:extLst>
        </xdr:cNvPr>
        <xdr:cNvSpPr/>
      </xdr:nvSpPr>
      <xdr:spPr>
        <a:xfrm>
          <a:off x="13182600" y="12515850"/>
          <a:ext cx="1002910" cy="11168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RUN3 Control</a:t>
          </a:r>
          <a:endParaRPr lang="en-US" sz="800" baseline="0"/>
        </a:p>
        <a:p>
          <a:pPr algn="ctr"/>
          <a:r>
            <a:rPr lang="en-US" sz="800"/>
            <a:t>MC_ME_RUN3_MC[FXOSCON]</a:t>
          </a:r>
        </a:p>
      </xdr:txBody>
    </xdr:sp>
    <xdr:clientData/>
  </xdr:twoCellAnchor>
  <xdr:oneCellAnchor>
    <xdr:from>
      <xdr:col>21</xdr:col>
      <xdr:colOff>561975</xdr:colOff>
      <xdr:row>68</xdr:row>
      <xdr:rowOff>200025</xdr:rowOff>
    </xdr:from>
    <xdr:ext cx="926641" cy="381000"/>
    <xdr:sp macro="" textlink="">
      <xdr:nvSpPr>
        <xdr:cNvPr id="142" name="TextBox 141">
          <a:extLst>
            <a:ext uri="{FF2B5EF4-FFF2-40B4-BE49-F238E27FC236}">
              <a16:creationId xmlns:a16="http://schemas.microsoft.com/office/drawing/2014/main" id="{00000000-0008-0000-0100-00008E000000}"/>
            </a:ext>
          </a:extLst>
        </xdr:cNvPr>
        <xdr:cNvSpPr txBox="1"/>
      </xdr:nvSpPr>
      <xdr:spPr>
        <a:xfrm>
          <a:off x="13363575" y="13868400"/>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oneCellAnchor>
    <xdr:from>
      <xdr:col>27</xdr:col>
      <xdr:colOff>581025</xdr:colOff>
      <xdr:row>63</xdr:row>
      <xdr:rowOff>85725</xdr:rowOff>
    </xdr:from>
    <xdr:ext cx="1738147" cy="419101"/>
    <xdr:sp macro="" textlink="">
      <xdr:nvSpPr>
        <xdr:cNvPr id="143" name="TextBox 142">
          <a:extLst>
            <a:ext uri="{FF2B5EF4-FFF2-40B4-BE49-F238E27FC236}">
              <a16:creationId xmlns:a16="http://schemas.microsoft.com/office/drawing/2014/main" id="{00000000-0008-0000-0100-00008F000000}"/>
            </a:ext>
          </a:extLst>
        </xdr:cNvPr>
        <xdr:cNvSpPr txBox="1"/>
      </xdr:nvSpPr>
      <xdr:spPr>
        <a:xfrm>
          <a:off x="17040225" y="12792075"/>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(RUN3)</a:t>
          </a:r>
        </a:p>
      </xdr:txBody>
    </xdr:sp>
    <xdr:clientData/>
  </xdr:oneCellAnchor>
  <xdr:twoCellAnchor>
    <xdr:from>
      <xdr:col>18</xdr:col>
      <xdr:colOff>295275</xdr:colOff>
      <xdr:row>64</xdr:row>
      <xdr:rowOff>114300</xdr:rowOff>
    </xdr:from>
    <xdr:to>
      <xdr:col>21</xdr:col>
      <xdr:colOff>381000</xdr:colOff>
      <xdr:row>64</xdr:row>
      <xdr:rowOff>114300</xdr:rowOff>
    </xdr:to>
    <xdr:cxnSp macro="">
      <xdr:nvCxnSpPr>
        <xdr:cNvPr id="144" name="Straight Arrow Connector 143">
          <a:extLst>
            <a:ext uri="{FF2B5EF4-FFF2-40B4-BE49-F238E27FC236}">
              <a16:creationId xmlns:a16="http://schemas.microsoft.com/office/drawing/2014/main" id="{00000000-0008-0000-0100-000090000000}"/>
            </a:ext>
          </a:extLst>
        </xdr:cNvPr>
        <xdr:cNvCxnSpPr/>
      </xdr:nvCxnSpPr>
      <xdr:spPr>
        <a:xfrm>
          <a:off x="11268075" y="13011150"/>
          <a:ext cx="191452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180975</xdr:colOff>
      <xdr:row>64</xdr:row>
      <xdr:rowOff>104775</xdr:rowOff>
    </xdr:from>
    <xdr:to>
      <xdr:col>26</xdr:col>
      <xdr:colOff>555352</xdr:colOff>
      <xdr:row>64</xdr:row>
      <xdr:rowOff>104775</xdr:rowOff>
    </xdr:to>
    <xdr:cxnSp macro="">
      <xdr:nvCxnSpPr>
        <xdr:cNvPr id="145" name="Straight Arrow Connector 144">
          <a:extLst>
            <a:ext uri="{FF2B5EF4-FFF2-40B4-BE49-F238E27FC236}">
              <a16:creationId xmlns:a16="http://schemas.microsoft.com/office/drawing/2014/main" id="{00000000-0008-0000-0100-000091000000}"/>
            </a:ext>
          </a:extLst>
        </xdr:cNvPr>
        <xdr:cNvCxnSpPr/>
      </xdr:nvCxnSpPr>
      <xdr:spPr>
        <a:xfrm>
          <a:off x="14201775" y="13001625"/>
          <a:ext cx="22031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390525</xdr:colOff>
      <xdr:row>71</xdr:row>
      <xdr:rowOff>142875</xdr:rowOff>
    </xdr:from>
    <xdr:to>
      <xdr:col>23</xdr:col>
      <xdr:colOff>174235</xdr:colOff>
      <xdr:row>77</xdr:row>
      <xdr:rowOff>154798</xdr:rowOff>
    </xdr:to>
    <xdr:sp macro="" textlink="">
      <xdr:nvSpPr>
        <xdr:cNvPr id="146" name="Rectangle 145">
          <a:extLst>
            <a:ext uri="{FF2B5EF4-FFF2-40B4-BE49-F238E27FC236}">
              <a16:creationId xmlns:a16="http://schemas.microsoft.com/office/drawing/2014/main" id="{00000000-0008-0000-0100-000092000000}"/>
            </a:ext>
          </a:extLst>
        </xdr:cNvPr>
        <xdr:cNvSpPr/>
      </xdr:nvSpPr>
      <xdr:spPr>
        <a:xfrm>
          <a:off x="13192125" y="14582775"/>
          <a:ext cx="1002910" cy="11549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STOP Control</a:t>
          </a:r>
          <a:endParaRPr lang="en-US" sz="800" baseline="0"/>
        </a:p>
        <a:p>
          <a:pPr algn="ctr"/>
          <a:r>
            <a:rPr lang="en-US" sz="800"/>
            <a:t>MC_ME_STOP_MC[FXOSCON]</a:t>
          </a:r>
        </a:p>
      </xdr:txBody>
    </xdr:sp>
    <xdr:clientData/>
  </xdr:twoCellAnchor>
  <xdr:oneCellAnchor>
    <xdr:from>
      <xdr:col>21</xdr:col>
      <xdr:colOff>571500</xdr:colOff>
      <xdr:row>78</xdr:row>
      <xdr:rowOff>180975</xdr:rowOff>
    </xdr:from>
    <xdr:ext cx="926641" cy="381000"/>
    <xdr:sp macro="" textlink="">
      <xdr:nvSpPr>
        <xdr:cNvPr id="147" name="TextBox 146">
          <a:extLst>
            <a:ext uri="{FF2B5EF4-FFF2-40B4-BE49-F238E27FC236}">
              <a16:creationId xmlns:a16="http://schemas.microsoft.com/office/drawing/2014/main" id="{00000000-0008-0000-0100-000093000000}"/>
            </a:ext>
          </a:extLst>
        </xdr:cNvPr>
        <xdr:cNvSpPr txBox="1"/>
      </xdr:nvSpPr>
      <xdr:spPr>
        <a:xfrm>
          <a:off x="13373100" y="1595437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oneCellAnchor>
    <xdr:from>
      <xdr:col>27</xdr:col>
      <xdr:colOff>590550</xdr:colOff>
      <xdr:row>73</xdr:row>
      <xdr:rowOff>76200</xdr:rowOff>
    </xdr:from>
    <xdr:ext cx="1738147" cy="419101"/>
    <xdr:sp macro="" textlink="">
      <xdr:nvSpPr>
        <xdr:cNvPr id="148" name="TextBox 147">
          <a:extLst>
            <a:ext uri="{FF2B5EF4-FFF2-40B4-BE49-F238E27FC236}">
              <a16:creationId xmlns:a16="http://schemas.microsoft.com/office/drawing/2014/main" id="{00000000-0008-0000-0100-000094000000}"/>
            </a:ext>
          </a:extLst>
        </xdr:cNvPr>
        <xdr:cNvSpPr txBox="1"/>
      </xdr:nvSpPr>
      <xdr:spPr>
        <a:xfrm>
          <a:off x="17049750" y="14897100"/>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(STOP)</a:t>
          </a:r>
        </a:p>
      </xdr:txBody>
    </xdr:sp>
    <xdr:clientData/>
  </xdr:oneCellAnchor>
  <xdr:twoCellAnchor>
    <xdr:from>
      <xdr:col>18</xdr:col>
      <xdr:colOff>304800</xdr:colOff>
      <xdr:row>74</xdr:row>
      <xdr:rowOff>76200</xdr:rowOff>
    </xdr:from>
    <xdr:to>
      <xdr:col>21</xdr:col>
      <xdr:colOff>390525</xdr:colOff>
      <xdr:row>74</xdr:row>
      <xdr:rowOff>76200</xdr:rowOff>
    </xdr:to>
    <xdr:cxnSp macro="">
      <xdr:nvCxnSpPr>
        <xdr:cNvPr id="149" name="Straight Arrow Connector 148">
          <a:extLst>
            <a:ext uri="{FF2B5EF4-FFF2-40B4-BE49-F238E27FC236}">
              <a16:creationId xmlns:a16="http://schemas.microsoft.com/office/drawing/2014/main" id="{00000000-0008-0000-0100-000095000000}"/>
            </a:ext>
          </a:extLst>
        </xdr:cNvPr>
        <xdr:cNvCxnSpPr/>
      </xdr:nvCxnSpPr>
      <xdr:spPr>
        <a:xfrm>
          <a:off x="11277600" y="15087600"/>
          <a:ext cx="191452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190500</xdr:colOff>
      <xdr:row>74</xdr:row>
      <xdr:rowOff>95250</xdr:rowOff>
    </xdr:from>
    <xdr:to>
      <xdr:col>26</xdr:col>
      <xdr:colOff>564877</xdr:colOff>
      <xdr:row>74</xdr:row>
      <xdr:rowOff>95250</xdr:rowOff>
    </xdr:to>
    <xdr:cxnSp macro="">
      <xdr:nvCxnSpPr>
        <xdr:cNvPr id="150" name="Straight Arrow Connector 149">
          <a:extLst>
            <a:ext uri="{FF2B5EF4-FFF2-40B4-BE49-F238E27FC236}">
              <a16:creationId xmlns:a16="http://schemas.microsoft.com/office/drawing/2014/main" id="{00000000-0008-0000-0100-000096000000}"/>
            </a:ext>
          </a:extLst>
        </xdr:cNvPr>
        <xdr:cNvCxnSpPr/>
      </xdr:nvCxnSpPr>
      <xdr:spPr>
        <a:xfrm>
          <a:off x="14211300" y="15106650"/>
          <a:ext cx="22031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409575</xdr:colOff>
      <xdr:row>81</xdr:row>
      <xdr:rowOff>114300</xdr:rowOff>
    </xdr:from>
    <xdr:to>
      <xdr:col>23</xdr:col>
      <xdr:colOff>193285</xdr:colOff>
      <xdr:row>87</xdr:row>
      <xdr:rowOff>164323</xdr:rowOff>
    </xdr:to>
    <xdr:sp macro="" textlink="">
      <xdr:nvSpPr>
        <xdr:cNvPr id="151" name="Rectangle 150">
          <a:extLst>
            <a:ext uri="{FF2B5EF4-FFF2-40B4-BE49-F238E27FC236}">
              <a16:creationId xmlns:a16="http://schemas.microsoft.com/office/drawing/2014/main" id="{00000000-0008-0000-0100-000097000000}"/>
            </a:ext>
          </a:extLst>
        </xdr:cNvPr>
        <xdr:cNvSpPr/>
      </xdr:nvSpPr>
      <xdr:spPr>
        <a:xfrm>
          <a:off x="13211175" y="16535400"/>
          <a:ext cx="1002910" cy="11930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STANDBY Control</a:t>
          </a:r>
          <a:endParaRPr lang="en-US" sz="800" baseline="0"/>
        </a:p>
        <a:p>
          <a:pPr algn="ctr"/>
          <a:r>
            <a:rPr lang="en-US" sz="800"/>
            <a:t>MC_ME_STANDBY_MC[FXOSCON]</a:t>
          </a:r>
        </a:p>
      </xdr:txBody>
    </xdr:sp>
    <xdr:clientData/>
  </xdr:twoCellAnchor>
  <xdr:twoCellAnchor>
    <xdr:from>
      <xdr:col>18</xdr:col>
      <xdr:colOff>314325</xdr:colOff>
      <xdr:row>84</xdr:row>
      <xdr:rowOff>85725</xdr:rowOff>
    </xdr:from>
    <xdr:to>
      <xdr:col>21</xdr:col>
      <xdr:colOff>400050</xdr:colOff>
      <xdr:row>84</xdr:row>
      <xdr:rowOff>85725</xdr:rowOff>
    </xdr:to>
    <xdr:cxnSp macro="">
      <xdr:nvCxnSpPr>
        <xdr:cNvPr id="152" name="Straight Arrow Connector 151">
          <a:extLst>
            <a:ext uri="{FF2B5EF4-FFF2-40B4-BE49-F238E27FC236}">
              <a16:creationId xmlns:a16="http://schemas.microsoft.com/office/drawing/2014/main" id="{00000000-0008-0000-0100-000098000000}"/>
            </a:ext>
          </a:extLst>
        </xdr:cNvPr>
        <xdr:cNvCxnSpPr/>
      </xdr:nvCxnSpPr>
      <xdr:spPr>
        <a:xfrm>
          <a:off x="11287125" y="17078325"/>
          <a:ext cx="191452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200025</xdr:colOff>
      <xdr:row>84</xdr:row>
      <xdr:rowOff>104775</xdr:rowOff>
    </xdr:from>
    <xdr:to>
      <xdr:col>26</xdr:col>
      <xdr:colOff>574402</xdr:colOff>
      <xdr:row>84</xdr:row>
      <xdr:rowOff>104775</xdr:rowOff>
    </xdr:to>
    <xdr:cxnSp macro="">
      <xdr:nvCxnSpPr>
        <xdr:cNvPr id="153" name="Straight Arrow Connector 152">
          <a:extLst>
            <a:ext uri="{FF2B5EF4-FFF2-40B4-BE49-F238E27FC236}">
              <a16:creationId xmlns:a16="http://schemas.microsoft.com/office/drawing/2014/main" id="{00000000-0008-0000-0100-000099000000}"/>
            </a:ext>
          </a:extLst>
        </xdr:cNvPr>
        <xdr:cNvCxnSpPr/>
      </xdr:nvCxnSpPr>
      <xdr:spPr>
        <a:xfrm>
          <a:off x="14220825" y="17097375"/>
          <a:ext cx="22031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571500</xdr:colOff>
      <xdr:row>83</xdr:row>
      <xdr:rowOff>66675</xdr:rowOff>
    </xdr:from>
    <xdr:ext cx="1738147" cy="419101"/>
    <xdr:sp macro="" textlink="">
      <xdr:nvSpPr>
        <xdr:cNvPr id="154" name="TextBox 153">
          <a:extLst>
            <a:ext uri="{FF2B5EF4-FFF2-40B4-BE49-F238E27FC236}">
              <a16:creationId xmlns:a16="http://schemas.microsoft.com/office/drawing/2014/main" id="{00000000-0008-0000-0100-00009A000000}"/>
            </a:ext>
          </a:extLst>
        </xdr:cNvPr>
        <xdr:cNvSpPr txBox="1"/>
      </xdr:nvSpPr>
      <xdr:spPr>
        <a:xfrm>
          <a:off x="17030700" y="16868775"/>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FXOSC (STANDBY)</a:t>
          </a:r>
        </a:p>
      </xdr:txBody>
    </xdr:sp>
    <xdr:clientData/>
  </xdr:oneCellAnchor>
  <xdr:oneCellAnchor>
    <xdr:from>
      <xdr:col>21</xdr:col>
      <xdr:colOff>561975</xdr:colOff>
      <xdr:row>88</xdr:row>
      <xdr:rowOff>200025</xdr:rowOff>
    </xdr:from>
    <xdr:ext cx="926641" cy="381000"/>
    <xdr:sp macro="" textlink="">
      <xdr:nvSpPr>
        <xdr:cNvPr id="155" name="TextBox 154">
          <a:extLst>
            <a:ext uri="{FF2B5EF4-FFF2-40B4-BE49-F238E27FC236}">
              <a16:creationId xmlns:a16="http://schemas.microsoft.com/office/drawing/2014/main" id="{00000000-0008-0000-0100-00009B000000}"/>
            </a:ext>
          </a:extLst>
        </xdr:cNvPr>
        <xdr:cNvSpPr txBox="1"/>
      </xdr:nvSpPr>
      <xdr:spPr>
        <a:xfrm>
          <a:off x="13363575" y="17964150"/>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 Off</a:t>
          </a:r>
        </a:p>
        <a:p>
          <a:r>
            <a:rPr lang="en-US" sz="800"/>
            <a:t>1 - FXOSC</a:t>
          </a:r>
          <a:r>
            <a:rPr lang="en-US" sz="800" baseline="0"/>
            <a:t> On</a:t>
          </a:r>
          <a:endParaRPr lang="en-US" sz="800"/>
        </a:p>
      </xdr:txBody>
    </xdr:sp>
    <xdr:clientData/>
  </xdr:oneCellAnchor>
  <xdr:twoCellAnchor>
    <xdr:from>
      <xdr:col>31</xdr:col>
      <xdr:colOff>395288</xdr:colOff>
      <xdr:row>0</xdr:row>
      <xdr:rowOff>76206</xdr:rowOff>
    </xdr:from>
    <xdr:to>
      <xdr:col>45</xdr:col>
      <xdr:colOff>244079</xdr:colOff>
      <xdr:row>96</xdr:row>
      <xdr:rowOff>14288</xdr:rowOff>
    </xdr:to>
    <xdr:grpSp>
      <xdr:nvGrpSpPr>
        <xdr:cNvPr id="206" name="Group 205">
          <a:extLst>
            <a:ext uri="{FF2B5EF4-FFF2-40B4-BE49-F238E27FC236}">
              <a16:creationId xmlns:a16="http://schemas.microsoft.com/office/drawing/2014/main" id="{00000000-0008-0000-0100-0000CE000000}"/>
            </a:ext>
          </a:extLst>
        </xdr:cNvPr>
        <xdr:cNvGrpSpPr/>
      </xdr:nvGrpSpPr>
      <xdr:grpSpPr>
        <a:xfrm>
          <a:off x="19292888" y="76206"/>
          <a:ext cx="8383191" cy="18698522"/>
          <a:chOff x="19292888" y="123387"/>
          <a:chExt cx="8383191" cy="19407256"/>
        </a:xfrm>
      </xdr:grpSpPr>
      <xdr:grpSp>
        <xdr:nvGrpSpPr>
          <xdr:cNvPr id="190" name="Group 189">
            <a:extLst>
              <a:ext uri="{FF2B5EF4-FFF2-40B4-BE49-F238E27FC236}">
                <a16:creationId xmlns:a16="http://schemas.microsoft.com/office/drawing/2014/main" id="{00000000-0008-0000-0100-0000BE000000}"/>
              </a:ext>
            </a:extLst>
          </xdr:cNvPr>
          <xdr:cNvGrpSpPr/>
        </xdr:nvGrpSpPr>
        <xdr:grpSpPr>
          <a:xfrm>
            <a:off x="19292888" y="123387"/>
            <a:ext cx="8383191" cy="18097949"/>
            <a:chOff x="19292888" y="123327"/>
            <a:chExt cx="8383191" cy="18078182"/>
          </a:xfrm>
        </xdr:grpSpPr>
        <xdr:grpSp>
          <xdr:nvGrpSpPr>
            <xdr:cNvPr id="183" name="Group 182">
              <a:extLst>
                <a:ext uri="{FF2B5EF4-FFF2-40B4-BE49-F238E27FC236}">
                  <a16:creationId xmlns:a16="http://schemas.microsoft.com/office/drawing/2014/main" id="{00000000-0008-0000-0100-0000B7000000}"/>
                </a:ext>
              </a:extLst>
            </xdr:cNvPr>
            <xdr:cNvGrpSpPr/>
          </xdr:nvGrpSpPr>
          <xdr:grpSpPr>
            <a:xfrm>
              <a:off x="19292888" y="123327"/>
              <a:ext cx="8383191" cy="18078182"/>
              <a:chOff x="19292888" y="123255"/>
              <a:chExt cx="8383191" cy="18056160"/>
            </a:xfrm>
          </xdr:grpSpPr>
          <xdr:grpSp>
            <xdr:nvGrpSpPr>
              <xdr:cNvPr id="175" name="Group 174">
                <a:extLst>
                  <a:ext uri="{FF2B5EF4-FFF2-40B4-BE49-F238E27FC236}">
                    <a16:creationId xmlns:a16="http://schemas.microsoft.com/office/drawing/2014/main" id="{00000000-0008-0000-0100-0000AF000000}"/>
                  </a:ext>
                </a:extLst>
              </xdr:cNvPr>
              <xdr:cNvGrpSpPr/>
            </xdr:nvGrpSpPr>
            <xdr:grpSpPr>
              <a:xfrm>
                <a:off x="19292888" y="123255"/>
                <a:ext cx="8383191" cy="18056160"/>
                <a:chOff x="19292888" y="123099"/>
                <a:chExt cx="8383191" cy="18006436"/>
              </a:xfrm>
            </xdr:grpSpPr>
            <xdr:grpSp>
              <xdr:nvGrpSpPr>
                <xdr:cNvPr id="169" name="Group 168">
                  <a:extLst>
                    <a:ext uri="{FF2B5EF4-FFF2-40B4-BE49-F238E27FC236}">
                      <a16:creationId xmlns:a16="http://schemas.microsoft.com/office/drawing/2014/main" id="{00000000-0008-0000-0100-0000A9000000}"/>
                    </a:ext>
                  </a:extLst>
                </xdr:cNvPr>
                <xdr:cNvGrpSpPr/>
              </xdr:nvGrpSpPr>
              <xdr:grpSpPr>
                <a:xfrm>
                  <a:off x="19292888" y="123099"/>
                  <a:ext cx="8377237" cy="18006436"/>
                  <a:chOff x="19292888" y="123009"/>
                  <a:chExt cx="8377237" cy="17977838"/>
                </a:xfrm>
              </xdr:grpSpPr>
              <xdr:grpSp>
                <xdr:nvGrpSpPr>
                  <xdr:cNvPr id="165" name="Group 164">
                    <a:extLst>
                      <a:ext uri="{FF2B5EF4-FFF2-40B4-BE49-F238E27FC236}">
                        <a16:creationId xmlns:a16="http://schemas.microsoft.com/office/drawing/2014/main" id="{00000000-0008-0000-0100-0000A5000000}"/>
                      </a:ext>
                    </a:extLst>
                  </xdr:cNvPr>
                  <xdr:cNvGrpSpPr/>
                </xdr:nvGrpSpPr>
                <xdr:grpSpPr>
                  <a:xfrm>
                    <a:off x="19292888" y="123009"/>
                    <a:ext cx="8377237" cy="17977838"/>
                    <a:chOff x="19292888" y="123009"/>
                    <a:chExt cx="8377237" cy="17977838"/>
                  </a:xfrm>
                </xdr:grpSpPr>
                <xdr:grpSp>
                  <xdr:nvGrpSpPr>
                    <xdr:cNvPr id="92" name="Group 91">
                      <a:extLst>
                        <a:ext uri="{FF2B5EF4-FFF2-40B4-BE49-F238E27FC236}">
                          <a16:creationId xmlns:a16="http://schemas.microsoft.com/office/drawing/2014/main" id="{00000000-0008-0000-0100-00005C000000}"/>
                        </a:ext>
                      </a:extLst>
                    </xdr:cNvPr>
                    <xdr:cNvGrpSpPr/>
                  </xdr:nvGrpSpPr>
                  <xdr:grpSpPr>
                    <a:xfrm>
                      <a:off x="19292888" y="123009"/>
                      <a:ext cx="8377237" cy="17977838"/>
                      <a:chOff x="19292888" y="122901"/>
                      <a:chExt cx="8377237" cy="17944303"/>
                    </a:xfrm>
                  </xdr:grpSpPr>
                  <xdr:grpSp>
                    <xdr:nvGrpSpPr>
                      <xdr:cNvPr id="83" name="Group 82">
                        <a:extLst>
                          <a:ext uri="{FF2B5EF4-FFF2-40B4-BE49-F238E27FC236}">
                            <a16:creationId xmlns:a16="http://schemas.microsoft.com/office/drawing/2014/main" id="{00000000-0008-0000-0100-000053000000}"/>
                          </a:ext>
                        </a:extLst>
                      </xdr:cNvPr>
                      <xdr:cNvGrpSpPr/>
                    </xdr:nvGrpSpPr>
                    <xdr:grpSpPr>
                      <a:xfrm>
                        <a:off x="19292888" y="122901"/>
                        <a:ext cx="8377237" cy="17944303"/>
                        <a:chOff x="19292888" y="122901"/>
                        <a:chExt cx="8377237" cy="17944303"/>
                      </a:xfrm>
                    </xdr:grpSpPr>
                    <xdr:grpSp>
                      <xdr:nvGrpSpPr>
                        <xdr:cNvPr id="3" name="Group 2">
                          <a:extLst>
                            <a:ext uri="{FF2B5EF4-FFF2-40B4-BE49-F238E27FC236}">
                              <a16:creationId xmlns:a16="http://schemas.microsoft.com/office/drawing/2014/main" id="{00000000-0008-0000-0100-000003000000}"/>
                            </a:ext>
                          </a:extLst>
                        </xdr:cNvPr>
                        <xdr:cNvGrpSpPr/>
                      </xdr:nvGrpSpPr>
                      <xdr:grpSpPr>
                        <a:xfrm>
                          <a:off x="19292888" y="122901"/>
                          <a:ext cx="8377237" cy="17944303"/>
                          <a:chOff x="2214563" y="9805992"/>
                          <a:chExt cx="8377237" cy="17039553"/>
                        </a:xfrm>
                      </xdr:grpSpPr>
                      <xdr:cxnSp macro="">
                        <xdr:nvCxnSpPr>
                          <xdr:cNvPr id="42" name="Straight Arrow Connector 41">
                            <a:extLst>
                              <a:ext uri="{FF2B5EF4-FFF2-40B4-BE49-F238E27FC236}">
                                <a16:creationId xmlns:a16="http://schemas.microsoft.com/office/drawing/2014/main" id="{00000000-0008-0000-0100-00002A000000}"/>
                              </a:ext>
                            </a:extLst>
                          </xdr:cNvPr>
                          <xdr:cNvCxnSpPr/>
                        </xdr:nvCxnSpPr>
                        <xdr:spPr>
                          <a:xfrm>
                            <a:off x="2730103" y="10296525"/>
                            <a:ext cx="0" cy="16549020"/>
                          </a:xfrm>
                          <a:prstGeom prst="straightConnector1">
                            <a:avLst/>
                          </a:prstGeom>
                          <a:ln w="38100">
                            <a:solidFill>
                              <a:schemeClr val="accent2"/>
                            </a:solidFill>
                            <a:prstDash val="sysDash"/>
                            <a:tailEnd type="none"/>
                          </a:ln>
                        </xdr:spPr>
                        <xdr:style>
                          <a:lnRef idx="1">
                            <a:schemeClr val="dk1"/>
                          </a:lnRef>
                          <a:fillRef idx="0">
                            <a:schemeClr val="dk1"/>
                          </a:fillRef>
                          <a:effectRef idx="0">
                            <a:schemeClr val="dk1"/>
                          </a:effectRef>
                          <a:fontRef idx="minor">
                            <a:schemeClr val="tx1"/>
                          </a:fontRef>
                        </xdr:style>
                      </xdr:cxnSp>
                      <xdr:sp macro="" textlink="">
                        <xdr:nvSpPr>
                          <xdr:cNvPr id="43" name="TextBox 42">
                            <a:extLst>
                              <a:ext uri="{FF2B5EF4-FFF2-40B4-BE49-F238E27FC236}">
                                <a16:creationId xmlns:a16="http://schemas.microsoft.com/office/drawing/2014/main" id="{00000000-0008-0000-0100-00002B000000}"/>
                              </a:ext>
                            </a:extLst>
                          </xdr:cNvPr>
                          <xdr:cNvSpPr txBox="1"/>
                        </xdr:nvSpPr>
                        <xdr:spPr>
                          <a:xfrm>
                            <a:off x="2214563" y="980599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a:t>
                            </a:r>
                          </a:p>
                        </xdr:txBody>
                      </xdr:sp>
                      <xdr:cxnSp macro="">
                        <xdr:nvCxnSpPr>
                          <xdr:cNvPr id="44" name="Straight Arrow Connector 43">
                            <a:extLst>
                              <a:ext uri="{FF2B5EF4-FFF2-40B4-BE49-F238E27FC236}">
                                <a16:creationId xmlns:a16="http://schemas.microsoft.com/office/drawing/2014/main" id="{00000000-0008-0000-0100-00002C000000}"/>
                              </a:ext>
                            </a:extLst>
                          </xdr:cNvPr>
                          <xdr:cNvCxnSpPr/>
                        </xdr:nvCxnSpPr>
                        <xdr:spPr>
                          <a:xfrm>
                            <a:off x="2747962" y="10873062"/>
                            <a:ext cx="193595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46" name="Rectangle 45">
                            <a:extLst>
                              <a:ext uri="{FF2B5EF4-FFF2-40B4-BE49-F238E27FC236}">
                                <a16:creationId xmlns:a16="http://schemas.microsoft.com/office/drawing/2014/main" id="{00000000-0008-0000-0100-00002E000000}"/>
                              </a:ext>
                            </a:extLst>
                          </xdr:cNvPr>
                          <xdr:cNvSpPr/>
                        </xdr:nvSpPr>
                        <xdr:spPr>
                          <a:xfrm>
                            <a:off x="4686301" y="10346925"/>
                            <a:ext cx="1002909" cy="10787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LPU_RUN/LPU_SLEEP Control</a:t>
                            </a:r>
                          </a:p>
                          <a:p>
                            <a:pPr algn="ctr"/>
                            <a:r>
                              <a:rPr lang="en-US" sz="800" baseline="0"/>
                              <a:t>LPU_RUN_CF[SIRC_ON]</a:t>
                            </a:r>
                            <a:endParaRPr lang="en-US" sz="800"/>
                          </a:p>
                        </xdr:txBody>
                      </xdr:sp>
                      <xdr:cxnSp macro="">
                        <xdr:nvCxnSpPr>
                          <xdr:cNvPr id="49" name="Straight Arrow Connector 48">
                            <a:extLst>
                              <a:ext uri="{FF2B5EF4-FFF2-40B4-BE49-F238E27FC236}">
                                <a16:creationId xmlns:a16="http://schemas.microsoft.com/office/drawing/2014/main" id="{00000000-0008-0000-0100-000031000000}"/>
                              </a:ext>
                            </a:extLst>
                          </xdr:cNvPr>
                          <xdr:cNvCxnSpPr/>
                        </xdr:nvCxnSpPr>
                        <xdr:spPr>
                          <a:xfrm>
                            <a:off x="5704284" y="10771682"/>
                            <a:ext cx="1590676"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51" name="TextBox 50">
                            <a:extLst>
                              <a:ext uri="{FF2B5EF4-FFF2-40B4-BE49-F238E27FC236}">
                                <a16:creationId xmlns:a16="http://schemas.microsoft.com/office/drawing/2014/main" id="{00000000-0008-0000-0100-000033000000}"/>
                              </a:ext>
                            </a:extLst>
                          </xdr:cNvPr>
                          <xdr:cNvSpPr txBox="1"/>
                        </xdr:nvSpPr>
                        <xdr:spPr>
                          <a:xfrm>
                            <a:off x="7892653" y="10514076"/>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 (LPU_RUN/LPU_SLEEP)</a:t>
                            </a:r>
                          </a:p>
                        </xdr:txBody>
                      </xdr:sp>
                      <xdr:sp macro="" textlink="">
                        <xdr:nvSpPr>
                          <xdr:cNvPr id="52" name="TextBox 51">
                            <a:extLst>
                              <a:ext uri="{FF2B5EF4-FFF2-40B4-BE49-F238E27FC236}">
                                <a16:creationId xmlns:a16="http://schemas.microsoft.com/office/drawing/2014/main" id="{00000000-0008-0000-0100-000034000000}"/>
                              </a:ext>
                            </a:extLst>
                          </xdr:cNvPr>
                          <xdr:cNvSpPr txBox="1"/>
                        </xdr:nvSpPr>
                        <xdr:spPr>
                          <a:xfrm>
                            <a:off x="4828395" y="11671729"/>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cxnSp macro="">
                        <xdr:nvCxnSpPr>
                          <xdr:cNvPr id="53" name="Straight Arrow Connector 52">
                            <a:extLst>
                              <a:ext uri="{FF2B5EF4-FFF2-40B4-BE49-F238E27FC236}">
                                <a16:creationId xmlns:a16="http://schemas.microsoft.com/office/drawing/2014/main" id="{00000000-0008-0000-0100-000035000000}"/>
                              </a:ext>
                            </a:extLst>
                          </xdr:cNvPr>
                          <xdr:cNvCxnSpPr/>
                        </xdr:nvCxnSpPr>
                        <xdr:spPr>
                          <a:xfrm>
                            <a:off x="2718197" y="12668721"/>
                            <a:ext cx="193595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54" name="Rectangle 53">
                            <a:extLst>
                              <a:ext uri="{FF2B5EF4-FFF2-40B4-BE49-F238E27FC236}">
                                <a16:creationId xmlns:a16="http://schemas.microsoft.com/office/drawing/2014/main" id="{00000000-0008-0000-0100-000036000000}"/>
                              </a:ext>
                            </a:extLst>
                          </xdr:cNvPr>
                          <xdr:cNvSpPr/>
                        </xdr:nvSpPr>
                        <xdr:spPr>
                          <a:xfrm>
                            <a:off x="4666059" y="12150221"/>
                            <a:ext cx="1002909" cy="119183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LPU_STOP Control</a:t>
                            </a:r>
                          </a:p>
                          <a:p>
                            <a:pPr algn="ctr"/>
                            <a:r>
                              <a:rPr lang="en-US" sz="800" baseline="0"/>
                              <a:t>LPU_STOP_CF[SIRC_ON]</a:t>
                            </a:r>
                            <a:endParaRPr lang="en-US" sz="800"/>
                          </a:p>
                        </xdr:txBody>
                      </xdr:sp>
                      <xdr:sp macro="" textlink="">
                        <xdr:nvSpPr>
                          <xdr:cNvPr id="55" name="TextBox 54">
                            <a:extLst>
                              <a:ext uri="{FF2B5EF4-FFF2-40B4-BE49-F238E27FC236}">
                                <a16:creationId xmlns:a16="http://schemas.microsoft.com/office/drawing/2014/main" id="{00000000-0008-0000-0100-000037000000}"/>
                              </a:ext>
                            </a:extLst>
                          </xdr:cNvPr>
                          <xdr:cNvSpPr txBox="1"/>
                        </xdr:nvSpPr>
                        <xdr:spPr>
                          <a:xfrm>
                            <a:off x="4814888" y="13606222"/>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cxnSp macro="">
                        <xdr:nvCxnSpPr>
                          <xdr:cNvPr id="56" name="Straight Arrow Connector 55">
                            <a:extLst>
                              <a:ext uri="{FF2B5EF4-FFF2-40B4-BE49-F238E27FC236}">
                                <a16:creationId xmlns:a16="http://schemas.microsoft.com/office/drawing/2014/main" id="{00000000-0008-0000-0100-000038000000}"/>
                              </a:ext>
                            </a:extLst>
                          </xdr:cNvPr>
                          <xdr:cNvCxnSpPr/>
                        </xdr:nvCxnSpPr>
                        <xdr:spPr>
                          <a:xfrm>
                            <a:off x="5680471" y="12726541"/>
                            <a:ext cx="1590676"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7898606" y="12528625"/>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 (LPU_STOP)</a:t>
                            </a:r>
                          </a:p>
                        </xdr:txBody>
                      </xdr:sp>
                      <xdr:cxnSp macro="">
                        <xdr:nvCxnSpPr>
                          <xdr:cNvPr id="58" name="Straight Arrow Connector 57">
                            <a:extLst>
                              <a:ext uri="{FF2B5EF4-FFF2-40B4-BE49-F238E27FC236}">
                                <a16:creationId xmlns:a16="http://schemas.microsoft.com/office/drawing/2014/main" id="{00000000-0008-0000-0100-00003A000000}"/>
                              </a:ext>
                            </a:extLst>
                          </xdr:cNvPr>
                          <xdr:cNvCxnSpPr/>
                        </xdr:nvCxnSpPr>
                        <xdr:spPr>
                          <a:xfrm>
                            <a:off x="2724151" y="14529894"/>
                            <a:ext cx="193595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60" name="Rectangle 59">
                            <a:extLst>
                              <a:ext uri="{FF2B5EF4-FFF2-40B4-BE49-F238E27FC236}">
                                <a16:creationId xmlns:a16="http://schemas.microsoft.com/office/drawing/2014/main" id="{00000000-0008-0000-0100-00003C000000}"/>
                              </a:ext>
                            </a:extLst>
                          </xdr:cNvPr>
                          <xdr:cNvSpPr/>
                        </xdr:nvSpPr>
                        <xdr:spPr>
                          <a:xfrm>
                            <a:off x="4660107" y="13949939"/>
                            <a:ext cx="1002909" cy="11460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LPU_STANDBY Control</a:t>
                            </a:r>
                          </a:p>
                          <a:p>
                            <a:pPr algn="ctr"/>
                            <a:r>
                              <a:rPr lang="en-US" sz="800" baseline="0"/>
                              <a:t>LPU_STANDBY_CF[SIRC_ON]</a:t>
                            </a:r>
                            <a:endParaRPr lang="en-US" sz="800"/>
                          </a:p>
                        </xdr:txBody>
                      </xdr:sp>
                      <xdr:sp macro="" textlink="">
                        <xdr:nvSpPr>
                          <xdr:cNvPr id="61" name="TextBox 60">
                            <a:extLst>
                              <a:ext uri="{FF2B5EF4-FFF2-40B4-BE49-F238E27FC236}">
                                <a16:creationId xmlns:a16="http://schemas.microsoft.com/office/drawing/2014/main" id="{00000000-0008-0000-0100-00003D000000}"/>
                              </a:ext>
                            </a:extLst>
                          </xdr:cNvPr>
                          <xdr:cNvSpPr txBox="1"/>
                        </xdr:nvSpPr>
                        <xdr:spPr>
                          <a:xfrm>
                            <a:off x="4820841" y="15358666"/>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cxnSp macro="">
                        <xdr:nvCxnSpPr>
                          <xdr:cNvPr id="62" name="Straight Arrow Connector 61">
                            <a:extLst>
                              <a:ext uri="{FF2B5EF4-FFF2-40B4-BE49-F238E27FC236}">
                                <a16:creationId xmlns:a16="http://schemas.microsoft.com/office/drawing/2014/main" id="{00000000-0008-0000-0100-00003E000000}"/>
                              </a:ext>
                            </a:extLst>
                          </xdr:cNvPr>
                          <xdr:cNvCxnSpPr/>
                        </xdr:nvCxnSpPr>
                        <xdr:spPr>
                          <a:xfrm>
                            <a:off x="5674518" y="14483294"/>
                            <a:ext cx="1590676"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7880746" y="14300431"/>
                            <a:ext cx="1600199"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(LPU_STANDBY)</a:t>
                            </a:r>
                          </a:p>
                        </xdr:txBody>
                      </xdr:sp>
                      <xdr:cxnSp macro="">
                        <xdr:nvCxnSpPr>
                          <xdr:cNvPr id="108" name="Straight Arrow Connector 107">
                            <a:extLst>
                              <a:ext uri="{FF2B5EF4-FFF2-40B4-BE49-F238E27FC236}">
                                <a16:creationId xmlns:a16="http://schemas.microsoft.com/office/drawing/2014/main" id="{00000000-0008-0000-0100-00006C000000}"/>
                              </a:ext>
                            </a:extLst>
                          </xdr:cNvPr>
                          <xdr:cNvCxnSpPr/>
                        </xdr:nvCxnSpPr>
                        <xdr:spPr>
                          <a:xfrm>
                            <a:off x="2724151" y="16461049"/>
                            <a:ext cx="193595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09" name="Rectangle 108">
                            <a:extLst>
                              <a:ext uri="{FF2B5EF4-FFF2-40B4-BE49-F238E27FC236}">
                                <a16:creationId xmlns:a16="http://schemas.microsoft.com/office/drawing/2014/main" id="{00000000-0008-0000-0100-00006D000000}"/>
                              </a:ext>
                            </a:extLst>
                          </xdr:cNvPr>
                          <xdr:cNvSpPr/>
                        </xdr:nvSpPr>
                        <xdr:spPr>
                          <a:xfrm>
                            <a:off x="4656534" y="15876397"/>
                            <a:ext cx="1002909" cy="11739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DRUN Control</a:t>
                            </a:r>
                            <a:endParaRPr lang="en-US" sz="800" baseline="0"/>
                          </a:p>
                          <a:p>
                            <a:pPr algn="ctr"/>
                            <a:r>
                              <a:rPr lang="en-US" sz="800"/>
                              <a:t>MC_ME_DRUN_MC[SIRCON]</a:t>
                            </a:r>
                          </a:p>
                        </xdr:txBody>
                      </xdr:sp>
                      <xdr:cxnSp macro="">
                        <xdr:nvCxnSpPr>
                          <xdr:cNvPr id="111" name="Straight Arrow Connector 110">
                            <a:extLst>
                              <a:ext uri="{FF2B5EF4-FFF2-40B4-BE49-F238E27FC236}">
                                <a16:creationId xmlns:a16="http://schemas.microsoft.com/office/drawing/2014/main" id="{00000000-0008-0000-0100-00006F000000}"/>
                              </a:ext>
                            </a:extLst>
                          </xdr:cNvPr>
                          <xdr:cNvCxnSpPr/>
                        </xdr:nvCxnSpPr>
                        <xdr:spPr>
                          <a:xfrm>
                            <a:off x="5680473" y="16429576"/>
                            <a:ext cx="164068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4838700" y="17224595"/>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7880746" y="16186054"/>
                            <a:ext cx="2711054"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(DRUN)</a:t>
                            </a:r>
                          </a:p>
                        </xdr:txBody>
                      </xdr:sp>
                    </xdr:grpSp>
                    <xdr:cxnSp macro="">
                      <xdr:nvCxnSpPr>
                        <xdr:cNvPr id="156" name="Straight Arrow Connector 155">
                          <a:extLst>
                            <a:ext uri="{FF2B5EF4-FFF2-40B4-BE49-F238E27FC236}">
                              <a16:creationId xmlns:a16="http://schemas.microsoft.com/office/drawing/2014/main" id="{00000000-0008-0000-0100-00009C000000}"/>
                            </a:ext>
                          </a:extLst>
                        </xdr:cNvPr>
                        <xdr:cNvCxnSpPr/>
                      </xdr:nvCxnSpPr>
                      <xdr:spPr>
                        <a:xfrm>
                          <a:off x="19792950" y="8969828"/>
                          <a:ext cx="193595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57" name="Rectangle 156">
                          <a:extLst>
                            <a:ext uri="{FF2B5EF4-FFF2-40B4-BE49-F238E27FC236}">
                              <a16:creationId xmlns:a16="http://schemas.microsoft.com/office/drawing/2014/main" id="{00000000-0008-0000-0100-00009D000000}"/>
                            </a:ext>
                          </a:extLst>
                        </xdr:cNvPr>
                        <xdr:cNvSpPr/>
                      </xdr:nvSpPr>
                      <xdr:spPr>
                        <a:xfrm>
                          <a:off x="21734858" y="8326092"/>
                          <a:ext cx="1002909" cy="12363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RUN0 Control</a:t>
                          </a:r>
                          <a:endParaRPr lang="en-US" sz="800" baseline="0"/>
                        </a:p>
                        <a:p>
                          <a:pPr algn="ctr"/>
                          <a:r>
                            <a:rPr lang="en-US" sz="800"/>
                            <a:t>MC_ME_RUN0_MC[SIRCON]</a:t>
                          </a:r>
                        </a:p>
                      </xdr:txBody>
                    </xdr:sp>
                    <xdr:cxnSp macro="">
                      <xdr:nvCxnSpPr>
                        <xdr:cNvPr id="158" name="Straight Arrow Connector 157">
                          <a:extLst>
                            <a:ext uri="{FF2B5EF4-FFF2-40B4-BE49-F238E27FC236}">
                              <a16:creationId xmlns:a16="http://schemas.microsoft.com/office/drawing/2014/main" id="{00000000-0008-0000-0100-00009E000000}"/>
                            </a:ext>
                          </a:extLst>
                        </xdr:cNvPr>
                        <xdr:cNvCxnSpPr/>
                      </xdr:nvCxnSpPr>
                      <xdr:spPr>
                        <a:xfrm>
                          <a:off x="22749272" y="8917997"/>
                          <a:ext cx="164068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59" name="TextBox 158">
                          <a:extLst>
                            <a:ext uri="{FF2B5EF4-FFF2-40B4-BE49-F238E27FC236}">
                              <a16:creationId xmlns:a16="http://schemas.microsoft.com/office/drawing/2014/main" id="{00000000-0008-0000-0100-00009F000000}"/>
                            </a:ext>
                          </a:extLst>
                        </xdr:cNvPr>
                        <xdr:cNvSpPr txBox="1"/>
                      </xdr:nvSpPr>
                      <xdr:spPr>
                        <a:xfrm>
                          <a:off x="21907499" y="9783204"/>
                          <a:ext cx="926641" cy="4012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grpSp>
                  <xdr:sp macro="" textlink="">
                    <xdr:nvSpPr>
                      <xdr:cNvPr id="160" name="TextBox 159">
                        <a:extLst>
                          <a:ext uri="{FF2B5EF4-FFF2-40B4-BE49-F238E27FC236}">
                            <a16:creationId xmlns:a16="http://schemas.microsoft.com/office/drawing/2014/main" id="{00000000-0008-0000-0100-0000A0000000}"/>
                          </a:ext>
                        </a:extLst>
                      </xdr:cNvPr>
                      <xdr:cNvSpPr txBox="1"/>
                    </xdr:nvSpPr>
                    <xdr:spPr>
                      <a:xfrm>
                        <a:off x="24955500" y="8675864"/>
                        <a:ext cx="2711054" cy="4413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(RUN0)</a:t>
                        </a:r>
                      </a:p>
                    </xdr:txBody>
                  </xdr:sp>
                </xdr:grpSp>
                <xdr:cxnSp macro="">
                  <xdr:nvCxnSpPr>
                    <xdr:cNvPr id="161" name="Straight Arrow Connector 160">
                      <a:extLst>
                        <a:ext uri="{FF2B5EF4-FFF2-40B4-BE49-F238E27FC236}">
                          <a16:creationId xmlns:a16="http://schemas.microsoft.com/office/drawing/2014/main" id="{00000000-0008-0000-0100-0000A1000000}"/>
                        </a:ext>
                      </a:extLst>
                    </xdr:cNvPr>
                    <xdr:cNvCxnSpPr/>
                  </xdr:nvCxnSpPr>
                  <xdr:spPr>
                    <a:xfrm>
                      <a:off x="19831050" y="10780677"/>
                      <a:ext cx="187880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62" name="Rectangle 161">
                      <a:extLst>
                        <a:ext uri="{FF2B5EF4-FFF2-40B4-BE49-F238E27FC236}">
                          <a16:creationId xmlns:a16="http://schemas.microsoft.com/office/drawing/2014/main" id="{00000000-0008-0000-0100-0000A2000000}"/>
                        </a:ext>
                      </a:extLst>
                    </xdr:cNvPr>
                    <xdr:cNvSpPr/>
                  </xdr:nvSpPr>
                  <xdr:spPr>
                    <a:xfrm>
                      <a:off x="21715808" y="10163420"/>
                      <a:ext cx="1002909" cy="12386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RUN1 Control</a:t>
                      </a:r>
                      <a:endParaRPr lang="en-US" sz="800" baseline="0"/>
                    </a:p>
                    <a:p>
                      <a:pPr algn="ctr"/>
                      <a:r>
                        <a:rPr lang="en-US" sz="800"/>
                        <a:t>MC_ME_RUN1_MC[SIRCON]</a:t>
                      </a:r>
                    </a:p>
                  </xdr:txBody>
                </xdr:sp>
                <xdr:cxnSp macro="">
                  <xdr:nvCxnSpPr>
                    <xdr:cNvPr id="163" name="Straight Arrow Connector 162">
                      <a:extLst>
                        <a:ext uri="{FF2B5EF4-FFF2-40B4-BE49-F238E27FC236}">
                          <a16:creationId xmlns:a16="http://schemas.microsoft.com/office/drawing/2014/main" id="{00000000-0008-0000-0100-0000A3000000}"/>
                        </a:ext>
                      </a:extLst>
                    </xdr:cNvPr>
                    <xdr:cNvCxnSpPr/>
                  </xdr:nvCxnSpPr>
                  <xdr:spPr>
                    <a:xfrm>
                      <a:off x="22730222" y="10577657"/>
                      <a:ext cx="164068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64" name="TextBox 163">
                      <a:extLst>
                        <a:ext uri="{FF2B5EF4-FFF2-40B4-BE49-F238E27FC236}">
                          <a16:creationId xmlns:a16="http://schemas.microsoft.com/office/drawing/2014/main" id="{00000000-0008-0000-0100-0000A4000000}"/>
                        </a:ext>
                      </a:extLst>
                    </xdr:cNvPr>
                    <xdr:cNvSpPr txBox="1"/>
                  </xdr:nvSpPr>
                  <xdr:spPr>
                    <a:xfrm>
                      <a:off x="24936450" y="10363521"/>
                      <a:ext cx="2711054" cy="4421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(RUN1)</a:t>
                      </a:r>
                    </a:p>
                  </xdr:txBody>
                </xdr:sp>
              </xdr:grpSp>
              <xdr:sp macro="" textlink="">
                <xdr:nvSpPr>
                  <xdr:cNvPr id="168" name="TextBox 167">
                    <a:extLst>
                      <a:ext uri="{FF2B5EF4-FFF2-40B4-BE49-F238E27FC236}">
                        <a16:creationId xmlns:a16="http://schemas.microsoft.com/office/drawing/2014/main" id="{00000000-0008-0000-0100-0000A8000000}"/>
                      </a:ext>
                    </a:extLst>
                  </xdr:cNvPr>
                  <xdr:cNvSpPr txBox="1"/>
                </xdr:nvSpPr>
                <xdr:spPr>
                  <a:xfrm>
                    <a:off x="21888450" y="11639550"/>
                    <a:ext cx="926641" cy="4019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grpSp>
            <xdr:cxnSp macro="">
              <xdr:nvCxnSpPr>
                <xdr:cNvPr id="170" name="Straight Arrow Connector 169">
                  <a:extLst>
                    <a:ext uri="{FF2B5EF4-FFF2-40B4-BE49-F238E27FC236}">
                      <a16:creationId xmlns:a16="http://schemas.microsoft.com/office/drawing/2014/main" id="{00000000-0008-0000-0100-0000AA000000}"/>
                    </a:ext>
                  </a:extLst>
                </xdr:cNvPr>
                <xdr:cNvCxnSpPr/>
              </xdr:nvCxnSpPr>
              <xdr:spPr>
                <a:xfrm>
                  <a:off x="19812000" y="12600888"/>
                  <a:ext cx="1926432"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71" name="Rectangle 170">
                  <a:extLst>
                    <a:ext uri="{FF2B5EF4-FFF2-40B4-BE49-F238E27FC236}">
                      <a16:creationId xmlns:a16="http://schemas.microsoft.com/office/drawing/2014/main" id="{00000000-0008-0000-0100-0000AB000000}"/>
                    </a:ext>
                  </a:extLst>
                </xdr:cNvPr>
                <xdr:cNvSpPr/>
              </xdr:nvSpPr>
              <xdr:spPr>
                <a:xfrm>
                  <a:off x="21744383" y="12011025"/>
                  <a:ext cx="1002909" cy="12405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RUN2 Control</a:t>
                  </a:r>
                  <a:endParaRPr lang="en-US" sz="800" baseline="0"/>
                </a:p>
                <a:p>
                  <a:pPr algn="ctr"/>
                  <a:r>
                    <a:rPr lang="en-US" sz="800"/>
                    <a:t>MC_ME_RUN2_MC[SIRCON]</a:t>
                  </a:r>
                </a:p>
              </xdr:txBody>
            </xdr:sp>
            <xdr:cxnSp macro="">
              <xdr:nvCxnSpPr>
                <xdr:cNvPr id="172" name="Straight Arrow Connector 171">
                  <a:extLst>
                    <a:ext uri="{FF2B5EF4-FFF2-40B4-BE49-F238E27FC236}">
                      <a16:creationId xmlns:a16="http://schemas.microsoft.com/office/drawing/2014/main" id="{00000000-0008-0000-0100-0000AC000000}"/>
                    </a:ext>
                  </a:extLst>
                </xdr:cNvPr>
                <xdr:cNvCxnSpPr/>
              </xdr:nvCxnSpPr>
              <xdr:spPr>
                <a:xfrm>
                  <a:off x="22758797" y="12595781"/>
                  <a:ext cx="164068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73" name="TextBox 172">
                  <a:extLst>
                    <a:ext uri="{FF2B5EF4-FFF2-40B4-BE49-F238E27FC236}">
                      <a16:creationId xmlns:a16="http://schemas.microsoft.com/office/drawing/2014/main" id="{00000000-0008-0000-0100-0000AD000000}"/>
                    </a:ext>
                  </a:extLst>
                </xdr:cNvPr>
                <xdr:cNvSpPr txBox="1"/>
              </xdr:nvSpPr>
              <xdr:spPr>
                <a:xfrm>
                  <a:off x="24965025" y="12352819"/>
                  <a:ext cx="2711054" cy="442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(RUN2)</a:t>
                  </a:r>
                </a:p>
              </xdr:txBody>
            </xdr:sp>
            <xdr:sp macro="" textlink="">
              <xdr:nvSpPr>
                <xdr:cNvPr id="174" name="TextBox 173">
                  <a:extLst>
                    <a:ext uri="{FF2B5EF4-FFF2-40B4-BE49-F238E27FC236}">
                      <a16:creationId xmlns:a16="http://schemas.microsoft.com/office/drawing/2014/main" id="{00000000-0008-0000-0100-0000AE000000}"/>
                    </a:ext>
                  </a:extLst>
                </xdr:cNvPr>
                <xdr:cNvSpPr txBox="1"/>
              </xdr:nvSpPr>
              <xdr:spPr>
                <a:xfrm>
                  <a:off x="21917025" y="13461128"/>
                  <a:ext cx="926641" cy="4026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grpSp>
          <xdr:cxnSp macro="">
            <xdr:nvCxnSpPr>
              <xdr:cNvPr id="178" name="Straight Arrow Connector 177">
                <a:extLst>
                  <a:ext uri="{FF2B5EF4-FFF2-40B4-BE49-F238E27FC236}">
                    <a16:creationId xmlns:a16="http://schemas.microsoft.com/office/drawing/2014/main" id="{00000000-0008-0000-0100-0000B2000000}"/>
                  </a:ext>
                </a:extLst>
              </xdr:cNvPr>
              <xdr:cNvCxnSpPr/>
            </xdr:nvCxnSpPr>
            <xdr:spPr>
              <a:xfrm>
                <a:off x="19802475" y="14421792"/>
                <a:ext cx="1926432"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79" name="Rectangle 178">
                <a:extLst>
                  <a:ext uri="{FF2B5EF4-FFF2-40B4-BE49-F238E27FC236}">
                    <a16:creationId xmlns:a16="http://schemas.microsoft.com/office/drawing/2014/main" id="{00000000-0008-0000-0100-0000B3000000}"/>
                  </a:ext>
                </a:extLst>
              </xdr:cNvPr>
              <xdr:cNvSpPr/>
            </xdr:nvSpPr>
            <xdr:spPr>
              <a:xfrm>
                <a:off x="21734858" y="13830300"/>
                <a:ext cx="1002909" cy="12440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RUN3 Control</a:t>
                </a:r>
                <a:endParaRPr lang="en-US" sz="800" baseline="0"/>
              </a:p>
              <a:p>
                <a:pPr algn="ctr"/>
                <a:r>
                  <a:rPr lang="en-US" sz="800"/>
                  <a:t>MC_ME_RUN3_MCE[SIRCON]</a:t>
                </a:r>
              </a:p>
            </xdr:txBody>
          </xdr:sp>
          <xdr:cxnSp macro="">
            <xdr:nvCxnSpPr>
              <xdr:cNvPr id="180" name="Straight Arrow Connector 179">
                <a:extLst>
                  <a:ext uri="{FF2B5EF4-FFF2-40B4-BE49-F238E27FC236}">
                    <a16:creationId xmlns:a16="http://schemas.microsoft.com/office/drawing/2014/main" id="{00000000-0008-0000-0100-0000B4000000}"/>
                  </a:ext>
                </a:extLst>
              </xdr:cNvPr>
              <xdr:cNvCxnSpPr/>
            </xdr:nvCxnSpPr>
            <xdr:spPr>
              <a:xfrm>
                <a:off x="22749272" y="14454302"/>
                <a:ext cx="164068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81" name="TextBox 180">
                <a:extLst>
                  <a:ext uri="{FF2B5EF4-FFF2-40B4-BE49-F238E27FC236}">
                    <a16:creationId xmlns:a16="http://schemas.microsoft.com/office/drawing/2014/main" id="{00000000-0008-0000-0100-0000B5000000}"/>
                  </a:ext>
                </a:extLst>
              </xdr:cNvPr>
              <xdr:cNvSpPr txBox="1"/>
            </xdr:nvSpPr>
            <xdr:spPr>
              <a:xfrm>
                <a:off x="24955500" y="14220109"/>
                <a:ext cx="2711054" cy="4441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(RUN3)</a:t>
                </a:r>
              </a:p>
            </xdr:txBody>
          </xdr:sp>
          <xdr:sp macro="" textlink="">
            <xdr:nvSpPr>
              <xdr:cNvPr id="182" name="TextBox 181">
                <a:extLst>
                  <a:ext uri="{FF2B5EF4-FFF2-40B4-BE49-F238E27FC236}">
                    <a16:creationId xmlns:a16="http://schemas.microsoft.com/office/drawing/2014/main" id="{00000000-0008-0000-0100-0000B6000000}"/>
                  </a:ext>
                </a:extLst>
              </xdr:cNvPr>
              <xdr:cNvSpPr txBox="1"/>
            </xdr:nvSpPr>
            <xdr:spPr>
              <a:xfrm>
                <a:off x="21907500" y="15284407"/>
                <a:ext cx="926641" cy="4037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grpSp>
        <xdr:cxnSp macro="">
          <xdr:nvCxnSpPr>
            <xdr:cNvPr id="185" name="Straight Arrow Connector 184">
              <a:extLst>
                <a:ext uri="{FF2B5EF4-FFF2-40B4-BE49-F238E27FC236}">
                  <a16:creationId xmlns:a16="http://schemas.microsoft.com/office/drawing/2014/main" id="{00000000-0008-0000-0100-0000B9000000}"/>
                </a:ext>
              </a:extLst>
            </xdr:cNvPr>
            <xdr:cNvCxnSpPr/>
          </xdr:nvCxnSpPr>
          <xdr:spPr>
            <a:xfrm>
              <a:off x="19802475" y="16222739"/>
              <a:ext cx="1926432"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86" name="Rectangle 185">
              <a:extLst>
                <a:ext uri="{FF2B5EF4-FFF2-40B4-BE49-F238E27FC236}">
                  <a16:creationId xmlns:a16="http://schemas.microsoft.com/office/drawing/2014/main" id="{00000000-0008-0000-0100-0000BA000000}"/>
                </a:ext>
              </a:extLst>
            </xdr:cNvPr>
            <xdr:cNvSpPr/>
          </xdr:nvSpPr>
          <xdr:spPr>
            <a:xfrm>
              <a:off x="21734858" y="15630525"/>
              <a:ext cx="1002909" cy="124553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STOP Control</a:t>
              </a:r>
              <a:endParaRPr lang="en-US" sz="800" baseline="0"/>
            </a:p>
            <a:p>
              <a:pPr algn="ctr"/>
              <a:r>
                <a:rPr lang="en-US" sz="800"/>
                <a:t>MC_ME_STOP_MC[SIRCON]</a:t>
              </a:r>
            </a:p>
          </xdr:txBody>
        </xdr:sp>
        <xdr:cxnSp macro="">
          <xdr:nvCxnSpPr>
            <xdr:cNvPr id="187" name="Straight Arrow Connector 186">
              <a:extLst>
                <a:ext uri="{FF2B5EF4-FFF2-40B4-BE49-F238E27FC236}">
                  <a16:creationId xmlns:a16="http://schemas.microsoft.com/office/drawing/2014/main" id="{00000000-0008-0000-0100-0000BB000000}"/>
                </a:ext>
              </a:extLst>
            </xdr:cNvPr>
            <xdr:cNvCxnSpPr/>
          </xdr:nvCxnSpPr>
          <xdr:spPr>
            <a:xfrm>
              <a:off x="22749272" y="16245599"/>
              <a:ext cx="164068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88" name="TextBox 187">
              <a:extLst>
                <a:ext uri="{FF2B5EF4-FFF2-40B4-BE49-F238E27FC236}">
                  <a16:creationId xmlns:a16="http://schemas.microsoft.com/office/drawing/2014/main" id="{00000000-0008-0000-0100-0000BC000000}"/>
                </a:ext>
              </a:extLst>
            </xdr:cNvPr>
            <xdr:cNvSpPr txBox="1"/>
          </xdr:nvSpPr>
          <xdr:spPr>
            <a:xfrm>
              <a:off x="24955500" y="16011351"/>
              <a:ext cx="2711054" cy="444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(STOP)</a:t>
              </a:r>
            </a:p>
          </xdr:txBody>
        </xdr:sp>
        <xdr:sp macro="" textlink="">
          <xdr:nvSpPr>
            <xdr:cNvPr id="189" name="TextBox 188">
              <a:extLst>
                <a:ext uri="{FF2B5EF4-FFF2-40B4-BE49-F238E27FC236}">
                  <a16:creationId xmlns:a16="http://schemas.microsoft.com/office/drawing/2014/main" id="{00000000-0008-0000-0100-0000BD000000}"/>
                </a:ext>
              </a:extLst>
            </xdr:cNvPr>
            <xdr:cNvSpPr txBox="1"/>
          </xdr:nvSpPr>
          <xdr:spPr>
            <a:xfrm>
              <a:off x="21907500" y="17086406"/>
              <a:ext cx="926641" cy="4042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grpSp>
      <xdr:cxnSp macro="">
        <xdr:nvCxnSpPr>
          <xdr:cNvPr id="197" name="Straight Arrow Connector 196">
            <a:extLst>
              <a:ext uri="{FF2B5EF4-FFF2-40B4-BE49-F238E27FC236}">
                <a16:creationId xmlns:a16="http://schemas.microsoft.com/office/drawing/2014/main" id="{00000000-0008-0000-0100-0000C5000000}"/>
              </a:ext>
            </a:extLst>
          </xdr:cNvPr>
          <xdr:cNvCxnSpPr/>
        </xdr:nvCxnSpPr>
        <xdr:spPr>
          <a:xfrm>
            <a:off x="19850100" y="18214112"/>
            <a:ext cx="1916907"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98" name="Rectangle 197">
            <a:extLst>
              <a:ext uri="{FF2B5EF4-FFF2-40B4-BE49-F238E27FC236}">
                <a16:creationId xmlns:a16="http://schemas.microsoft.com/office/drawing/2014/main" id="{00000000-0008-0000-0100-0000C6000000}"/>
              </a:ext>
            </a:extLst>
          </xdr:cNvPr>
          <xdr:cNvSpPr/>
        </xdr:nvSpPr>
        <xdr:spPr>
          <a:xfrm>
            <a:off x="21772958" y="17649602"/>
            <a:ext cx="1002909" cy="12468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STANDBY Control</a:t>
            </a:r>
            <a:endParaRPr lang="en-US" sz="800" baseline="0"/>
          </a:p>
          <a:p>
            <a:pPr algn="ctr"/>
            <a:r>
              <a:rPr lang="en-US" sz="800"/>
              <a:t>MC_ME_STANDBY_MC[SIRCON]</a:t>
            </a:r>
          </a:p>
        </xdr:txBody>
      </xdr:sp>
      <xdr:cxnSp macro="">
        <xdr:nvCxnSpPr>
          <xdr:cNvPr id="199" name="Straight Arrow Connector 198">
            <a:extLst>
              <a:ext uri="{FF2B5EF4-FFF2-40B4-BE49-F238E27FC236}">
                <a16:creationId xmlns:a16="http://schemas.microsoft.com/office/drawing/2014/main" id="{00000000-0008-0000-0100-0000C7000000}"/>
              </a:ext>
            </a:extLst>
          </xdr:cNvPr>
          <xdr:cNvCxnSpPr/>
        </xdr:nvCxnSpPr>
        <xdr:spPr>
          <a:xfrm>
            <a:off x="22787372" y="18227315"/>
            <a:ext cx="1596628"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00" name="TextBox 199">
            <a:extLst>
              <a:ext uri="{FF2B5EF4-FFF2-40B4-BE49-F238E27FC236}">
                <a16:creationId xmlns:a16="http://schemas.microsoft.com/office/drawing/2014/main" id="{00000000-0008-0000-0100-0000C8000000}"/>
              </a:ext>
            </a:extLst>
          </xdr:cNvPr>
          <xdr:cNvSpPr txBox="1"/>
        </xdr:nvSpPr>
        <xdr:spPr>
          <a:xfrm>
            <a:off x="24955500" y="18030531"/>
            <a:ext cx="2711054" cy="4451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SIRC</a:t>
            </a:r>
            <a:r>
              <a:rPr lang="en-US" sz="1000" b="1" baseline="0"/>
              <a:t> </a:t>
            </a:r>
            <a:r>
              <a:rPr lang="en-US" sz="1000" b="1"/>
              <a:t>(STANDBY)</a:t>
            </a:r>
          </a:p>
        </xdr:txBody>
      </xdr:sp>
      <xdr:sp macro="" textlink="">
        <xdr:nvSpPr>
          <xdr:cNvPr id="201" name="TextBox 200">
            <a:extLst>
              <a:ext uri="{FF2B5EF4-FFF2-40B4-BE49-F238E27FC236}">
                <a16:creationId xmlns:a16="http://schemas.microsoft.com/office/drawing/2014/main" id="{00000000-0008-0000-0100-0000C9000000}"/>
              </a:ext>
            </a:extLst>
          </xdr:cNvPr>
          <xdr:cNvSpPr txBox="1"/>
        </xdr:nvSpPr>
        <xdr:spPr>
          <a:xfrm>
            <a:off x="21917025" y="19125978"/>
            <a:ext cx="926641" cy="404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SIRC Off</a:t>
            </a:r>
          </a:p>
          <a:p>
            <a:r>
              <a:rPr lang="en-US" sz="800"/>
              <a:t>1 - SIRC</a:t>
            </a:r>
            <a:r>
              <a:rPr lang="en-US" sz="800" baseline="0"/>
              <a:t> On</a:t>
            </a:r>
            <a:endParaRPr lang="en-US" sz="800"/>
          </a:p>
        </xdr:txBody>
      </xdr:sp>
    </xdr:grpSp>
    <xdr:clientData/>
  </xdr:twoCellAnchor>
  <xdr:twoCellAnchor>
    <xdr:from>
      <xdr:col>44</xdr:col>
      <xdr:colOff>396479</xdr:colOff>
      <xdr:row>0</xdr:row>
      <xdr:rowOff>85240</xdr:rowOff>
    </xdr:from>
    <xdr:to>
      <xdr:col>59</xdr:col>
      <xdr:colOff>464926</xdr:colOff>
      <xdr:row>96</xdr:row>
      <xdr:rowOff>186875</xdr:rowOff>
    </xdr:to>
    <xdr:grpSp>
      <xdr:nvGrpSpPr>
        <xdr:cNvPr id="253" name="Group 252">
          <a:extLst>
            <a:ext uri="{FF2B5EF4-FFF2-40B4-BE49-F238E27FC236}">
              <a16:creationId xmlns:a16="http://schemas.microsoft.com/office/drawing/2014/main" id="{00000000-0008-0000-0100-0000FD000000}"/>
            </a:ext>
          </a:extLst>
        </xdr:cNvPr>
        <xdr:cNvGrpSpPr/>
      </xdr:nvGrpSpPr>
      <xdr:grpSpPr>
        <a:xfrm>
          <a:off x="27218879" y="85240"/>
          <a:ext cx="9212447" cy="18854455"/>
          <a:chOff x="27218879" y="85240"/>
          <a:chExt cx="9212447" cy="19761235"/>
        </a:xfrm>
      </xdr:grpSpPr>
      <xdr:grpSp>
        <xdr:nvGrpSpPr>
          <xdr:cNvPr id="246" name="Group 245">
            <a:extLst>
              <a:ext uri="{FF2B5EF4-FFF2-40B4-BE49-F238E27FC236}">
                <a16:creationId xmlns:a16="http://schemas.microsoft.com/office/drawing/2014/main" id="{00000000-0008-0000-0100-0000F6000000}"/>
              </a:ext>
            </a:extLst>
          </xdr:cNvPr>
          <xdr:cNvGrpSpPr/>
        </xdr:nvGrpSpPr>
        <xdr:grpSpPr>
          <a:xfrm>
            <a:off x="27218879" y="85240"/>
            <a:ext cx="9202922" cy="18650435"/>
            <a:chOff x="27218879" y="85240"/>
            <a:chExt cx="9202922" cy="18630418"/>
          </a:xfrm>
        </xdr:grpSpPr>
        <xdr:grpSp>
          <xdr:nvGrpSpPr>
            <xdr:cNvPr id="239" name="Group 238">
              <a:extLst>
                <a:ext uri="{FF2B5EF4-FFF2-40B4-BE49-F238E27FC236}">
                  <a16:creationId xmlns:a16="http://schemas.microsoft.com/office/drawing/2014/main" id="{00000000-0008-0000-0100-0000EF000000}"/>
                </a:ext>
              </a:extLst>
            </xdr:cNvPr>
            <xdr:cNvGrpSpPr/>
          </xdr:nvGrpSpPr>
          <xdr:grpSpPr>
            <a:xfrm>
              <a:off x="27218879" y="85240"/>
              <a:ext cx="9202922" cy="18630418"/>
              <a:chOff x="27218879" y="85240"/>
              <a:chExt cx="9202922" cy="18630418"/>
            </a:xfrm>
          </xdr:grpSpPr>
          <xdr:grpSp>
            <xdr:nvGrpSpPr>
              <xdr:cNvPr id="232" name="Group 231">
                <a:extLst>
                  <a:ext uri="{FF2B5EF4-FFF2-40B4-BE49-F238E27FC236}">
                    <a16:creationId xmlns:a16="http://schemas.microsoft.com/office/drawing/2014/main" id="{00000000-0008-0000-0100-0000E8000000}"/>
                  </a:ext>
                </a:extLst>
              </xdr:cNvPr>
              <xdr:cNvGrpSpPr/>
            </xdr:nvGrpSpPr>
            <xdr:grpSpPr>
              <a:xfrm>
                <a:off x="27218879" y="85240"/>
                <a:ext cx="9199351" cy="18630418"/>
                <a:chOff x="27218879" y="85240"/>
                <a:chExt cx="9199351" cy="18630418"/>
              </a:xfrm>
            </xdr:grpSpPr>
            <xdr:grpSp>
              <xdr:nvGrpSpPr>
                <xdr:cNvPr id="224" name="Group 223">
                  <a:extLst>
                    <a:ext uri="{FF2B5EF4-FFF2-40B4-BE49-F238E27FC236}">
                      <a16:creationId xmlns:a16="http://schemas.microsoft.com/office/drawing/2014/main" id="{00000000-0008-0000-0100-0000E0000000}"/>
                    </a:ext>
                  </a:extLst>
                </xdr:cNvPr>
                <xdr:cNvGrpSpPr/>
              </xdr:nvGrpSpPr>
              <xdr:grpSpPr>
                <a:xfrm>
                  <a:off x="27218879" y="85240"/>
                  <a:ext cx="9199351" cy="18630418"/>
                  <a:chOff x="27218879" y="85240"/>
                  <a:chExt cx="9199351" cy="18600875"/>
                </a:xfrm>
              </xdr:grpSpPr>
              <xdr:grpSp>
                <xdr:nvGrpSpPr>
                  <xdr:cNvPr id="218" name="Group 217">
                    <a:extLst>
                      <a:ext uri="{FF2B5EF4-FFF2-40B4-BE49-F238E27FC236}">
                        <a16:creationId xmlns:a16="http://schemas.microsoft.com/office/drawing/2014/main" id="{00000000-0008-0000-0100-0000DA000000}"/>
                      </a:ext>
                    </a:extLst>
                  </xdr:cNvPr>
                  <xdr:cNvGrpSpPr/>
                </xdr:nvGrpSpPr>
                <xdr:grpSpPr>
                  <a:xfrm>
                    <a:off x="27218879" y="85240"/>
                    <a:ext cx="9199351" cy="18600875"/>
                    <a:chOff x="27218879" y="85240"/>
                    <a:chExt cx="9199351" cy="18600875"/>
                  </a:xfrm>
                </xdr:grpSpPr>
                <xdr:grpSp>
                  <xdr:nvGrpSpPr>
                    <xdr:cNvPr id="215" name="Group 214">
                      <a:extLst>
                        <a:ext uri="{FF2B5EF4-FFF2-40B4-BE49-F238E27FC236}">
                          <a16:creationId xmlns:a16="http://schemas.microsoft.com/office/drawing/2014/main" id="{00000000-0008-0000-0100-0000D7000000}"/>
                        </a:ext>
                      </a:extLst>
                    </xdr:cNvPr>
                    <xdr:cNvGrpSpPr/>
                  </xdr:nvGrpSpPr>
                  <xdr:grpSpPr>
                    <a:xfrm>
                      <a:off x="27218879" y="85240"/>
                      <a:ext cx="9199351" cy="18600875"/>
                      <a:chOff x="27218879" y="85240"/>
                      <a:chExt cx="9199351" cy="18600875"/>
                    </a:xfrm>
                  </xdr:grpSpPr>
                  <xdr:grpSp>
                    <xdr:nvGrpSpPr>
                      <xdr:cNvPr id="7" name="Group 6">
                        <a:extLst>
                          <a:ext uri="{FF2B5EF4-FFF2-40B4-BE49-F238E27FC236}">
                            <a16:creationId xmlns:a16="http://schemas.microsoft.com/office/drawing/2014/main" id="{00000000-0008-0000-0100-000007000000}"/>
                          </a:ext>
                        </a:extLst>
                      </xdr:cNvPr>
                      <xdr:cNvGrpSpPr/>
                    </xdr:nvGrpSpPr>
                    <xdr:grpSpPr>
                      <a:xfrm>
                        <a:off x="27218879" y="85240"/>
                        <a:ext cx="9189032" cy="18600875"/>
                        <a:chOff x="10683479" y="15027725"/>
                        <a:chExt cx="9121797" cy="18754271"/>
                      </a:xfrm>
                    </xdr:grpSpPr>
                    <xdr:cxnSp macro="">
                      <xdr:nvCxnSpPr>
                        <xdr:cNvPr id="71" name="Straight Arrow Connector 70">
                          <a:extLst>
                            <a:ext uri="{FF2B5EF4-FFF2-40B4-BE49-F238E27FC236}">
                              <a16:creationId xmlns:a16="http://schemas.microsoft.com/office/drawing/2014/main" id="{00000000-0008-0000-0100-000047000000}"/>
                            </a:ext>
                          </a:extLst>
                        </xdr:cNvPr>
                        <xdr:cNvCxnSpPr/>
                      </xdr:nvCxnSpPr>
                      <xdr:spPr>
                        <a:xfrm>
                          <a:off x="14120113" y="16087107"/>
                          <a:ext cx="2214211"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grpSp>
                      <xdr:nvGrpSpPr>
                        <xdr:cNvPr id="5" name="Group 4">
                          <a:extLst>
                            <a:ext uri="{FF2B5EF4-FFF2-40B4-BE49-F238E27FC236}">
                              <a16:creationId xmlns:a16="http://schemas.microsoft.com/office/drawing/2014/main" id="{00000000-0008-0000-0100-000005000000}"/>
                            </a:ext>
                          </a:extLst>
                        </xdr:cNvPr>
                        <xdr:cNvGrpSpPr/>
                      </xdr:nvGrpSpPr>
                      <xdr:grpSpPr>
                        <a:xfrm>
                          <a:off x="10683479" y="15027725"/>
                          <a:ext cx="9121797" cy="18754271"/>
                          <a:chOff x="10683479" y="15027725"/>
                          <a:chExt cx="9121797" cy="18754271"/>
                        </a:xfrm>
                      </xdr:grpSpPr>
                      <xdr:sp macro="" textlink="">
                        <xdr:nvSpPr>
                          <xdr:cNvPr id="76" name="TextBox 75">
                            <a:extLst>
                              <a:ext uri="{FF2B5EF4-FFF2-40B4-BE49-F238E27FC236}">
                                <a16:creationId xmlns:a16="http://schemas.microsoft.com/office/drawing/2014/main" id="{00000000-0008-0000-0100-00004C000000}"/>
                              </a:ext>
                            </a:extLst>
                          </xdr:cNvPr>
                          <xdr:cNvSpPr txBox="1"/>
                        </xdr:nvSpPr>
                        <xdr:spPr>
                          <a:xfrm>
                            <a:off x="13278481" y="18884564"/>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sp macro="" textlink="">
                        <xdr:nvSpPr>
                          <xdr:cNvPr id="81" name="TextBox 80">
                            <a:extLst>
                              <a:ext uri="{FF2B5EF4-FFF2-40B4-BE49-F238E27FC236}">
                                <a16:creationId xmlns:a16="http://schemas.microsoft.com/office/drawing/2014/main" id="{00000000-0008-0000-0100-000051000000}"/>
                              </a:ext>
                            </a:extLst>
                          </xdr:cNvPr>
                          <xdr:cNvSpPr txBox="1"/>
                        </xdr:nvSpPr>
                        <xdr:spPr>
                          <a:xfrm>
                            <a:off x="13255158" y="16989763"/>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nvGrpSpPr>
                          <xdr:cNvPr id="4" name="Group 3">
                            <a:extLst>
                              <a:ext uri="{FF2B5EF4-FFF2-40B4-BE49-F238E27FC236}">
                                <a16:creationId xmlns:a16="http://schemas.microsoft.com/office/drawing/2014/main" id="{00000000-0008-0000-0100-000004000000}"/>
                              </a:ext>
                            </a:extLst>
                          </xdr:cNvPr>
                          <xdr:cNvGrpSpPr/>
                        </xdr:nvGrpSpPr>
                        <xdr:grpSpPr>
                          <a:xfrm>
                            <a:off x="10683479" y="15027725"/>
                            <a:ext cx="9121797" cy="18754271"/>
                            <a:chOff x="10683479" y="9794572"/>
                            <a:chExt cx="9121797" cy="18754271"/>
                          </a:xfrm>
                        </xdr:grpSpPr>
                        <xdr:sp macro="" textlink="">
                          <xdr:nvSpPr>
                            <xdr:cNvPr id="64" name="TextBox 63">
                              <a:extLst>
                                <a:ext uri="{FF2B5EF4-FFF2-40B4-BE49-F238E27FC236}">
                                  <a16:creationId xmlns:a16="http://schemas.microsoft.com/office/drawing/2014/main" id="{00000000-0008-0000-0100-000040000000}"/>
                                </a:ext>
                              </a:extLst>
                            </xdr:cNvPr>
                            <xdr:cNvSpPr txBox="1"/>
                          </xdr:nvSpPr>
                          <xdr:spPr>
                            <a:xfrm>
                              <a:off x="10683479" y="979457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SXOSC</a:t>
                              </a:r>
                            </a:p>
                          </xdr:txBody>
                        </xdr:sp>
                        <xdr:cxnSp macro="">
                          <xdr:nvCxnSpPr>
                            <xdr:cNvPr id="65" name="Straight Arrow Connector 64">
                              <a:extLst>
                                <a:ext uri="{FF2B5EF4-FFF2-40B4-BE49-F238E27FC236}">
                                  <a16:creationId xmlns:a16="http://schemas.microsoft.com/office/drawing/2014/main" id="{00000000-0008-0000-0100-000041000000}"/>
                                </a:ext>
                              </a:extLst>
                            </xdr:cNvPr>
                            <xdr:cNvCxnSpPr/>
                          </xdr:nvCxnSpPr>
                          <xdr:spPr>
                            <a:xfrm flipV="1">
                              <a:off x="11183821" y="10351186"/>
                              <a:ext cx="0" cy="18197657"/>
                            </a:xfrm>
                            <a:prstGeom prst="straightConnector1">
                              <a:avLst/>
                            </a:prstGeom>
                            <a:ln w="38100">
                              <a:solidFill>
                                <a:srgbClr val="92D050"/>
                              </a:solidFill>
                              <a:prstDash val="sysDash"/>
                              <a:tailEnd type="none"/>
                            </a:ln>
                          </xdr:spPr>
                          <xdr:style>
                            <a:lnRef idx="1">
                              <a:schemeClr val="dk1"/>
                            </a:lnRef>
                            <a:fillRef idx="0">
                              <a:schemeClr val="dk1"/>
                            </a:fillRef>
                            <a:effectRef idx="0">
                              <a:schemeClr val="dk1"/>
                            </a:effectRef>
                            <a:fontRef idx="minor">
                              <a:schemeClr val="tx1"/>
                            </a:fontRef>
                          </xdr:style>
                        </xdr:cxnSp>
                        <xdr:cxnSp macro="">
                          <xdr:nvCxnSpPr>
                            <xdr:cNvPr id="67" name="Straight Arrow Connector 66">
                              <a:extLst>
                                <a:ext uri="{FF2B5EF4-FFF2-40B4-BE49-F238E27FC236}">
                                  <a16:creationId xmlns:a16="http://schemas.microsoft.com/office/drawing/2014/main" id="{00000000-0008-0000-0100-000043000000}"/>
                                </a:ext>
                              </a:extLst>
                            </xdr:cNvPr>
                            <xdr:cNvCxnSpPr/>
                          </xdr:nvCxnSpPr>
                          <xdr:spPr>
                            <a:xfrm>
                              <a:off x="11171915" y="11012278"/>
                              <a:ext cx="194036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69" name="Rectangle 68">
                              <a:extLst>
                                <a:ext uri="{FF2B5EF4-FFF2-40B4-BE49-F238E27FC236}">
                                  <a16:creationId xmlns:a16="http://schemas.microsoft.com/office/drawing/2014/main" id="{00000000-0008-0000-0100-000045000000}"/>
                                </a:ext>
                              </a:extLst>
                            </xdr:cNvPr>
                            <xdr:cNvSpPr/>
                          </xdr:nvSpPr>
                          <xdr:spPr>
                            <a:xfrm>
                              <a:off x="13100377" y="10438649"/>
                              <a:ext cx="993945" cy="110617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LPU_RUN/LPU_SLEEP Control</a:t>
                              </a:r>
                            </a:p>
                            <a:p>
                              <a:pPr algn="ctr"/>
                              <a:r>
                                <a:rPr lang="en-US" sz="800" baseline="0"/>
                                <a:t>LPU_RUN_CF[SXOSC_ON]</a:t>
                              </a:r>
                              <a:endParaRPr lang="en-US" sz="800"/>
                            </a:p>
                          </xdr:txBody>
                        </xdr:sp>
                        <xdr:sp macro="" textlink="">
                          <xdr:nvSpPr>
                            <xdr:cNvPr id="70" name="TextBox 69">
                              <a:extLst>
                                <a:ext uri="{FF2B5EF4-FFF2-40B4-BE49-F238E27FC236}">
                                  <a16:creationId xmlns:a16="http://schemas.microsoft.com/office/drawing/2014/main" id="{00000000-0008-0000-0100-000046000000}"/>
                                </a:ext>
                              </a:extLst>
                            </xdr:cNvPr>
                            <xdr:cNvSpPr txBox="1"/>
                          </xdr:nvSpPr>
                          <xdr:spPr>
                            <a:xfrm>
                              <a:off x="13294729" y="15500421"/>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sp macro="" textlink="">
                          <xdr:nvSpPr>
                            <xdr:cNvPr id="73" name="TextBox 72">
                              <a:extLst>
                                <a:ext uri="{FF2B5EF4-FFF2-40B4-BE49-F238E27FC236}">
                                  <a16:creationId xmlns:a16="http://schemas.microsoft.com/office/drawing/2014/main" id="{00000000-0008-0000-0100-000049000000}"/>
                                </a:ext>
                              </a:extLst>
                            </xdr:cNvPr>
                            <xdr:cNvSpPr txBox="1"/>
                          </xdr:nvSpPr>
                          <xdr:spPr>
                            <a:xfrm>
                              <a:off x="16933489" y="10644288"/>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a:t>
                              </a:r>
                              <a:r>
                                <a:rPr lang="en-US" sz="1000" b="1" baseline="0"/>
                                <a:t> </a:t>
                              </a:r>
                              <a:r>
                                <a:rPr lang="en-US" sz="1000" b="1"/>
                                <a:t>(LPU_RUN/LPU_SLEEP)</a:t>
                              </a:r>
                            </a:p>
                          </xdr:txBody>
                        </xdr:sp>
                        <xdr:cxnSp macro="">
                          <xdr:nvCxnSpPr>
                            <xdr:cNvPr id="74" name="Straight Arrow Connector 73">
                              <a:extLst>
                                <a:ext uri="{FF2B5EF4-FFF2-40B4-BE49-F238E27FC236}">
                                  <a16:creationId xmlns:a16="http://schemas.microsoft.com/office/drawing/2014/main" id="{00000000-0008-0000-0100-00004A000000}"/>
                                </a:ext>
                              </a:extLst>
                            </xdr:cNvPr>
                            <xdr:cNvCxnSpPr/>
                          </xdr:nvCxnSpPr>
                          <xdr:spPr>
                            <a:xfrm>
                              <a:off x="11165962" y="12776313"/>
                              <a:ext cx="194036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75" name="Rectangle 74">
                              <a:extLst>
                                <a:ext uri="{FF2B5EF4-FFF2-40B4-BE49-F238E27FC236}">
                                  <a16:creationId xmlns:a16="http://schemas.microsoft.com/office/drawing/2014/main" id="{00000000-0008-0000-0100-00004B000000}"/>
                                </a:ext>
                              </a:extLst>
                            </xdr:cNvPr>
                            <xdr:cNvSpPr/>
                          </xdr:nvSpPr>
                          <xdr:spPr>
                            <a:xfrm>
                              <a:off x="13100377" y="12229716"/>
                              <a:ext cx="993945" cy="117236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LPU_STOP Control</a:t>
                              </a:r>
                            </a:p>
                            <a:p>
                              <a:pPr algn="ctr"/>
                              <a:r>
                                <a:rPr lang="en-US" sz="800" baseline="0"/>
                                <a:t>LPU_STOP_CF[SXOSC_ON]</a:t>
                              </a:r>
                              <a:endParaRPr lang="en-US" sz="800"/>
                            </a:p>
                          </xdr:txBody>
                        </xdr:sp>
                        <xdr:cxnSp macro="">
                          <xdr:nvCxnSpPr>
                            <xdr:cNvPr id="77" name="Straight Arrow Connector 76">
                              <a:extLst>
                                <a:ext uri="{FF2B5EF4-FFF2-40B4-BE49-F238E27FC236}">
                                  <a16:creationId xmlns:a16="http://schemas.microsoft.com/office/drawing/2014/main" id="{00000000-0008-0000-0100-00004D000000}"/>
                                </a:ext>
                              </a:extLst>
                            </xdr:cNvPr>
                            <xdr:cNvCxnSpPr/>
                          </xdr:nvCxnSpPr>
                          <xdr:spPr>
                            <a:xfrm>
                              <a:off x="14114159" y="12923576"/>
                              <a:ext cx="2214211"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16918010" y="12719790"/>
                              <a:ext cx="1510861"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(LPU_STOP)</a:t>
                              </a:r>
                            </a:p>
                          </xdr:txBody>
                        </xdr:sp>
                        <xdr:cxnSp macro="">
                          <xdr:nvCxnSpPr>
                            <xdr:cNvPr id="79" name="Straight Arrow Connector 78">
                              <a:extLst>
                                <a:ext uri="{FF2B5EF4-FFF2-40B4-BE49-F238E27FC236}">
                                  <a16:creationId xmlns:a16="http://schemas.microsoft.com/office/drawing/2014/main" id="{00000000-0008-0000-0100-00004F000000}"/>
                                </a:ext>
                              </a:extLst>
                            </xdr:cNvPr>
                            <xdr:cNvCxnSpPr/>
                          </xdr:nvCxnSpPr>
                          <xdr:spPr>
                            <a:xfrm>
                              <a:off x="11181441" y="14782123"/>
                              <a:ext cx="194036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80" name="Rectangle 79">
                              <a:extLst>
                                <a:ext uri="{FF2B5EF4-FFF2-40B4-BE49-F238E27FC236}">
                                  <a16:creationId xmlns:a16="http://schemas.microsoft.com/office/drawing/2014/main" id="{00000000-0008-0000-0100-000050000000}"/>
                                </a:ext>
                              </a:extLst>
                            </xdr:cNvPr>
                            <xdr:cNvSpPr/>
                          </xdr:nvSpPr>
                          <xdr:spPr>
                            <a:xfrm>
                              <a:off x="13094424" y="14162915"/>
                              <a:ext cx="993944" cy="11319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LPU_STANDBY Control</a:t>
                              </a:r>
                            </a:p>
                            <a:p>
                              <a:pPr algn="ctr"/>
                              <a:r>
                                <a:rPr lang="en-US" sz="800" baseline="0"/>
                                <a:t>LPU_STANDBY_CF[SXOSC_ON]</a:t>
                              </a:r>
                              <a:endParaRPr lang="en-US" sz="800"/>
                            </a:p>
                          </xdr:txBody>
                        </xdr:sp>
                        <xdr:cxnSp macro="">
                          <xdr:nvCxnSpPr>
                            <xdr:cNvPr id="82" name="Straight Arrow Connector 81">
                              <a:extLst>
                                <a:ext uri="{FF2B5EF4-FFF2-40B4-BE49-F238E27FC236}">
                                  <a16:creationId xmlns:a16="http://schemas.microsoft.com/office/drawing/2014/main" id="{00000000-0008-0000-0100-000052000000}"/>
                                </a:ext>
                              </a:extLst>
                            </xdr:cNvPr>
                            <xdr:cNvCxnSpPr/>
                          </xdr:nvCxnSpPr>
                          <xdr:spPr>
                            <a:xfrm>
                              <a:off x="14099873" y="14825513"/>
                              <a:ext cx="2238303"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84" name="TextBox 83">
                              <a:extLst>
                                <a:ext uri="{FF2B5EF4-FFF2-40B4-BE49-F238E27FC236}">
                                  <a16:creationId xmlns:a16="http://schemas.microsoft.com/office/drawing/2014/main" id="{00000000-0008-0000-0100-000054000000}"/>
                                </a:ext>
                              </a:extLst>
                            </xdr:cNvPr>
                            <xdr:cNvSpPr txBox="1"/>
                          </xdr:nvSpPr>
                          <xdr:spPr>
                            <a:xfrm>
                              <a:off x="16915630" y="14614503"/>
                              <a:ext cx="173814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(LPU_STANDBY)</a:t>
                              </a:r>
                            </a:p>
                          </xdr:txBody>
                        </xdr:sp>
                        <xdr:cxnSp macro="">
                          <xdr:nvCxnSpPr>
                            <xdr:cNvPr id="101" name="Straight Arrow Connector 100">
                              <a:extLst>
                                <a:ext uri="{FF2B5EF4-FFF2-40B4-BE49-F238E27FC236}">
                                  <a16:creationId xmlns:a16="http://schemas.microsoft.com/office/drawing/2014/main" id="{00000000-0008-0000-0100-000065000000}"/>
                                </a:ext>
                              </a:extLst>
                            </xdr:cNvPr>
                            <xdr:cNvCxnSpPr/>
                          </xdr:nvCxnSpPr>
                          <xdr:spPr>
                            <a:xfrm>
                              <a:off x="11183822" y="16877105"/>
                              <a:ext cx="1940368"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02" name="Rectangle 101">
                              <a:extLst>
                                <a:ext uri="{FF2B5EF4-FFF2-40B4-BE49-F238E27FC236}">
                                  <a16:creationId xmlns:a16="http://schemas.microsoft.com/office/drawing/2014/main" id="{00000000-0008-0000-0100-000066000000}"/>
                                </a:ext>
                              </a:extLst>
                            </xdr:cNvPr>
                            <xdr:cNvSpPr/>
                          </xdr:nvSpPr>
                          <xdr:spPr>
                            <a:xfrm>
                              <a:off x="13126571" y="16089603"/>
                              <a:ext cx="993945" cy="1281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DRUN Control</a:t>
                              </a:r>
                              <a:endParaRPr lang="en-US" sz="800" baseline="0"/>
                            </a:p>
                            <a:p>
                              <a:pPr algn="ctr"/>
                              <a:r>
                                <a:rPr lang="en-US" sz="800"/>
                                <a:t>MC_ME_DRUN_MC[SXOSCON]</a:t>
                              </a:r>
                            </a:p>
                          </xdr:txBody>
                        </xdr:sp>
                        <xdr:sp macro="" textlink="">
                          <xdr:nvSpPr>
                            <xdr:cNvPr id="103" name="TextBox 102">
                              <a:extLst>
                                <a:ext uri="{FF2B5EF4-FFF2-40B4-BE49-F238E27FC236}">
                                  <a16:creationId xmlns:a16="http://schemas.microsoft.com/office/drawing/2014/main" id="{00000000-0008-0000-0100-000067000000}"/>
                                </a:ext>
                              </a:extLst>
                            </xdr:cNvPr>
                            <xdr:cNvSpPr txBox="1"/>
                          </xdr:nvSpPr>
                          <xdr:spPr>
                            <a:xfrm>
                              <a:off x="13249206" y="17611403"/>
                              <a:ext cx="926641" cy="38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cxnSp macro="">
                          <xdr:nvCxnSpPr>
                            <xdr:cNvPr id="104" name="Straight Arrow Connector 103">
                              <a:extLst>
                                <a:ext uri="{FF2B5EF4-FFF2-40B4-BE49-F238E27FC236}">
                                  <a16:creationId xmlns:a16="http://schemas.microsoft.com/office/drawing/2014/main" id="{00000000-0008-0000-0100-000068000000}"/>
                                </a:ext>
                              </a:extLst>
                            </xdr:cNvPr>
                            <xdr:cNvCxnSpPr/>
                          </xdr:nvCxnSpPr>
                          <xdr:spPr>
                            <a:xfrm>
                              <a:off x="14141545" y="16677336"/>
                              <a:ext cx="2168967"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16909677" y="16481893"/>
                              <a:ext cx="2895599"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(DRUN)</a:t>
                              </a:r>
                            </a:p>
                          </xdr:txBody>
                        </xdr:sp>
                      </xdr:grpSp>
                    </xdr:grpSp>
                  </xdr:grpSp>
                  <xdr:cxnSp macro="">
                    <xdr:nvCxnSpPr>
                      <xdr:cNvPr id="211" name="Straight Arrow Connector 210">
                        <a:extLst>
                          <a:ext uri="{FF2B5EF4-FFF2-40B4-BE49-F238E27FC236}">
                            <a16:creationId xmlns:a16="http://schemas.microsoft.com/office/drawing/2014/main" id="{00000000-0008-0000-0100-0000D3000000}"/>
                          </a:ext>
                        </a:extLst>
                      </xdr:cNvPr>
                      <xdr:cNvCxnSpPr/>
                    </xdr:nvCxnSpPr>
                    <xdr:spPr>
                      <a:xfrm>
                        <a:off x="27733229" y="8987577"/>
                        <a:ext cx="195467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12" name="Rectangle 211">
                        <a:extLst>
                          <a:ext uri="{FF2B5EF4-FFF2-40B4-BE49-F238E27FC236}">
                            <a16:creationId xmlns:a16="http://schemas.microsoft.com/office/drawing/2014/main" id="{00000000-0008-0000-0100-0000D4000000}"/>
                          </a:ext>
                        </a:extLst>
                      </xdr:cNvPr>
                      <xdr:cNvSpPr/>
                    </xdr:nvSpPr>
                    <xdr:spPr>
                      <a:xfrm>
                        <a:off x="29690298" y="8206516"/>
                        <a:ext cx="1001271" cy="12709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RUN0 Control</a:t>
                        </a:r>
                        <a:endParaRPr lang="en-US" sz="800" baseline="0"/>
                      </a:p>
                      <a:p>
                        <a:pPr algn="ctr"/>
                        <a:r>
                          <a:rPr lang="en-US" sz="800"/>
                          <a:t>MC_ME_RUN0_MC[SXOSCON]</a:t>
                        </a:r>
                      </a:p>
                    </xdr:txBody>
                  </xdr:sp>
                  <xdr:cxnSp macro="">
                    <xdr:nvCxnSpPr>
                      <xdr:cNvPr id="213" name="Straight Arrow Connector 212">
                        <a:extLst>
                          <a:ext uri="{FF2B5EF4-FFF2-40B4-BE49-F238E27FC236}">
                            <a16:creationId xmlns:a16="http://schemas.microsoft.com/office/drawing/2014/main" id="{00000000-0008-0000-0100-0000D5000000}"/>
                          </a:ext>
                        </a:extLst>
                      </xdr:cNvPr>
                      <xdr:cNvCxnSpPr/>
                    </xdr:nvCxnSpPr>
                    <xdr:spPr>
                      <a:xfrm>
                        <a:off x="30712753" y="8789442"/>
                        <a:ext cx="218495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14" name="TextBox 213">
                        <a:extLst>
                          <a:ext uri="{FF2B5EF4-FFF2-40B4-BE49-F238E27FC236}">
                            <a16:creationId xmlns:a16="http://schemas.microsoft.com/office/drawing/2014/main" id="{00000000-0008-0000-0100-0000D6000000}"/>
                          </a:ext>
                        </a:extLst>
                      </xdr:cNvPr>
                      <xdr:cNvSpPr txBox="1"/>
                    </xdr:nvSpPr>
                    <xdr:spPr>
                      <a:xfrm>
                        <a:off x="33501288" y="8595598"/>
                        <a:ext cx="2916942" cy="4156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(RUN0)</a:t>
                        </a:r>
                      </a:p>
                    </xdr:txBody>
                  </xdr:sp>
                </xdr:grpSp>
                <xdr:sp macro="" textlink="">
                  <xdr:nvSpPr>
                    <xdr:cNvPr id="217" name="TextBox 216">
                      <a:extLst>
                        <a:ext uri="{FF2B5EF4-FFF2-40B4-BE49-F238E27FC236}">
                          <a16:creationId xmlns:a16="http://schemas.microsoft.com/office/drawing/2014/main" id="{00000000-0008-0000-0100-0000D9000000}"/>
                        </a:ext>
                      </a:extLst>
                    </xdr:cNvPr>
                    <xdr:cNvSpPr txBox="1"/>
                  </xdr:nvSpPr>
                  <xdr:spPr>
                    <a:xfrm>
                      <a:off x="29822775" y="9705975"/>
                      <a:ext cx="933471" cy="377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cxnSp macro="">
                <xdr:nvCxnSpPr>
                  <xdr:cNvPr id="219" name="Straight Arrow Connector 218">
                    <a:extLst>
                      <a:ext uri="{FF2B5EF4-FFF2-40B4-BE49-F238E27FC236}">
                        <a16:creationId xmlns:a16="http://schemas.microsoft.com/office/drawing/2014/main" id="{00000000-0008-0000-0100-0000DB000000}"/>
                      </a:ext>
                    </a:extLst>
                  </xdr:cNvPr>
                  <xdr:cNvCxnSpPr/>
                </xdr:nvCxnSpPr>
                <xdr:spPr>
                  <a:xfrm>
                    <a:off x="27727275" y="10982336"/>
                    <a:ext cx="195467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20" name="Rectangle 219">
                    <a:extLst>
                      <a:ext uri="{FF2B5EF4-FFF2-40B4-BE49-F238E27FC236}">
                        <a16:creationId xmlns:a16="http://schemas.microsoft.com/office/drawing/2014/main" id="{00000000-0008-0000-0100-0000DC000000}"/>
                      </a:ext>
                    </a:extLst>
                  </xdr:cNvPr>
                  <xdr:cNvSpPr/>
                </xdr:nvSpPr>
                <xdr:spPr>
                  <a:xfrm>
                    <a:off x="29684344" y="10220325"/>
                    <a:ext cx="1001271" cy="12709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RUN1 Control</a:t>
                    </a:r>
                    <a:endParaRPr lang="en-US" sz="800" baseline="0"/>
                  </a:p>
                  <a:p>
                    <a:pPr algn="ctr"/>
                    <a:r>
                      <a:rPr lang="en-US" sz="800"/>
                      <a:t>MC_ME_RUN1_MC[SXOSCON]</a:t>
                    </a:r>
                  </a:p>
                </xdr:txBody>
              </xdr:sp>
              <xdr:cxnSp macro="">
                <xdr:nvCxnSpPr>
                  <xdr:cNvPr id="221" name="Straight Arrow Connector 220">
                    <a:extLst>
                      <a:ext uri="{FF2B5EF4-FFF2-40B4-BE49-F238E27FC236}">
                        <a16:creationId xmlns:a16="http://schemas.microsoft.com/office/drawing/2014/main" id="{00000000-0008-0000-0100-0000DD000000}"/>
                      </a:ext>
                    </a:extLst>
                  </xdr:cNvPr>
                  <xdr:cNvCxnSpPr/>
                </xdr:nvCxnSpPr>
                <xdr:spPr>
                  <a:xfrm>
                    <a:off x="30706799" y="10831826"/>
                    <a:ext cx="218495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22" name="TextBox 221">
                    <a:extLst>
                      <a:ext uri="{FF2B5EF4-FFF2-40B4-BE49-F238E27FC236}">
                        <a16:creationId xmlns:a16="http://schemas.microsoft.com/office/drawing/2014/main" id="{00000000-0008-0000-0100-0000DE000000}"/>
                      </a:ext>
                    </a:extLst>
                  </xdr:cNvPr>
                  <xdr:cNvSpPr txBox="1"/>
                </xdr:nvSpPr>
                <xdr:spPr>
                  <a:xfrm>
                    <a:off x="33495334" y="10618932"/>
                    <a:ext cx="2916942" cy="4156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(RUN1)</a:t>
                    </a:r>
                  </a:p>
                </xdr:txBody>
              </xdr:sp>
              <xdr:sp macro="" textlink="">
                <xdr:nvSpPr>
                  <xdr:cNvPr id="223" name="TextBox 222">
                    <a:extLst>
                      <a:ext uri="{FF2B5EF4-FFF2-40B4-BE49-F238E27FC236}">
                        <a16:creationId xmlns:a16="http://schemas.microsoft.com/office/drawing/2014/main" id="{00000000-0008-0000-0100-0000DF000000}"/>
                      </a:ext>
                    </a:extLst>
                  </xdr:cNvPr>
                  <xdr:cNvSpPr txBox="1"/>
                </xdr:nvSpPr>
                <xdr:spPr>
                  <a:xfrm>
                    <a:off x="29816821" y="11729264"/>
                    <a:ext cx="933471" cy="377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cxnSp macro="">
              <xdr:nvCxnSpPr>
                <xdr:cNvPr id="227" name="Straight Arrow Connector 226">
                  <a:extLst>
                    <a:ext uri="{FF2B5EF4-FFF2-40B4-BE49-F238E27FC236}">
                      <a16:creationId xmlns:a16="http://schemas.microsoft.com/office/drawing/2014/main" id="{00000000-0008-0000-0100-0000E3000000}"/>
                    </a:ext>
                  </a:extLst>
                </xdr:cNvPr>
                <xdr:cNvCxnSpPr/>
              </xdr:nvCxnSpPr>
              <xdr:spPr>
                <a:xfrm>
                  <a:off x="27708225" y="12831396"/>
                  <a:ext cx="195467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28" name="Rectangle 227">
                  <a:extLst>
                    <a:ext uri="{FF2B5EF4-FFF2-40B4-BE49-F238E27FC236}">
                      <a16:creationId xmlns:a16="http://schemas.microsoft.com/office/drawing/2014/main" id="{00000000-0008-0000-0100-0000E4000000}"/>
                    </a:ext>
                  </a:extLst>
                </xdr:cNvPr>
                <xdr:cNvSpPr/>
              </xdr:nvSpPr>
              <xdr:spPr>
                <a:xfrm>
                  <a:off x="29665294" y="12068175"/>
                  <a:ext cx="1001271" cy="12730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RUN2 Control</a:t>
                  </a:r>
                  <a:endParaRPr lang="en-US" sz="800" baseline="0"/>
                </a:p>
                <a:p>
                  <a:pPr algn="ctr"/>
                  <a:r>
                    <a:rPr lang="en-US" sz="800"/>
                    <a:t>MC_ME_RUN2_MC[SXOSCON]</a:t>
                  </a:r>
                </a:p>
              </xdr:txBody>
            </xdr:sp>
            <xdr:cxnSp macro="">
              <xdr:nvCxnSpPr>
                <xdr:cNvPr id="229" name="Straight Arrow Connector 228">
                  <a:extLst>
                    <a:ext uri="{FF2B5EF4-FFF2-40B4-BE49-F238E27FC236}">
                      <a16:creationId xmlns:a16="http://schemas.microsoft.com/office/drawing/2014/main" id="{00000000-0008-0000-0100-0000E5000000}"/>
                    </a:ext>
                  </a:extLst>
                </xdr:cNvPr>
                <xdr:cNvCxnSpPr/>
              </xdr:nvCxnSpPr>
              <xdr:spPr>
                <a:xfrm>
                  <a:off x="30687749" y="12680647"/>
                  <a:ext cx="218495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30" name="TextBox 229">
                  <a:extLst>
                    <a:ext uri="{FF2B5EF4-FFF2-40B4-BE49-F238E27FC236}">
                      <a16:creationId xmlns:a16="http://schemas.microsoft.com/office/drawing/2014/main" id="{00000000-0008-0000-0100-0000E6000000}"/>
                    </a:ext>
                  </a:extLst>
                </xdr:cNvPr>
                <xdr:cNvSpPr txBox="1"/>
              </xdr:nvSpPr>
              <xdr:spPr>
                <a:xfrm>
                  <a:off x="33476284" y="12467415"/>
                  <a:ext cx="2916942" cy="416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(RUN2)</a:t>
                  </a:r>
                </a:p>
              </xdr:txBody>
            </xdr:sp>
            <xdr:sp macro="" textlink="">
              <xdr:nvSpPr>
                <xdr:cNvPr id="231" name="TextBox 230">
                  <a:extLst>
                    <a:ext uri="{FF2B5EF4-FFF2-40B4-BE49-F238E27FC236}">
                      <a16:creationId xmlns:a16="http://schemas.microsoft.com/office/drawing/2014/main" id="{00000000-0008-0000-0100-0000E7000000}"/>
                    </a:ext>
                  </a:extLst>
                </xdr:cNvPr>
                <xdr:cNvSpPr txBox="1"/>
              </xdr:nvSpPr>
              <xdr:spPr>
                <a:xfrm>
                  <a:off x="29797771" y="13579511"/>
                  <a:ext cx="933471" cy="3784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cxnSp macro="">
            <xdr:nvCxnSpPr>
              <xdr:cNvPr id="234" name="Straight Arrow Connector 233">
                <a:extLst>
                  <a:ext uri="{FF2B5EF4-FFF2-40B4-BE49-F238E27FC236}">
                    <a16:creationId xmlns:a16="http://schemas.microsoft.com/office/drawing/2014/main" id="{00000000-0008-0000-0100-0000EA000000}"/>
                  </a:ext>
                </a:extLst>
              </xdr:cNvPr>
              <xdr:cNvCxnSpPr/>
            </xdr:nvCxnSpPr>
            <xdr:spPr>
              <a:xfrm>
                <a:off x="27736800" y="14660196"/>
                <a:ext cx="195467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35" name="Rectangle 234">
                <a:extLst>
                  <a:ext uri="{FF2B5EF4-FFF2-40B4-BE49-F238E27FC236}">
                    <a16:creationId xmlns:a16="http://schemas.microsoft.com/office/drawing/2014/main" id="{00000000-0008-0000-0100-0000EB000000}"/>
                  </a:ext>
                </a:extLst>
              </xdr:cNvPr>
              <xdr:cNvSpPr/>
            </xdr:nvSpPr>
            <xdr:spPr>
              <a:xfrm>
                <a:off x="29693869" y="13896975"/>
                <a:ext cx="1001271" cy="12730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RUN3 Control</a:t>
                </a:r>
                <a:endParaRPr lang="en-US" sz="800" baseline="0"/>
              </a:p>
              <a:p>
                <a:pPr algn="ctr"/>
                <a:r>
                  <a:rPr lang="en-US" sz="800"/>
                  <a:t>MC_ME_RUN3_MC[SXOSCON]</a:t>
                </a:r>
              </a:p>
            </xdr:txBody>
          </xdr:sp>
          <xdr:cxnSp macro="">
            <xdr:nvCxnSpPr>
              <xdr:cNvPr id="236" name="Straight Arrow Connector 235">
                <a:extLst>
                  <a:ext uri="{FF2B5EF4-FFF2-40B4-BE49-F238E27FC236}">
                    <a16:creationId xmlns:a16="http://schemas.microsoft.com/office/drawing/2014/main" id="{00000000-0008-0000-0100-0000EC000000}"/>
                  </a:ext>
                </a:extLst>
              </xdr:cNvPr>
              <xdr:cNvCxnSpPr/>
            </xdr:nvCxnSpPr>
            <xdr:spPr>
              <a:xfrm>
                <a:off x="30716324" y="14518972"/>
                <a:ext cx="218495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37" name="TextBox 236">
                <a:extLst>
                  <a:ext uri="{FF2B5EF4-FFF2-40B4-BE49-F238E27FC236}">
                    <a16:creationId xmlns:a16="http://schemas.microsoft.com/office/drawing/2014/main" id="{00000000-0008-0000-0100-0000ED000000}"/>
                  </a:ext>
                </a:extLst>
              </xdr:cNvPr>
              <xdr:cNvSpPr txBox="1"/>
            </xdr:nvSpPr>
            <xdr:spPr>
              <a:xfrm>
                <a:off x="33504859" y="14296215"/>
                <a:ext cx="2916942" cy="416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(RUN3)</a:t>
                </a:r>
              </a:p>
            </xdr:txBody>
          </xdr:sp>
          <xdr:sp macro="" textlink="">
            <xdr:nvSpPr>
              <xdr:cNvPr id="238" name="TextBox 237">
                <a:extLst>
                  <a:ext uri="{FF2B5EF4-FFF2-40B4-BE49-F238E27FC236}">
                    <a16:creationId xmlns:a16="http://schemas.microsoft.com/office/drawing/2014/main" id="{00000000-0008-0000-0100-0000EE000000}"/>
                  </a:ext>
                </a:extLst>
              </xdr:cNvPr>
              <xdr:cNvSpPr txBox="1"/>
            </xdr:nvSpPr>
            <xdr:spPr>
              <a:xfrm>
                <a:off x="29826346" y="15408311"/>
                <a:ext cx="933471" cy="3784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cxnSp macro="">
          <xdr:nvCxnSpPr>
            <xdr:cNvPr id="241" name="Straight Arrow Connector 240">
              <a:extLst>
                <a:ext uri="{FF2B5EF4-FFF2-40B4-BE49-F238E27FC236}">
                  <a16:creationId xmlns:a16="http://schemas.microsoft.com/office/drawing/2014/main" id="{00000000-0008-0000-0100-0000F1000000}"/>
                </a:ext>
              </a:extLst>
            </xdr:cNvPr>
            <xdr:cNvCxnSpPr/>
          </xdr:nvCxnSpPr>
          <xdr:spPr>
            <a:xfrm>
              <a:off x="27736800" y="16689021"/>
              <a:ext cx="195467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42" name="Rectangle 241">
              <a:extLst>
                <a:ext uri="{FF2B5EF4-FFF2-40B4-BE49-F238E27FC236}">
                  <a16:creationId xmlns:a16="http://schemas.microsoft.com/office/drawing/2014/main" id="{00000000-0008-0000-0100-0000F2000000}"/>
                </a:ext>
              </a:extLst>
            </xdr:cNvPr>
            <xdr:cNvSpPr/>
          </xdr:nvSpPr>
          <xdr:spPr>
            <a:xfrm>
              <a:off x="29693869" y="15925800"/>
              <a:ext cx="1001271" cy="12730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STOP Control</a:t>
              </a:r>
              <a:endParaRPr lang="en-US" sz="800" baseline="0"/>
            </a:p>
            <a:p>
              <a:pPr algn="ctr"/>
              <a:r>
                <a:rPr lang="en-US" sz="800"/>
                <a:t>MC_ME_STOP_MC[SXOSCON]</a:t>
              </a:r>
            </a:p>
          </xdr:txBody>
        </xdr:sp>
        <xdr:cxnSp macro="">
          <xdr:nvCxnSpPr>
            <xdr:cNvPr id="243" name="Straight Arrow Connector 242">
              <a:extLst>
                <a:ext uri="{FF2B5EF4-FFF2-40B4-BE49-F238E27FC236}">
                  <a16:creationId xmlns:a16="http://schemas.microsoft.com/office/drawing/2014/main" id="{00000000-0008-0000-0100-0000F3000000}"/>
                </a:ext>
              </a:extLst>
            </xdr:cNvPr>
            <xdr:cNvCxnSpPr/>
          </xdr:nvCxnSpPr>
          <xdr:spPr>
            <a:xfrm>
              <a:off x="30716324" y="16547797"/>
              <a:ext cx="218495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44" name="TextBox 243">
              <a:extLst>
                <a:ext uri="{FF2B5EF4-FFF2-40B4-BE49-F238E27FC236}">
                  <a16:creationId xmlns:a16="http://schemas.microsoft.com/office/drawing/2014/main" id="{00000000-0008-0000-0100-0000F4000000}"/>
                </a:ext>
              </a:extLst>
            </xdr:cNvPr>
            <xdr:cNvSpPr txBox="1"/>
          </xdr:nvSpPr>
          <xdr:spPr>
            <a:xfrm>
              <a:off x="33504859" y="16325040"/>
              <a:ext cx="2916942" cy="4163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(STOP)</a:t>
              </a:r>
            </a:p>
          </xdr:txBody>
        </xdr:sp>
        <xdr:sp macro="" textlink="">
          <xdr:nvSpPr>
            <xdr:cNvPr id="245" name="TextBox 244">
              <a:extLst>
                <a:ext uri="{FF2B5EF4-FFF2-40B4-BE49-F238E27FC236}">
                  <a16:creationId xmlns:a16="http://schemas.microsoft.com/office/drawing/2014/main" id="{00000000-0008-0000-0100-0000F5000000}"/>
                </a:ext>
              </a:extLst>
            </xdr:cNvPr>
            <xdr:cNvSpPr txBox="1"/>
          </xdr:nvSpPr>
          <xdr:spPr>
            <a:xfrm>
              <a:off x="29826346" y="17437136"/>
              <a:ext cx="933471" cy="3784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cxnSp macro="">
        <xdr:nvCxnSpPr>
          <xdr:cNvPr id="248" name="Straight Arrow Connector 247">
            <a:extLst>
              <a:ext uri="{FF2B5EF4-FFF2-40B4-BE49-F238E27FC236}">
                <a16:creationId xmlns:a16="http://schemas.microsoft.com/office/drawing/2014/main" id="{00000000-0008-0000-0100-0000F8000000}"/>
              </a:ext>
            </a:extLst>
          </xdr:cNvPr>
          <xdr:cNvCxnSpPr/>
        </xdr:nvCxnSpPr>
        <xdr:spPr>
          <a:xfrm>
            <a:off x="27746325" y="18718666"/>
            <a:ext cx="195467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49" name="Rectangle 248">
            <a:extLst>
              <a:ext uri="{FF2B5EF4-FFF2-40B4-BE49-F238E27FC236}">
                <a16:creationId xmlns:a16="http://schemas.microsoft.com/office/drawing/2014/main" id="{00000000-0008-0000-0100-0000F9000000}"/>
              </a:ext>
            </a:extLst>
          </xdr:cNvPr>
          <xdr:cNvSpPr/>
        </xdr:nvSpPr>
        <xdr:spPr>
          <a:xfrm>
            <a:off x="29703394" y="17954625"/>
            <a:ext cx="1001271" cy="12743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STANDBY Control</a:t>
            </a:r>
            <a:endParaRPr lang="en-US" sz="800" baseline="0"/>
          </a:p>
          <a:p>
            <a:pPr algn="ctr"/>
            <a:r>
              <a:rPr lang="en-US" sz="800"/>
              <a:t>MC_ME_STANDBY_MC[SXOSCON]</a:t>
            </a:r>
          </a:p>
        </xdr:txBody>
      </xdr:sp>
      <xdr:cxnSp macro="">
        <xdr:nvCxnSpPr>
          <xdr:cNvPr id="250" name="Straight Arrow Connector 249">
            <a:extLst>
              <a:ext uri="{FF2B5EF4-FFF2-40B4-BE49-F238E27FC236}">
                <a16:creationId xmlns:a16="http://schemas.microsoft.com/office/drawing/2014/main" id="{00000000-0008-0000-0100-0000FA000000}"/>
              </a:ext>
            </a:extLst>
          </xdr:cNvPr>
          <xdr:cNvCxnSpPr/>
        </xdr:nvCxnSpPr>
        <xdr:spPr>
          <a:xfrm>
            <a:off x="30725849" y="18577290"/>
            <a:ext cx="2184954"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sp macro="" textlink="">
        <xdr:nvSpPr>
          <xdr:cNvPr id="251" name="TextBox 250">
            <a:extLst>
              <a:ext uri="{FF2B5EF4-FFF2-40B4-BE49-F238E27FC236}">
                <a16:creationId xmlns:a16="http://schemas.microsoft.com/office/drawing/2014/main" id="{00000000-0008-0000-0100-0000FB000000}"/>
              </a:ext>
            </a:extLst>
          </xdr:cNvPr>
          <xdr:cNvSpPr txBox="1"/>
        </xdr:nvSpPr>
        <xdr:spPr>
          <a:xfrm>
            <a:off x="33514384" y="18354293"/>
            <a:ext cx="2916942" cy="4167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SXOSC (STANDBY)</a:t>
            </a:r>
          </a:p>
        </xdr:txBody>
      </xdr:sp>
      <xdr:sp macro="" textlink="">
        <xdr:nvSpPr>
          <xdr:cNvPr id="252" name="TextBox 251">
            <a:extLst>
              <a:ext uri="{FF2B5EF4-FFF2-40B4-BE49-F238E27FC236}">
                <a16:creationId xmlns:a16="http://schemas.microsoft.com/office/drawing/2014/main" id="{00000000-0008-0000-0100-0000FC000000}"/>
              </a:ext>
            </a:extLst>
          </xdr:cNvPr>
          <xdr:cNvSpPr txBox="1"/>
        </xdr:nvSpPr>
        <xdr:spPr>
          <a:xfrm>
            <a:off x="29835871" y="19467584"/>
            <a:ext cx="933471" cy="3788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 Off</a:t>
            </a:r>
          </a:p>
          <a:p>
            <a:r>
              <a:rPr lang="en-US" sz="800"/>
              <a:t>1 - SXOSC</a:t>
            </a:r>
            <a:r>
              <a:rPr lang="en-US" sz="800" baseline="0"/>
              <a:t> On</a:t>
            </a:r>
            <a:endParaRPr lang="en-US" sz="800"/>
          </a:p>
        </xdr:txBody>
      </xdr:sp>
    </xdr:grpSp>
    <xdr:clientData/>
  </xdr:twoCellAnchor>
  <xdr:twoCellAnchor>
    <xdr:from>
      <xdr:col>58</xdr:col>
      <xdr:colOff>400050</xdr:colOff>
      <xdr:row>0</xdr:row>
      <xdr:rowOff>57150</xdr:rowOff>
    </xdr:from>
    <xdr:to>
      <xdr:col>60</xdr:col>
      <xdr:colOff>245918</xdr:colOff>
      <xdr:row>2</xdr:row>
      <xdr:rowOff>84209</xdr:rowOff>
    </xdr:to>
    <xdr:sp macro="" textlink="">
      <xdr:nvSpPr>
        <xdr:cNvPr id="255" name="TextBox 254">
          <a:hlinkClick xmlns:r="http://schemas.openxmlformats.org/officeDocument/2006/relationships" r:id="rId1"/>
          <a:extLst>
            <a:ext uri="{FF2B5EF4-FFF2-40B4-BE49-F238E27FC236}">
              <a16:creationId xmlns:a16="http://schemas.microsoft.com/office/drawing/2014/main" id="{00000000-0008-0000-0100-0000FF000000}"/>
            </a:ext>
          </a:extLst>
        </xdr:cNvPr>
        <xdr:cNvSpPr txBox="1"/>
      </xdr:nvSpPr>
      <xdr:spPr>
        <a:xfrm>
          <a:off x="35756850" y="57150"/>
          <a:ext cx="1065068" cy="4175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FMPLL_PHI0</a:t>
          </a:r>
        </a:p>
      </xdr:txBody>
    </xdr:sp>
    <xdr:clientData/>
  </xdr:twoCellAnchor>
  <xdr:twoCellAnchor>
    <xdr:from>
      <xdr:col>61</xdr:col>
      <xdr:colOff>381000</xdr:colOff>
      <xdr:row>0</xdr:row>
      <xdr:rowOff>57150</xdr:rowOff>
    </xdr:from>
    <xdr:to>
      <xdr:col>63</xdr:col>
      <xdr:colOff>226868</xdr:colOff>
      <xdr:row>2</xdr:row>
      <xdr:rowOff>84209</xdr:rowOff>
    </xdr:to>
    <xdr:sp macro="" textlink="">
      <xdr:nvSpPr>
        <xdr:cNvPr id="256" name="TextBox 255">
          <a:hlinkClick xmlns:r="http://schemas.openxmlformats.org/officeDocument/2006/relationships" r:id="rId2"/>
          <a:extLst>
            <a:ext uri="{FF2B5EF4-FFF2-40B4-BE49-F238E27FC236}">
              <a16:creationId xmlns:a16="http://schemas.microsoft.com/office/drawing/2014/main" id="{00000000-0008-0000-0100-000000010000}"/>
            </a:ext>
          </a:extLst>
        </xdr:cNvPr>
        <xdr:cNvSpPr txBox="1"/>
      </xdr:nvSpPr>
      <xdr:spPr>
        <a:xfrm>
          <a:off x="37566600" y="57150"/>
          <a:ext cx="1065068" cy="4175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FMPLL_PHI1</a:t>
          </a:r>
        </a:p>
      </xdr:txBody>
    </xdr:sp>
    <xdr:clientData/>
  </xdr:twoCellAnchor>
  <xdr:twoCellAnchor>
    <xdr:from>
      <xdr:col>59</xdr:col>
      <xdr:colOff>314325</xdr:colOff>
      <xdr:row>3</xdr:row>
      <xdr:rowOff>19050</xdr:rowOff>
    </xdr:from>
    <xdr:to>
      <xdr:col>59</xdr:col>
      <xdr:colOff>314325</xdr:colOff>
      <xdr:row>48</xdr:row>
      <xdr:rowOff>114300</xdr:rowOff>
    </xdr:to>
    <xdr:cxnSp macro="">
      <xdr:nvCxnSpPr>
        <xdr:cNvPr id="257" name="Straight Arrow Connector 256">
          <a:extLst>
            <a:ext uri="{FF2B5EF4-FFF2-40B4-BE49-F238E27FC236}">
              <a16:creationId xmlns:a16="http://schemas.microsoft.com/office/drawing/2014/main" id="{00000000-0008-0000-0100-000001010000}"/>
            </a:ext>
          </a:extLst>
        </xdr:cNvPr>
        <xdr:cNvCxnSpPr/>
      </xdr:nvCxnSpPr>
      <xdr:spPr>
        <a:xfrm flipV="1">
          <a:off x="36280725" y="619125"/>
          <a:ext cx="0" cy="9467850"/>
        </a:xfrm>
        <a:prstGeom prst="straightConnector1">
          <a:avLst/>
        </a:prstGeom>
        <a:ln w="38100">
          <a:solidFill>
            <a:srgbClr val="F5C3F1"/>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304800</xdr:colOff>
      <xdr:row>3</xdr:row>
      <xdr:rowOff>19050</xdr:rowOff>
    </xdr:from>
    <xdr:to>
      <xdr:col>62</xdr:col>
      <xdr:colOff>304800</xdr:colOff>
      <xdr:row>51</xdr:row>
      <xdr:rowOff>114300</xdr:rowOff>
    </xdr:to>
    <xdr:cxnSp macro="">
      <xdr:nvCxnSpPr>
        <xdr:cNvPr id="258" name="Straight Arrow Connector 257">
          <a:extLst>
            <a:ext uri="{FF2B5EF4-FFF2-40B4-BE49-F238E27FC236}">
              <a16:creationId xmlns:a16="http://schemas.microsoft.com/office/drawing/2014/main" id="{00000000-0008-0000-0100-000002010000}"/>
            </a:ext>
          </a:extLst>
        </xdr:cNvPr>
        <xdr:cNvCxnSpPr/>
      </xdr:nvCxnSpPr>
      <xdr:spPr>
        <a:xfrm flipV="1">
          <a:off x="38100000" y="619125"/>
          <a:ext cx="0" cy="10096500"/>
        </a:xfrm>
        <a:prstGeom prst="straightConnector1">
          <a:avLst/>
        </a:prstGeom>
        <a:ln w="19050">
          <a:solidFill>
            <a:srgbClr val="00B050"/>
          </a:solidFill>
          <a:prstDash val="solid"/>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59</xdr:col>
      <xdr:colOff>304800</xdr:colOff>
      <xdr:row>5</xdr:row>
      <xdr:rowOff>104775</xdr:rowOff>
    </xdr:from>
    <xdr:to>
      <xdr:col>65</xdr:col>
      <xdr:colOff>419100</xdr:colOff>
      <xdr:row>5</xdr:row>
      <xdr:rowOff>104775</xdr:rowOff>
    </xdr:to>
    <xdr:cxnSp macro="">
      <xdr:nvCxnSpPr>
        <xdr:cNvPr id="259" name="Straight Arrow Connector 258">
          <a:extLst>
            <a:ext uri="{FF2B5EF4-FFF2-40B4-BE49-F238E27FC236}">
              <a16:creationId xmlns:a16="http://schemas.microsoft.com/office/drawing/2014/main" id="{00000000-0008-0000-0100-000003010000}"/>
            </a:ext>
          </a:extLst>
        </xdr:cNvPr>
        <xdr:cNvCxnSpPr/>
      </xdr:nvCxnSpPr>
      <xdr:spPr>
        <a:xfrm>
          <a:off x="36271200" y="1123950"/>
          <a:ext cx="377190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304800</xdr:colOff>
      <xdr:row>8</xdr:row>
      <xdr:rowOff>62874</xdr:rowOff>
    </xdr:from>
    <xdr:to>
      <xdr:col>65</xdr:col>
      <xdr:colOff>400050</xdr:colOff>
      <xdr:row>8</xdr:row>
      <xdr:rowOff>62875</xdr:rowOff>
    </xdr:to>
    <xdr:cxnSp macro="">
      <xdr:nvCxnSpPr>
        <xdr:cNvPr id="261" name="Straight Arrow Connector 260">
          <a:extLst>
            <a:ext uri="{FF2B5EF4-FFF2-40B4-BE49-F238E27FC236}">
              <a16:creationId xmlns:a16="http://schemas.microsoft.com/office/drawing/2014/main" id="{00000000-0008-0000-0100-000005010000}"/>
            </a:ext>
          </a:extLst>
        </xdr:cNvPr>
        <xdr:cNvCxnSpPr/>
      </xdr:nvCxnSpPr>
      <xdr:spPr>
        <a:xfrm flipV="1">
          <a:off x="38100000" y="1701174"/>
          <a:ext cx="1924050" cy="1"/>
        </a:xfrm>
        <a:prstGeom prst="straightConnector1">
          <a:avLst/>
        </a:prstGeom>
        <a:ln w="19050">
          <a:solidFill>
            <a:srgbClr val="00B050"/>
          </a:solidFill>
          <a:prstDash val="soli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409575</xdr:colOff>
      <xdr:row>3</xdr:row>
      <xdr:rowOff>133350</xdr:rowOff>
    </xdr:from>
    <xdr:to>
      <xdr:col>67</xdr:col>
      <xdr:colOff>191646</xdr:colOff>
      <xdr:row>9</xdr:row>
      <xdr:rowOff>171941</xdr:rowOff>
    </xdr:to>
    <xdr:sp macro="" textlink="">
      <xdr:nvSpPr>
        <xdr:cNvPr id="272" name="Rectangle 271">
          <a:extLst>
            <a:ext uri="{FF2B5EF4-FFF2-40B4-BE49-F238E27FC236}">
              <a16:creationId xmlns:a16="http://schemas.microsoft.com/office/drawing/2014/main" id="{00000000-0008-0000-0100-000010010000}"/>
            </a:ext>
          </a:extLst>
        </xdr:cNvPr>
        <xdr:cNvSpPr/>
      </xdr:nvSpPr>
      <xdr:spPr>
        <a:xfrm>
          <a:off x="40033575" y="733425"/>
          <a:ext cx="1001271" cy="12768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DRUN Control</a:t>
          </a:r>
          <a:endParaRPr lang="en-US" sz="800" baseline="0"/>
        </a:p>
        <a:p>
          <a:pPr algn="ctr"/>
          <a:r>
            <a:rPr lang="en-US" sz="800"/>
            <a:t>MC_ME_DRUN_MC[PLLON]</a:t>
          </a:r>
        </a:p>
      </xdr:txBody>
    </xdr:sp>
    <xdr:clientData/>
  </xdr:twoCellAnchor>
  <xdr:twoCellAnchor>
    <xdr:from>
      <xdr:col>65</xdr:col>
      <xdr:colOff>581025</xdr:colOff>
      <xdr:row>11</xdr:row>
      <xdr:rowOff>28575</xdr:rowOff>
    </xdr:from>
    <xdr:to>
      <xdr:col>67</xdr:col>
      <xdr:colOff>295296</xdr:colOff>
      <xdr:row>12</xdr:row>
      <xdr:rowOff>198646</xdr:rowOff>
    </xdr:to>
    <xdr:sp macro="" textlink="">
      <xdr:nvSpPr>
        <xdr:cNvPr id="273" name="TextBox 272">
          <a:extLst>
            <a:ext uri="{FF2B5EF4-FFF2-40B4-BE49-F238E27FC236}">
              <a16:creationId xmlns:a16="http://schemas.microsoft.com/office/drawing/2014/main" id="{00000000-0008-0000-0100-000011010000}"/>
            </a:ext>
          </a:extLst>
        </xdr:cNvPr>
        <xdr:cNvSpPr txBox="1"/>
      </xdr:nvSpPr>
      <xdr:spPr>
        <a:xfrm>
          <a:off x="40205025" y="2286000"/>
          <a:ext cx="933471" cy="3796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 Off</a:t>
          </a:r>
        </a:p>
        <a:p>
          <a:r>
            <a:rPr lang="en-US" sz="800"/>
            <a:t>1 - PLL</a:t>
          </a:r>
          <a:r>
            <a:rPr lang="en-US" sz="800" baseline="0"/>
            <a:t> On</a:t>
          </a:r>
          <a:endParaRPr lang="en-US" sz="800"/>
        </a:p>
      </xdr:txBody>
    </xdr:sp>
    <xdr:clientData/>
  </xdr:twoCellAnchor>
  <xdr:twoCellAnchor>
    <xdr:from>
      <xdr:col>67</xdr:col>
      <xdr:colOff>219075</xdr:colOff>
      <xdr:row>5</xdr:row>
      <xdr:rowOff>95251</xdr:rowOff>
    </xdr:from>
    <xdr:to>
      <xdr:col>70</xdr:col>
      <xdr:colOff>581025</xdr:colOff>
      <xdr:row>5</xdr:row>
      <xdr:rowOff>95252</xdr:rowOff>
    </xdr:to>
    <xdr:cxnSp macro="">
      <xdr:nvCxnSpPr>
        <xdr:cNvPr id="274" name="Straight Arrow Connector 273">
          <a:extLst>
            <a:ext uri="{FF2B5EF4-FFF2-40B4-BE49-F238E27FC236}">
              <a16:creationId xmlns:a16="http://schemas.microsoft.com/office/drawing/2014/main" id="{00000000-0008-0000-0100-000012010000}"/>
            </a:ext>
          </a:extLst>
        </xdr:cNvPr>
        <xdr:cNvCxnSpPr/>
      </xdr:nvCxnSpPr>
      <xdr:spPr>
        <a:xfrm flipV="1">
          <a:off x="41062275" y="1114426"/>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228600</xdr:colOff>
      <xdr:row>8</xdr:row>
      <xdr:rowOff>104776</xdr:rowOff>
    </xdr:from>
    <xdr:to>
      <xdr:col>70</xdr:col>
      <xdr:colOff>590550</xdr:colOff>
      <xdr:row>8</xdr:row>
      <xdr:rowOff>104777</xdr:rowOff>
    </xdr:to>
    <xdr:cxnSp macro="">
      <xdr:nvCxnSpPr>
        <xdr:cNvPr id="276" name="Straight Arrow Connector 275">
          <a:extLst>
            <a:ext uri="{FF2B5EF4-FFF2-40B4-BE49-F238E27FC236}">
              <a16:creationId xmlns:a16="http://schemas.microsoft.com/office/drawing/2014/main" id="{00000000-0008-0000-0100-000014010000}"/>
            </a:ext>
          </a:extLst>
        </xdr:cNvPr>
        <xdr:cNvCxnSpPr/>
      </xdr:nvCxnSpPr>
      <xdr:spPr>
        <a:xfrm flipV="1">
          <a:off x="41071800" y="1752601"/>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72</xdr:col>
      <xdr:colOff>0</xdr:colOff>
      <xdr:row>4</xdr:row>
      <xdr:rowOff>95250</xdr:rowOff>
    </xdr:from>
    <xdr:to>
      <xdr:col>76</xdr:col>
      <xdr:colOff>478542</xdr:colOff>
      <xdr:row>6</xdr:row>
      <xdr:rowOff>94136</xdr:rowOff>
    </xdr:to>
    <xdr:sp macro="" textlink="">
      <xdr:nvSpPr>
        <xdr:cNvPr id="277" name="TextBox 276">
          <a:extLst>
            <a:ext uri="{FF2B5EF4-FFF2-40B4-BE49-F238E27FC236}">
              <a16:creationId xmlns:a16="http://schemas.microsoft.com/office/drawing/2014/main" id="{00000000-0008-0000-0100-000015010000}"/>
            </a:ext>
          </a:extLst>
        </xdr:cNvPr>
        <xdr:cNvSpPr txBox="1"/>
      </xdr:nvSpPr>
      <xdr:spPr>
        <a:xfrm>
          <a:off x="43891200" y="904875"/>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FMPLL_PHI0 (DRUN)</a:t>
          </a:r>
        </a:p>
      </xdr:txBody>
    </xdr:sp>
    <xdr:clientData/>
  </xdr:twoCellAnchor>
  <xdr:twoCellAnchor>
    <xdr:from>
      <xdr:col>72</xdr:col>
      <xdr:colOff>0</xdr:colOff>
      <xdr:row>7</xdr:row>
      <xdr:rowOff>114300</xdr:rowOff>
    </xdr:from>
    <xdr:to>
      <xdr:col>76</xdr:col>
      <xdr:colOff>478542</xdr:colOff>
      <xdr:row>9</xdr:row>
      <xdr:rowOff>113186</xdr:rowOff>
    </xdr:to>
    <xdr:sp macro="" textlink="">
      <xdr:nvSpPr>
        <xdr:cNvPr id="278" name="TextBox 277">
          <a:extLst>
            <a:ext uri="{FF2B5EF4-FFF2-40B4-BE49-F238E27FC236}">
              <a16:creationId xmlns:a16="http://schemas.microsoft.com/office/drawing/2014/main" id="{00000000-0008-0000-0100-000016010000}"/>
            </a:ext>
          </a:extLst>
        </xdr:cNvPr>
        <xdr:cNvSpPr txBox="1"/>
      </xdr:nvSpPr>
      <xdr:spPr>
        <a:xfrm>
          <a:off x="43891200" y="1552575"/>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FMPLL_PHI1 (DRUN)</a:t>
          </a:r>
        </a:p>
      </xdr:txBody>
    </xdr:sp>
    <xdr:clientData/>
  </xdr:twoCellAnchor>
  <xdr:twoCellAnchor>
    <xdr:from>
      <xdr:col>59</xdr:col>
      <xdr:colOff>304800</xdr:colOff>
      <xdr:row>15</xdr:row>
      <xdr:rowOff>114300</xdr:rowOff>
    </xdr:from>
    <xdr:to>
      <xdr:col>65</xdr:col>
      <xdr:colOff>419100</xdr:colOff>
      <xdr:row>15</xdr:row>
      <xdr:rowOff>114300</xdr:rowOff>
    </xdr:to>
    <xdr:cxnSp macro="">
      <xdr:nvCxnSpPr>
        <xdr:cNvPr id="279" name="Straight Arrow Connector 278">
          <a:extLst>
            <a:ext uri="{FF2B5EF4-FFF2-40B4-BE49-F238E27FC236}">
              <a16:creationId xmlns:a16="http://schemas.microsoft.com/office/drawing/2014/main" id="{00000000-0008-0000-0100-000017010000}"/>
            </a:ext>
          </a:extLst>
        </xdr:cNvPr>
        <xdr:cNvCxnSpPr/>
      </xdr:nvCxnSpPr>
      <xdr:spPr>
        <a:xfrm>
          <a:off x="36271200" y="3209925"/>
          <a:ext cx="377190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304800</xdr:colOff>
      <xdr:row>18</xdr:row>
      <xdr:rowOff>91449</xdr:rowOff>
    </xdr:from>
    <xdr:to>
      <xdr:col>65</xdr:col>
      <xdr:colOff>400050</xdr:colOff>
      <xdr:row>18</xdr:row>
      <xdr:rowOff>91450</xdr:rowOff>
    </xdr:to>
    <xdr:cxnSp macro="">
      <xdr:nvCxnSpPr>
        <xdr:cNvPr id="280" name="Straight Arrow Connector 279">
          <a:extLst>
            <a:ext uri="{FF2B5EF4-FFF2-40B4-BE49-F238E27FC236}">
              <a16:creationId xmlns:a16="http://schemas.microsoft.com/office/drawing/2014/main" id="{00000000-0008-0000-0100-000018010000}"/>
            </a:ext>
          </a:extLst>
        </xdr:cNvPr>
        <xdr:cNvCxnSpPr/>
      </xdr:nvCxnSpPr>
      <xdr:spPr>
        <a:xfrm flipV="1">
          <a:off x="38100000" y="3796674"/>
          <a:ext cx="1924050" cy="1"/>
        </a:xfrm>
        <a:prstGeom prst="straightConnector1">
          <a:avLst/>
        </a:prstGeom>
        <a:ln w="19050">
          <a:solidFill>
            <a:srgbClr val="00B050"/>
          </a:solidFill>
          <a:prstDash val="soli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409575</xdr:colOff>
      <xdr:row>13</xdr:row>
      <xdr:rowOff>114300</xdr:rowOff>
    </xdr:from>
    <xdr:to>
      <xdr:col>67</xdr:col>
      <xdr:colOff>191646</xdr:colOff>
      <xdr:row>19</xdr:row>
      <xdr:rowOff>181466</xdr:rowOff>
    </xdr:to>
    <xdr:sp macro="" textlink="">
      <xdr:nvSpPr>
        <xdr:cNvPr id="281" name="Rectangle 280">
          <a:extLst>
            <a:ext uri="{FF2B5EF4-FFF2-40B4-BE49-F238E27FC236}">
              <a16:creationId xmlns:a16="http://schemas.microsoft.com/office/drawing/2014/main" id="{00000000-0008-0000-0100-000019010000}"/>
            </a:ext>
          </a:extLst>
        </xdr:cNvPr>
        <xdr:cNvSpPr/>
      </xdr:nvSpPr>
      <xdr:spPr>
        <a:xfrm>
          <a:off x="40033575" y="2800350"/>
          <a:ext cx="1001271" cy="12958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RUN0 Control</a:t>
          </a:r>
          <a:endParaRPr lang="en-US" sz="800" baseline="0"/>
        </a:p>
        <a:p>
          <a:pPr algn="ctr"/>
          <a:r>
            <a:rPr lang="en-US" sz="800"/>
            <a:t>MC_ME_RUN0_MC[PLLON]</a:t>
          </a:r>
        </a:p>
      </xdr:txBody>
    </xdr:sp>
    <xdr:clientData/>
  </xdr:twoCellAnchor>
  <xdr:twoCellAnchor>
    <xdr:from>
      <xdr:col>65</xdr:col>
      <xdr:colOff>581025</xdr:colOff>
      <xdr:row>21</xdr:row>
      <xdr:rowOff>19050</xdr:rowOff>
    </xdr:from>
    <xdr:to>
      <xdr:col>67</xdr:col>
      <xdr:colOff>295296</xdr:colOff>
      <xdr:row>22</xdr:row>
      <xdr:rowOff>189121</xdr:rowOff>
    </xdr:to>
    <xdr:sp macro="" textlink="">
      <xdr:nvSpPr>
        <xdr:cNvPr id="282" name="TextBox 281">
          <a:extLst>
            <a:ext uri="{FF2B5EF4-FFF2-40B4-BE49-F238E27FC236}">
              <a16:creationId xmlns:a16="http://schemas.microsoft.com/office/drawing/2014/main" id="{00000000-0008-0000-0100-00001A010000}"/>
            </a:ext>
          </a:extLst>
        </xdr:cNvPr>
        <xdr:cNvSpPr txBox="1"/>
      </xdr:nvSpPr>
      <xdr:spPr>
        <a:xfrm>
          <a:off x="40205025" y="4371975"/>
          <a:ext cx="933471" cy="3796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 Off</a:t>
          </a:r>
        </a:p>
        <a:p>
          <a:r>
            <a:rPr lang="en-US" sz="800"/>
            <a:t>1 - PLL</a:t>
          </a:r>
          <a:r>
            <a:rPr lang="en-US" sz="800" baseline="0"/>
            <a:t> On</a:t>
          </a:r>
          <a:endParaRPr lang="en-US" sz="800"/>
        </a:p>
      </xdr:txBody>
    </xdr:sp>
    <xdr:clientData/>
  </xdr:twoCellAnchor>
  <xdr:twoCellAnchor>
    <xdr:from>
      <xdr:col>67</xdr:col>
      <xdr:colOff>219075</xdr:colOff>
      <xdr:row>15</xdr:row>
      <xdr:rowOff>104776</xdr:rowOff>
    </xdr:from>
    <xdr:to>
      <xdr:col>70</xdr:col>
      <xdr:colOff>581025</xdr:colOff>
      <xdr:row>15</xdr:row>
      <xdr:rowOff>104777</xdr:rowOff>
    </xdr:to>
    <xdr:cxnSp macro="">
      <xdr:nvCxnSpPr>
        <xdr:cNvPr id="283" name="Straight Arrow Connector 282">
          <a:extLst>
            <a:ext uri="{FF2B5EF4-FFF2-40B4-BE49-F238E27FC236}">
              <a16:creationId xmlns:a16="http://schemas.microsoft.com/office/drawing/2014/main" id="{00000000-0008-0000-0100-00001B010000}"/>
            </a:ext>
          </a:extLst>
        </xdr:cNvPr>
        <xdr:cNvCxnSpPr/>
      </xdr:nvCxnSpPr>
      <xdr:spPr>
        <a:xfrm flipV="1">
          <a:off x="41062275" y="3200401"/>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228600</xdr:colOff>
      <xdr:row>18</xdr:row>
      <xdr:rowOff>95251</xdr:rowOff>
    </xdr:from>
    <xdr:to>
      <xdr:col>70</xdr:col>
      <xdr:colOff>590550</xdr:colOff>
      <xdr:row>18</xdr:row>
      <xdr:rowOff>95252</xdr:rowOff>
    </xdr:to>
    <xdr:cxnSp macro="">
      <xdr:nvCxnSpPr>
        <xdr:cNvPr id="284" name="Straight Arrow Connector 283">
          <a:extLst>
            <a:ext uri="{FF2B5EF4-FFF2-40B4-BE49-F238E27FC236}">
              <a16:creationId xmlns:a16="http://schemas.microsoft.com/office/drawing/2014/main" id="{00000000-0008-0000-0100-00001C010000}"/>
            </a:ext>
          </a:extLst>
        </xdr:cNvPr>
        <xdr:cNvCxnSpPr/>
      </xdr:nvCxnSpPr>
      <xdr:spPr>
        <a:xfrm flipV="1">
          <a:off x="41071800" y="3819526"/>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72</xdr:col>
      <xdr:colOff>0</xdr:colOff>
      <xdr:row>14</xdr:row>
      <xdr:rowOff>104775</xdr:rowOff>
    </xdr:from>
    <xdr:to>
      <xdr:col>76</xdr:col>
      <xdr:colOff>478542</xdr:colOff>
      <xdr:row>16</xdr:row>
      <xdr:rowOff>103661</xdr:rowOff>
    </xdr:to>
    <xdr:sp macro="" textlink="">
      <xdr:nvSpPr>
        <xdr:cNvPr id="285" name="TextBox 284">
          <a:extLst>
            <a:ext uri="{FF2B5EF4-FFF2-40B4-BE49-F238E27FC236}">
              <a16:creationId xmlns:a16="http://schemas.microsoft.com/office/drawing/2014/main" id="{00000000-0008-0000-0100-00001D010000}"/>
            </a:ext>
          </a:extLst>
        </xdr:cNvPr>
        <xdr:cNvSpPr txBox="1"/>
      </xdr:nvSpPr>
      <xdr:spPr>
        <a:xfrm>
          <a:off x="43891200" y="2990850"/>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FMPLL_PHI0 (RUN0)</a:t>
          </a:r>
        </a:p>
      </xdr:txBody>
    </xdr:sp>
    <xdr:clientData/>
  </xdr:twoCellAnchor>
  <xdr:twoCellAnchor>
    <xdr:from>
      <xdr:col>72</xdr:col>
      <xdr:colOff>0</xdr:colOff>
      <xdr:row>17</xdr:row>
      <xdr:rowOff>95250</xdr:rowOff>
    </xdr:from>
    <xdr:to>
      <xdr:col>76</xdr:col>
      <xdr:colOff>478542</xdr:colOff>
      <xdr:row>19</xdr:row>
      <xdr:rowOff>103661</xdr:rowOff>
    </xdr:to>
    <xdr:sp macro="" textlink="">
      <xdr:nvSpPr>
        <xdr:cNvPr id="286" name="TextBox 285">
          <a:extLst>
            <a:ext uri="{FF2B5EF4-FFF2-40B4-BE49-F238E27FC236}">
              <a16:creationId xmlns:a16="http://schemas.microsoft.com/office/drawing/2014/main" id="{00000000-0008-0000-0100-00001E010000}"/>
            </a:ext>
          </a:extLst>
        </xdr:cNvPr>
        <xdr:cNvSpPr txBox="1"/>
      </xdr:nvSpPr>
      <xdr:spPr>
        <a:xfrm>
          <a:off x="43891200" y="3600450"/>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FMPLL_PHI1 (RUN0)</a:t>
          </a:r>
        </a:p>
      </xdr:txBody>
    </xdr:sp>
    <xdr:clientData/>
  </xdr:twoCellAnchor>
  <xdr:twoCellAnchor>
    <xdr:from>
      <xdr:col>59</xdr:col>
      <xdr:colOff>333375</xdr:colOff>
      <xdr:row>25</xdr:row>
      <xdr:rowOff>114300</xdr:rowOff>
    </xdr:from>
    <xdr:to>
      <xdr:col>65</xdr:col>
      <xdr:colOff>447675</xdr:colOff>
      <xdr:row>25</xdr:row>
      <xdr:rowOff>114300</xdr:rowOff>
    </xdr:to>
    <xdr:cxnSp macro="">
      <xdr:nvCxnSpPr>
        <xdr:cNvPr id="287" name="Straight Arrow Connector 286">
          <a:extLst>
            <a:ext uri="{FF2B5EF4-FFF2-40B4-BE49-F238E27FC236}">
              <a16:creationId xmlns:a16="http://schemas.microsoft.com/office/drawing/2014/main" id="{00000000-0008-0000-0100-00001F010000}"/>
            </a:ext>
          </a:extLst>
        </xdr:cNvPr>
        <xdr:cNvCxnSpPr/>
      </xdr:nvCxnSpPr>
      <xdr:spPr>
        <a:xfrm>
          <a:off x="36299775" y="5286375"/>
          <a:ext cx="377190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314325</xdr:colOff>
      <xdr:row>28</xdr:row>
      <xdr:rowOff>91449</xdr:rowOff>
    </xdr:from>
    <xdr:to>
      <xdr:col>65</xdr:col>
      <xdr:colOff>428625</xdr:colOff>
      <xdr:row>28</xdr:row>
      <xdr:rowOff>91450</xdr:rowOff>
    </xdr:to>
    <xdr:cxnSp macro="">
      <xdr:nvCxnSpPr>
        <xdr:cNvPr id="288" name="Straight Arrow Connector 287">
          <a:extLst>
            <a:ext uri="{FF2B5EF4-FFF2-40B4-BE49-F238E27FC236}">
              <a16:creationId xmlns:a16="http://schemas.microsoft.com/office/drawing/2014/main" id="{00000000-0008-0000-0100-000020010000}"/>
            </a:ext>
          </a:extLst>
        </xdr:cNvPr>
        <xdr:cNvCxnSpPr/>
      </xdr:nvCxnSpPr>
      <xdr:spPr>
        <a:xfrm>
          <a:off x="38109525" y="5892174"/>
          <a:ext cx="1943100" cy="1"/>
        </a:xfrm>
        <a:prstGeom prst="straightConnector1">
          <a:avLst/>
        </a:prstGeom>
        <a:ln w="19050">
          <a:solidFill>
            <a:srgbClr val="00B050"/>
          </a:solidFill>
          <a:prstDash val="soli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438150</xdr:colOff>
      <xdr:row>23</xdr:row>
      <xdr:rowOff>123825</xdr:rowOff>
    </xdr:from>
    <xdr:to>
      <xdr:col>67</xdr:col>
      <xdr:colOff>220221</xdr:colOff>
      <xdr:row>29</xdr:row>
      <xdr:rowOff>181466</xdr:rowOff>
    </xdr:to>
    <xdr:sp macro="" textlink="">
      <xdr:nvSpPr>
        <xdr:cNvPr id="289" name="Rectangle 288">
          <a:extLst>
            <a:ext uri="{FF2B5EF4-FFF2-40B4-BE49-F238E27FC236}">
              <a16:creationId xmlns:a16="http://schemas.microsoft.com/office/drawing/2014/main" id="{00000000-0008-0000-0100-000021010000}"/>
            </a:ext>
          </a:extLst>
        </xdr:cNvPr>
        <xdr:cNvSpPr/>
      </xdr:nvSpPr>
      <xdr:spPr>
        <a:xfrm>
          <a:off x="40062150" y="4876800"/>
          <a:ext cx="1001271" cy="12958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RUN1 Control</a:t>
          </a:r>
          <a:endParaRPr lang="en-US" sz="800" baseline="0"/>
        </a:p>
        <a:p>
          <a:pPr algn="ctr"/>
          <a:r>
            <a:rPr lang="en-US" sz="800"/>
            <a:t>MC_ME_RUN1_MC[PLLON]</a:t>
          </a:r>
        </a:p>
      </xdr:txBody>
    </xdr:sp>
    <xdr:clientData/>
  </xdr:twoCellAnchor>
  <xdr:twoCellAnchor>
    <xdr:from>
      <xdr:col>66</xdr:col>
      <xdr:colOff>0</xdr:colOff>
      <xdr:row>31</xdr:row>
      <xdr:rowOff>19050</xdr:rowOff>
    </xdr:from>
    <xdr:to>
      <xdr:col>67</xdr:col>
      <xdr:colOff>323871</xdr:colOff>
      <xdr:row>32</xdr:row>
      <xdr:rowOff>189121</xdr:rowOff>
    </xdr:to>
    <xdr:sp macro="" textlink="">
      <xdr:nvSpPr>
        <xdr:cNvPr id="290" name="TextBox 289">
          <a:extLst>
            <a:ext uri="{FF2B5EF4-FFF2-40B4-BE49-F238E27FC236}">
              <a16:creationId xmlns:a16="http://schemas.microsoft.com/office/drawing/2014/main" id="{00000000-0008-0000-0100-000022010000}"/>
            </a:ext>
          </a:extLst>
        </xdr:cNvPr>
        <xdr:cNvSpPr txBox="1"/>
      </xdr:nvSpPr>
      <xdr:spPr>
        <a:xfrm>
          <a:off x="40233600" y="6429375"/>
          <a:ext cx="933471" cy="3796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 Off</a:t>
          </a:r>
        </a:p>
        <a:p>
          <a:r>
            <a:rPr lang="en-US" sz="800"/>
            <a:t>1 - PLL</a:t>
          </a:r>
          <a:r>
            <a:rPr lang="en-US" sz="800" baseline="0"/>
            <a:t> On</a:t>
          </a:r>
          <a:endParaRPr lang="en-US" sz="800"/>
        </a:p>
      </xdr:txBody>
    </xdr:sp>
    <xdr:clientData/>
  </xdr:twoCellAnchor>
  <xdr:twoCellAnchor>
    <xdr:from>
      <xdr:col>67</xdr:col>
      <xdr:colOff>247650</xdr:colOff>
      <xdr:row>25</xdr:row>
      <xdr:rowOff>104776</xdr:rowOff>
    </xdr:from>
    <xdr:to>
      <xdr:col>71</xdr:col>
      <xdr:colOff>0</xdr:colOff>
      <xdr:row>25</xdr:row>
      <xdr:rowOff>104777</xdr:rowOff>
    </xdr:to>
    <xdr:cxnSp macro="">
      <xdr:nvCxnSpPr>
        <xdr:cNvPr id="291" name="Straight Arrow Connector 290">
          <a:extLst>
            <a:ext uri="{FF2B5EF4-FFF2-40B4-BE49-F238E27FC236}">
              <a16:creationId xmlns:a16="http://schemas.microsoft.com/office/drawing/2014/main" id="{00000000-0008-0000-0100-000023010000}"/>
            </a:ext>
          </a:extLst>
        </xdr:cNvPr>
        <xdr:cNvCxnSpPr/>
      </xdr:nvCxnSpPr>
      <xdr:spPr>
        <a:xfrm flipV="1">
          <a:off x="41090850" y="5276851"/>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257175</xdr:colOff>
      <xdr:row>28</xdr:row>
      <xdr:rowOff>95251</xdr:rowOff>
    </xdr:from>
    <xdr:to>
      <xdr:col>71</xdr:col>
      <xdr:colOff>9525</xdr:colOff>
      <xdr:row>28</xdr:row>
      <xdr:rowOff>95252</xdr:rowOff>
    </xdr:to>
    <xdr:cxnSp macro="">
      <xdr:nvCxnSpPr>
        <xdr:cNvPr id="292" name="Straight Arrow Connector 291">
          <a:extLst>
            <a:ext uri="{FF2B5EF4-FFF2-40B4-BE49-F238E27FC236}">
              <a16:creationId xmlns:a16="http://schemas.microsoft.com/office/drawing/2014/main" id="{00000000-0008-0000-0100-000024010000}"/>
            </a:ext>
          </a:extLst>
        </xdr:cNvPr>
        <xdr:cNvCxnSpPr/>
      </xdr:nvCxnSpPr>
      <xdr:spPr>
        <a:xfrm flipV="1">
          <a:off x="41100375" y="5876926"/>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72</xdr:col>
      <xdr:colOff>28575</xdr:colOff>
      <xdr:row>24</xdr:row>
      <xdr:rowOff>104775</xdr:rowOff>
    </xdr:from>
    <xdr:to>
      <xdr:col>76</xdr:col>
      <xdr:colOff>507117</xdr:colOff>
      <xdr:row>26</xdr:row>
      <xdr:rowOff>113186</xdr:rowOff>
    </xdr:to>
    <xdr:sp macro="" textlink="">
      <xdr:nvSpPr>
        <xdr:cNvPr id="293" name="TextBox 292">
          <a:extLst>
            <a:ext uri="{FF2B5EF4-FFF2-40B4-BE49-F238E27FC236}">
              <a16:creationId xmlns:a16="http://schemas.microsoft.com/office/drawing/2014/main" id="{00000000-0008-0000-0100-000025010000}"/>
            </a:ext>
          </a:extLst>
        </xdr:cNvPr>
        <xdr:cNvSpPr txBox="1"/>
      </xdr:nvSpPr>
      <xdr:spPr>
        <a:xfrm>
          <a:off x="43919775" y="5067300"/>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FMPLL_PHI0 (RUN1)</a:t>
          </a:r>
        </a:p>
      </xdr:txBody>
    </xdr:sp>
    <xdr:clientData/>
  </xdr:twoCellAnchor>
  <xdr:twoCellAnchor>
    <xdr:from>
      <xdr:col>72</xdr:col>
      <xdr:colOff>28575</xdr:colOff>
      <xdr:row>27</xdr:row>
      <xdr:rowOff>104775</xdr:rowOff>
    </xdr:from>
    <xdr:to>
      <xdr:col>76</xdr:col>
      <xdr:colOff>507117</xdr:colOff>
      <xdr:row>29</xdr:row>
      <xdr:rowOff>103661</xdr:rowOff>
    </xdr:to>
    <xdr:sp macro="" textlink="">
      <xdr:nvSpPr>
        <xdr:cNvPr id="294" name="TextBox 293">
          <a:extLst>
            <a:ext uri="{FF2B5EF4-FFF2-40B4-BE49-F238E27FC236}">
              <a16:creationId xmlns:a16="http://schemas.microsoft.com/office/drawing/2014/main" id="{00000000-0008-0000-0100-000026010000}"/>
            </a:ext>
          </a:extLst>
        </xdr:cNvPr>
        <xdr:cNvSpPr txBox="1"/>
      </xdr:nvSpPr>
      <xdr:spPr>
        <a:xfrm>
          <a:off x="43919775" y="5676900"/>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FMPLL_PHI1 (RUN1)</a:t>
          </a:r>
        </a:p>
      </xdr:txBody>
    </xdr:sp>
    <xdr:clientData/>
  </xdr:twoCellAnchor>
  <xdr:twoCellAnchor>
    <xdr:from>
      <xdr:col>59</xdr:col>
      <xdr:colOff>333375</xdr:colOff>
      <xdr:row>36</xdr:row>
      <xdr:rowOff>114300</xdr:rowOff>
    </xdr:from>
    <xdr:to>
      <xdr:col>65</xdr:col>
      <xdr:colOff>447675</xdr:colOff>
      <xdr:row>36</xdr:row>
      <xdr:rowOff>114300</xdr:rowOff>
    </xdr:to>
    <xdr:cxnSp macro="">
      <xdr:nvCxnSpPr>
        <xdr:cNvPr id="295" name="Straight Arrow Connector 294">
          <a:extLst>
            <a:ext uri="{FF2B5EF4-FFF2-40B4-BE49-F238E27FC236}">
              <a16:creationId xmlns:a16="http://schemas.microsoft.com/office/drawing/2014/main" id="{00000000-0008-0000-0100-000027010000}"/>
            </a:ext>
          </a:extLst>
        </xdr:cNvPr>
        <xdr:cNvCxnSpPr/>
      </xdr:nvCxnSpPr>
      <xdr:spPr>
        <a:xfrm>
          <a:off x="36299775" y="7581900"/>
          <a:ext cx="377190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304800</xdr:colOff>
      <xdr:row>39</xdr:row>
      <xdr:rowOff>100974</xdr:rowOff>
    </xdr:from>
    <xdr:to>
      <xdr:col>65</xdr:col>
      <xdr:colOff>428625</xdr:colOff>
      <xdr:row>39</xdr:row>
      <xdr:rowOff>100975</xdr:rowOff>
    </xdr:to>
    <xdr:cxnSp macro="">
      <xdr:nvCxnSpPr>
        <xdr:cNvPr id="296" name="Straight Arrow Connector 295">
          <a:extLst>
            <a:ext uri="{FF2B5EF4-FFF2-40B4-BE49-F238E27FC236}">
              <a16:creationId xmlns:a16="http://schemas.microsoft.com/office/drawing/2014/main" id="{00000000-0008-0000-0100-000028010000}"/>
            </a:ext>
          </a:extLst>
        </xdr:cNvPr>
        <xdr:cNvCxnSpPr/>
      </xdr:nvCxnSpPr>
      <xdr:spPr>
        <a:xfrm>
          <a:off x="38100000" y="8206749"/>
          <a:ext cx="1952625" cy="1"/>
        </a:xfrm>
        <a:prstGeom prst="straightConnector1">
          <a:avLst/>
        </a:prstGeom>
        <a:ln w="19050">
          <a:solidFill>
            <a:srgbClr val="00B050"/>
          </a:solidFill>
          <a:prstDash val="soli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438150</xdr:colOff>
      <xdr:row>34</xdr:row>
      <xdr:rowOff>114300</xdr:rowOff>
    </xdr:from>
    <xdr:to>
      <xdr:col>67</xdr:col>
      <xdr:colOff>220221</xdr:colOff>
      <xdr:row>40</xdr:row>
      <xdr:rowOff>190991</xdr:rowOff>
    </xdr:to>
    <xdr:sp macro="" textlink="">
      <xdr:nvSpPr>
        <xdr:cNvPr id="297" name="Rectangle 296">
          <a:extLst>
            <a:ext uri="{FF2B5EF4-FFF2-40B4-BE49-F238E27FC236}">
              <a16:creationId xmlns:a16="http://schemas.microsoft.com/office/drawing/2014/main" id="{00000000-0008-0000-0100-000029010000}"/>
            </a:ext>
          </a:extLst>
        </xdr:cNvPr>
        <xdr:cNvSpPr/>
      </xdr:nvSpPr>
      <xdr:spPr>
        <a:xfrm>
          <a:off x="40062150" y="7172325"/>
          <a:ext cx="1001271" cy="13149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RUN2 Control</a:t>
          </a:r>
          <a:endParaRPr lang="en-US" sz="800" baseline="0"/>
        </a:p>
        <a:p>
          <a:pPr algn="ctr"/>
          <a:r>
            <a:rPr lang="en-US" sz="800"/>
            <a:t>MC_ME_RUN2_MC[PLLON]</a:t>
          </a:r>
        </a:p>
      </xdr:txBody>
    </xdr:sp>
    <xdr:clientData/>
  </xdr:twoCellAnchor>
  <xdr:twoCellAnchor>
    <xdr:from>
      <xdr:col>66</xdr:col>
      <xdr:colOff>0</xdr:colOff>
      <xdr:row>42</xdr:row>
      <xdr:rowOff>28575</xdr:rowOff>
    </xdr:from>
    <xdr:to>
      <xdr:col>67</xdr:col>
      <xdr:colOff>323871</xdr:colOff>
      <xdr:row>43</xdr:row>
      <xdr:rowOff>198646</xdr:rowOff>
    </xdr:to>
    <xdr:sp macro="" textlink="">
      <xdr:nvSpPr>
        <xdr:cNvPr id="298" name="TextBox 297">
          <a:extLst>
            <a:ext uri="{FF2B5EF4-FFF2-40B4-BE49-F238E27FC236}">
              <a16:creationId xmlns:a16="http://schemas.microsoft.com/office/drawing/2014/main" id="{00000000-0008-0000-0100-00002A010000}"/>
            </a:ext>
          </a:extLst>
        </xdr:cNvPr>
        <xdr:cNvSpPr txBox="1"/>
      </xdr:nvSpPr>
      <xdr:spPr>
        <a:xfrm>
          <a:off x="40233600" y="8743950"/>
          <a:ext cx="933471" cy="3796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 Off</a:t>
          </a:r>
        </a:p>
        <a:p>
          <a:r>
            <a:rPr lang="en-US" sz="800"/>
            <a:t>1 - PLL</a:t>
          </a:r>
          <a:r>
            <a:rPr lang="en-US" sz="800" baseline="0"/>
            <a:t> On</a:t>
          </a:r>
          <a:endParaRPr lang="en-US" sz="800"/>
        </a:p>
      </xdr:txBody>
    </xdr:sp>
    <xdr:clientData/>
  </xdr:twoCellAnchor>
  <xdr:twoCellAnchor>
    <xdr:from>
      <xdr:col>67</xdr:col>
      <xdr:colOff>247650</xdr:colOff>
      <xdr:row>36</xdr:row>
      <xdr:rowOff>104776</xdr:rowOff>
    </xdr:from>
    <xdr:to>
      <xdr:col>71</xdr:col>
      <xdr:colOff>0</xdr:colOff>
      <xdr:row>36</xdr:row>
      <xdr:rowOff>104777</xdr:rowOff>
    </xdr:to>
    <xdr:cxnSp macro="">
      <xdr:nvCxnSpPr>
        <xdr:cNvPr id="299" name="Straight Arrow Connector 298">
          <a:extLst>
            <a:ext uri="{FF2B5EF4-FFF2-40B4-BE49-F238E27FC236}">
              <a16:creationId xmlns:a16="http://schemas.microsoft.com/office/drawing/2014/main" id="{00000000-0008-0000-0100-00002B010000}"/>
            </a:ext>
          </a:extLst>
        </xdr:cNvPr>
        <xdr:cNvCxnSpPr/>
      </xdr:nvCxnSpPr>
      <xdr:spPr>
        <a:xfrm flipV="1">
          <a:off x="41090850" y="7572376"/>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257175</xdr:colOff>
      <xdr:row>39</xdr:row>
      <xdr:rowOff>104776</xdr:rowOff>
    </xdr:from>
    <xdr:to>
      <xdr:col>71</xdr:col>
      <xdr:colOff>9525</xdr:colOff>
      <xdr:row>39</xdr:row>
      <xdr:rowOff>104777</xdr:rowOff>
    </xdr:to>
    <xdr:cxnSp macro="">
      <xdr:nvCxnSpPr>
        <xdr:cNvPr id="300" name="Straight Arrow Connector 299">
          <a:extLst>
            <a:ext uri="{FF2B5EF4-FFF2-40B4-BE49-F238E27FC236}">
              <a16:creationId xmlns:a16="http://schemas.microsoft.com/office/drawing/2014/main" id="{00000000-0008-0000-0100-00002C010000}"/>
            </a:ext>
          </a:extLst>
        </xdr:cNvPr>
        <xdr:cNvCxnSpPr/>
      </xdr:nvCxnSpPr>
      <xdr:spPr>
        <a:xfrm flipV="1">
          <a:off x="41100375" y="8191501"/>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72</xdr:col>
      <xdr:colOff>28575</xdr:colOff>
      <xdr:row>35</xdr:row>
      <xdr:rowOff>95250</xdr:rowOff>
    </xdr:from>
    <xdr:to>
      <xdr:col>76</xdr:col>
      <xdr:colOff>507117</xdr:colOff>
      <xdr:row>37</xdr:row>
      <xdr:rowOff>122711</xdr:rowOff>
    </xdr:to>
    <xdr:sp macro="" textlink="">
      <xdr:nvSpPr>
        <xdr:cNvPr id="301" name="TextBox 300">
          <a:extLst>
            <a:ext uri="{FF2B5EF4-FFF2-40B4-BE49-F238E27FC236}">
              <a16:creationId xmlns:a16="http://schemas.microsoft.com/office/drawing/2014/main" id="{00000000-0008-0000-0100-00002D010000}"/>
            </a:ext>
          </a:extLst>
        </xdr:cNvPr>
        <xdr:cNvSpPr txBox="1"/>
      </xdr:nvSpPr>
      <xdr:spPr>
        <a:xfrm>
          <a:off x="43919775" y="7362825"/>
          <a:ext cx="2916942" cy="4275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FMPLL_PHI0 (RUN2)</a:t>
          </a:r>
        </a:p>
      </xdr:txBody>
    </xdr:sp>
    <xdr:clientData/>
  </xdr:twoCellAnchor>
  <xdr:twoCellAnchor>
    <xdr:from>
      <xdr:col>72</xdr:col>
      <xdr:colOff>28575</xdr:colOff>
      <xdr:row>38</xdr:row>
      <xdr:rowOff>114300</xdr:rowOff>
    </xdr:from>
    <xdr:to>
      <xdr:col>76</xdr:col>
      <xdr:colOff>507117</xdr:colOff>
      <xdr:row>40</xdr:row>
      <xdr:rowOff>113186</xdr:rowOff>
    </xdr:to>
    <xdr:sp macro="" textlink="">
      <xdr:nvSpPr>
        <xdr:cNvPr id="302" name="TextBox 301">
          <a:extLst>
            <a:ext uri="{FF2B5EF4-FFF2-40B4-BE49-F238E27FC236}">
              <a16:creationId xmlns:a16="http://schemas.microsoft.com/office/drawing/2014/main" id="{00000000-0008-0000-0100-00002E010000}"/>
            </a:ext>
          </a:extLst>
        </xdr:cNvPr>
        <xdr:cNvSpPr txBox="1"/>
      </xdr:nvSpPr>
      <xdr:spPr>
        <a:xfrm>
          <a:off x="43919775" y="7991475"/>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FMPLL_PHI1 (RUN2)</a:t>
          </a:r>
        </a:p>
      </xdr:txBody>
    </xdr:sp>
    <xdr:clientData/>
  </xdr:twoCellAnchor>
  <xdr:twoCellAnchor>
    <xdr:from>
      <xdr:col>59</xdr:col>
      <xdr:colOff>304800</xdr:colOff>
      <xdr:row>48</xdr:row>
      <xdr:rowOff>95250</xdr:rowOff>
    </xdr:from>
    <xdr:to>
      <xdr:col>65</xdr:col>
      <xdr:colOff>419100</xdr:colOff>
      <xdr:row>48</xdr:row>
      <xdr:rowOff>95250</xdr:rowOff>
    </xdr:to>
    <xdr:cxnSp macro="">
      <xdr:nvCxnSpPr>
        <xdr:cNvPr id="305" name="Straight Arrow Connector 304">
          <a:extLst>
            <a:ext uri="{FF2B5EF4-FFF2-40B4-BE49-F238E27FC236}">
              <a16:creationId xmlns:a16="http://schemas.microsoft.com/office/drawing/2014/main" id="{00000000-0008-0000-0100-000031010000}"/>
            </a:ext>
          </a:extLst>
        </xdr:cNvPr>
        <xdr:cNvCxnSpPr/>
      </xdr:nvCxnSpPr>
      <xdr:spPr>
        <a:xfrm>
          <a:off x="36271200" y="10067925"/>
          <a:ext cx="377190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304800</xdr:colOff>
      <xdr:row>51</xdr:row>
      <xdr:rowOff>100975</xdr:rowOff>
    </xdr:from>
    <xdr:to>
      <xdr:col>65</xdr:col>
      <xdr:colOff>400050</xdr:colOff>
      <xdr:row>51</xdr:row>
      <xdr:rowOff>100975</xdr:rowOff>
    </xdr:to>
    <xdr:cxnSp macro="">
      <xdr:nvCxnSpPr>
        <xdr:cNvPr id="306" name="Straight Arrow Connector 305">
          <a:extLst>
            <a:ext uri="{FF2B5EF4-FFF2-40B4-BE49-F238E27FC236}">
              <a16:creationId xmlns:a16="http://schemas.microsoft.com/office/drawing/2014/main" id="{00000000-0008-0000-0100-000032010000}"/>
            </a:ext>
          </a:extLst>
        </xdr:cNvPr>
        <xdr:cNvCxnSpPr/>
      </xdr:nvCxnSpPr>
      <xdr:spPr>
        <a:xfrm>
          <a:off x="38100000" y="10702300"/>
          <a:ext cx="1924050" cy="0"/>
        </a:xfrm>
        <a:prstGeom prst="straightConnector1">
          <a:avLst/>
        </a:prstGeom>
        <a:ln w="19050">
          <a:solidFill>
            <a:srgbClr val="00B050"/>
          </a:solidFill>
          <a:prstDash val="solid"/>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409575</xdr:colOff>
      <xdr:row>46</xdr:row>
      <xdr:rowOff>85725</xdr:rowOff>
    </xdr:from>
    <xdr:to>
      <xdr:col>67</xdr:col>
      <xdr:colOff>191646</xdr:colOff>
      <xdr:row>52</xdr:row>
      <xdr:rowOff>181466</xdr:rowOff>
    </xdr:to>
    <xdr:sp macro="" textlink="">
      <xdr:nvSpPr>
        <xdr:cNvPr id="307" name="Rectangle 306">
          <a:extLst>
            <a:ext uri="{FF2B5EF4-FFF2-40B4-BE49-F238E27FC236}">
              <a16:creationId xmlns:a16="http://schemas.microsoft.com/office/drawing/2014/main" id="{00000000-0008-0000-0100-000033010000}"/>
            </a:ext>
          </a:extLst>
        </xdr:cNvPr>
        <xdr:cNvSpPr/>
      </xdr:nvSpPr>
      <xdr:spPr>
        <a:xfrm>
          <a:off x="40033575" y="9639300"/>
          <a:ext cx="1001271" cy="13339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000" baseline="0"/>
            <a:t>RUN3 Control</a:t>
          </a:r>
          <a:endParaRPr lang="en-US" sz="800" baseline="0"/>
        </a:p>
        <a:p>
          <a:pPr algn="ctr"/>
          <a:r>
            <a:rPr lang="en-US" sz="800"/>
            <a:t>MC_ME_RUN3_MC[PLLON]</a:t>
          </a:r>
        </a:p>
      </xdr:txBody>
    </xdr:sp>
    <xdr:clientData/>
  </xdr:twoCellAnchor>
  <xdr:twoCellAnchor>
    <xdr:from>
      <xdr:col>65</xdr:col>
      <xdr:colOff>581025</xdr:colOff>
      <xdr:row>54</xdr:row>
      <xdr:rowOff>9525</xdr:rowOff>
    </xdr:from>
    <xdr:to>
      <xdr:col>67</xdr:col>
      <xdr:colOff>295296</xdr:colOff>
      <xdr:row>55</xdr:row>
      <xdr:rowOff>198646</xdr:rowOff>
    </xdr:to>
    <xdr:sp macro="" textlink="">
      <xdr:nvSpPr>
        <xdr:cNvPr id="308" name="TextBox 307">
          <a:extLst>
            <a:ext uri="{FF2B5EF4-FFF2-40B4-BE49-F238E27FC236}">
              <a16:creationId xmlns:a16="http://schemas.microsoft.com/office/drawing/2014/main" id="{00000000-0008-0000-0100-000034010000}"/>
            </a:ext>
          </a:extLst>
        </xdr:cNvPr>
        <xdr:cNvSpPr txBox="1"/>
      </xdr:nvSpPr>
      <xdr:spPr>
        <a:xfrm>
          <a:off x="40205025" y="11220450"/>
          <a:ext cx="933471" cy="389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 Off</a:t>
          </a:r>
        </a:p>
        <a:p>
          <a:r>
            <a:rPr lang="en-US" sz="800"/>
            <a:t>1 - PLL</a:t>
          </a:r>
          <a:r>
            <a:rPr lang="en-US" sz="800" baseline="0"/>
            <a:t> On</a:t>
          </a:r>
          <a:endParaRPr lang="en-US" sz="800"/>
        </a:p>
      </xdr:txBody>
    </xdr:sp>
    <xdr:clientData/>
  </xdr:twoCellAnchor>
  <xdr:twoCellAnchor>
    <xdr:from>
      <xdr:col>67</xdr:col>
      <xdr:colOff>219075</xdr:colOff>
      <xdr:row>48</xdr:row>
      <xdr:rowOff>85726</xdr:rowOff>
    </xdr:from>
    <xdr:to>
      <xdr:col>70</xdr:col>
      <xdr:colOff>581025</xdr:colOff>
      <xdr:row>48</xdr:row>
      <xdr:rowOff>85727</xdr:rowOff>
    </xdr:to>
    <xdr:cxnSp macro="">
      <xdr:nvCxnSpPr>
        <xdr:cNvPr id="309" name="Straight Arrow Connector 308">
          <a:extLst>
            <a:ext uri="{FF2B5EF4-FFF2-40B4-BE49-F238E27FC236}">
              <a16:creationId xmlns:a16="http://schemas.microsoft.com/office/drawing/2014/main" id="{00000000-0008-0000-0100-000035010000}"/>
            </a:ext>
          </a:extLst>
        </xdr:cNvPr>
        <xdr:cNvCxnSpPr/>
      </xdr:nvCxnSpPr>
      <xdr:spPr>
        <a:xfrm flipV="1">
          <a:off x="41062275" y="10058401"/>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228600</xdr:colOff>
      <xdr:row>51</xdr:row>
      <xdr:rowOff>104776</xdr:rowOff>
    </xdr:from>
    <xdr:to>
      <xdr:col>70</xdr:col>
      <xdr:colOff>590550</xdr:colOff>
      <xdr:row>51</xdr:row>
      <xdr:rowOff>104777</xdr:rowOff>
    </xdr:to>
    <xdr:cxnSp macro="">
      <xdr:nvCxnSpPr>
        <xdr:cNvPr id="310" name="Straight Arrow Connector 309">
          <a:extLst>
            <a:ext uri="{FF2B5EF4-FFF2-40B4-BE49-F238E27FC236}">
              <a16:creationId xmlns:a16="http://schemas.microsoft.com/office/drawing/2014/main" id="{00000000-0008-0000-0100-000036010000}"/>
            </a:ext>
          </a:extLst>
        </xdr:cNvPr>
        <xdr:cNvCxnSpPr/>
      </xdr:nvCxnSpPr>
      <xdr:spPr>
        <a:xfrm flipV="1">
          <a:off x="41071800" y="10687051"/>
          <a:ext cx="2190750" cy="1"/>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72</xdr:col>
      <xdr:colOff>0</xdr:colOff>
      <xdr:row>47</xdr:row>
      <xdr:rowOff>76200</xdr:rowOff>
    </xdr:from>
    <xdr:to>
      <xdr:col>76</xdr:col>
      <xdr:colOff>478542</xdr:colOff>
      <xdr:row>49</xdr:row>
      <xdr:rowOff>113186</xdr:rowOff>
    </xdr:to>
    <xdr:sp macro="" textlink="">
      <xdr:nvSpPr>
        <xdr:cNvPr id="311" name="TextBox 310">
          <a:extLst>
            <a:ext uri="{FF2B5EF4-FFF2-40B4-BE49-F238E27FC236}">
              <a16:creationId xmlns:a16="http://schemas.microsoft.com/office/drawing/2014/main" id="{00000000-0008-0000-0100-000037010000}"/>
            </a:ext>
          </a:extLst>
        </xdr:cNvPr>
        <xdr:cNvSpPr txBox="1"/>
      </xdr:nvSpPr>
      <xdr:spPr>
        <a:xfrm>
          <a:off x="43891200" y="9839325"/>
          <a:ext cx="2916942" cy="4465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FMPLL_PHI0 (RUN3)</a:t>
          </a:r>
        </a:p>
      </xdr:txBody>
    </xdr:sp>
    <xdr:clientData/>
  </xdr:twoCellAnchor>
  <xdr:twoCellAnchor>
    <xdr:from>
      <xdr:col>72</xdr:col>
      <xdr:colOff>0</xdr:colOff>
      <xdr:row>50</xdr:row>
      <xdr:rowOff>114300</xdr:rowOff>
    </xdr:from>
    <xdr:to>
      <xdr:col>76</xdr:col>
      <xdr:colOff>478542</xdr:colOff>
      <xdr:row>52</xdr:row>
      <xdr:rowOff>113186</xdr:rowOff>
    </xdr:to>
    <xdr:sp macro="" textlink="">
      <xdr:nvSpPr>
        <xdr:cNvPr id="312" name="TextBox 311">
          <a:extLst>
            <a:ext uri="{FF2B5EF4-FFF2-40B4-BE49-F238E27FC236}">
              <a16:creationId xmlns:a16="http://schemas.microsoft.com/office/drawing/2014/main" id="{00000000-0008-0000-0100-000038010000}"/>
            </a:ext>
          </a:extLst>
        </xdr:cNvPr>
        <xdr:cNvSpPr txBox="1"/>
      </xdr:nvSpPr>
      <xdr:spPr>
        <a:xfrm>
          <a:off x="43891200" y="10487025"/>
          <a:ext cx="2916942" cy="4179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FMPLL_PHI1 (RUN3)</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11</xdr:col>
      <xdr:colOff>390525</xdr:colOff>
      <xdr:row>4</xdr:row>
      <xdr:rowOff>66675</xdr:rowOff>
    </xdr:from>
    <xdr:ext cx="1057275" cy="419101"/>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7096125" y="82867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FS80</a:t>
          </a:r>
        </a:p>
      </xdr:txBody>
    </xdr:sp>
    <xdr:clientData/>
  </xdr:oneCellAnchor>
  <xdr:twoCellAnchor>
    <xdr:from>
      <xdr:col>12</xdr:col>
      <xdr:colOff>305802</xdr:colOff>
      <xdr:row>7</xdr:row>
      <xdr:rowOff>20053</xdr:rowOff>
    </xdr:from>
    <xdr:to>
      <xdr:col>12</xdr:col>
      <xdr:colOff>305802</xdr:colOff>
      <xdr:row>208</xdr:row>
      <xdr:rowOff>153866</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a:off x="7603417" y="1382861"/>
          <a:ext cx="0" cy="39875043"/>
        </a:xfrm>
        <a:prstGeom prst="straightConnector1">
          <a:avLst/>
        </a:prstGeom>
        <a:ln w="19050">
          <a:solidFill>
            <a:schemeClr val="accent6">
              <a:lumMod val="5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16</xdr:col>
      <xdr:colOff>389284</xdr:colOff>
      <xdr:row>4</xdr:row>
      <xdr:rowOff>57979</xdr:rowOff>
    </xdr:from>
    <xdr:ext cx="1057275" cy="419101"/>
    <xdr:sp macro="" textlink="">
      <xdr:nvSpPr>
        <xdr:cNvPr id="12" name="TextBox 11">
          <a:hlinkClick xmlns:r="http://schemas.openxmlformats.org/officeDocument/2006/relationships" r:id="rId2"/>
          <a:extLst>
            <a:ext uri="{FF2B5EF4-FFF2-40B4-BE49-F238E27FC236}">
              <a16:creationId xmlns:a16="http://schemas.microsoft.com/office/drawing/2014/main" id="{00000000-0008-0000-0200-00000C000000}"/>
            </a:ext>
          </a:extLst>
        </xdr:cNvPr>
        <xdr:cNvSpPr txBox="1"/>
      </xdr:nvSpPr>
      <xdr:spPr>
        <a:xfrm>
          <a:off x="10195893" y="81997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F40</a:t>
          </a:r>
        </a:p>
      </xdr:txBody>
    </xdr:sp>
    <xdr:clientData/>
  </xdr:oneCellAnchor>
  <xdr:twoCellAnchor>
    <xdr:from>
      <xdr:col>17</xdr:col>
      <xdr:colOff>317398</xdr:colOff>
      <xdr:row>7</xdr:row>
      <xdr:rowOff>23367</xdr:rowOff>
    </xdr:from>
    <xdr:to>
      <xdr:col>17</xdr:col>
      <xdr:colOff>317398</xdr:colOff>
      <xdr:row>208</xdr:row>
      <xdr:rowOff>161193</xdr:rowOff>
    </xdr:to>
    <xdr:cxnSp macro="">
      <xdr:nvCxnSpPr>
        <xdr:cNvPr id="13" name="Straight Arrow Connector 12">
          <a:extLst>
            <a:ext uri="{FF2B5EF4-FFF2-40B4-BE49-F238E27FC236}">
              <a16:creationId xmlns:a16="http://schemas.microsoft.com/office/drawing/2014/main" id="{00000000-0008-0000-0200-00000D000000}"/>
            </a:ext>
          </a:extLst>
        </xdr:cNvPr>
        <xdr:cNvCxnSpPr/>
      </xdr:nvCxnSpPr>
      <xdr:spPr>
        <a:xfrm>
          <a:off x="10655686" y="1386175"/>
          <a:ext cx="0" cy="39879056"/>
        </a:xfrm>
        <a:prstGeom prst="straightConnector1">
          <a:avLst/>
        </a:prstGeom>
        <a:ln w="19050">
          <a:solidFill>
            <a:schemeClr val="accent3">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398547</xdr:colOff>
      <xdr:row>4</xdr:row>
      <xdr:rowOff>66675</xdr:rowOff>
    </xdr:from>
    <xdr:ext cx="1057275" cy="419101"/>
    <xdr:sp macro="" textlink="">
      <xdr:nvSpPr>
        <xdr:cNvPr id="23" name="TextBox 22">
          <a:hlinkClick xmlns:r="http://schemas.openxmlformats.org/officeDocument/2006/relationships" r:id="rId3"/>
          <a:extLst>
            <a:ext uri="{FF2B5EF4-FFF2-40B4-BE49-F238E27FC236}">
              <a16:creationId xmlns:a16="http://schemas.microsoft.com/office/drawing/2014/main" id="{00000000-0008-0000-0200-000017000000}"/>
            </a:ext>
          </a:extLst>
        </xdr:cNvPr>
        <xdr:cNvSpPr txBox="1"/>
      </xdr:nvSpPr>
      <xdr:spPr>
        <a:xfrm>
          <a:off x="5902994" y="82867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twoCellAnchor>
    <xdr:from>
      <xdr:col>10</xdr:col>
      <xdr:colOff>311470</xdr:colOff>
      <xdr:row>7</xdr:row>
      <xdr:rowOff>14822</xdr:rowOff>
    </xdr:from>
    <xdr:to>
      <xdr:col>10</xdr:col>
      <xdr:colOff>311470</xdr:colOff>
      <xdr:row>208</xdr:row>
      <xdr:rowOff>146539</xdr:rowOff>
    </xdr:to>
    <xdr:cxnSp macro="">
      <xdr:nvCxnSpPr>
        <xdr:cNvPr id="24" name="Straight Arrow Connector 23">
          <a:extLst>
            <a:ext uri="{FF2B5EF4-FFF2-40B4-BE49-F238E27FC236}">
              <a16:creationId xmlns:a16="http://schemas.microsoft.com/office/drawing/2014/main" id="{00000000-0008-0000-0200-000018000000}"/>
            </a:ext>
          </a:extLst>
        </xdr:cNvPr>
        <xdr:cNvCxnSpPr/>
      </xdr:nvCxnSpPr>
      <xdr:spPr>
        <a:xfrm>
          <a:off x="6392816" y="1377630"/>
          <a:ext cx="0" cy="39872947"/>
        </a:xfrm>
        <a:prstGeom prst="straightConnector1">
          <a:avLst/>
        </a:prstGeom>
        <a:ln w="19050">
          <a:solidFill>
            <a:srgbClr val="FF000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436025</xdr:colOff>
      <xdr:row>7</xdr:row>
      <xdr:rowOff>139664</xdr:rowOff>
    </xdr:from>
    <xdr:to>
      <xdr:col>2</xdr:col>
      <xdr:colOff>255725</xdr:colOff>
      <xdr:row>11</xdr:row>
      <xdr:rowOff>172938</xdr:rowOff>
    </xdr:to>
    <xdr:grpSp>
      <xdr:nvGrpSpPr>
        <xdr:cNvPr id="35" name="Group 34">
          <a:hlinkClick xmlns:r="http://schemas.openxmlformats.org/officeDocument/2006/relationships" r:id="rId4"/>
          <a:extLst>
            <a:ext uri="{FF2B5EF4-FFF2-40B4-BE49-F238E27FC236}">
              <a16:creationId xmlns:a16="http://schemas.microsoft.com/office/drawing/2014/main" id="{00000000-0008-0000-0200-000023000000}"/>
            </a:ext>
          </a:extLst>
        </xdr:cNvPr>
        <xdr:cNvGrpSpPr/>
      </xdr:nvGrpSpPr>
      <xdr:grpSpPr>
        <a:xfrm>
          <a:off x="436025" y="1440926"/>
          <a:ext cx="1038900" cy="830443"/>
          <a:chOff x="610115" y="190500"/>
          <a:chExt cx="1049317" cy="734695"/>
        </a:xfrm>
      </xdr:grpSpPr>
      <xdr:sp macro="" textlink="">
        <xdr:nvSpPr>
          <xdr:cNvPr id="36" name="Rectangle 35">
            <a:extLst>
              <a:ext uri="{FF2B5EF4-FFF2-40B4-BE49-F238E27FC236}">
                <a16:creationId xmlns:a16="http://schemas.microsoft.com/office/drawing/2014/main" id="{00000000-0008-0000-0200-000024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FlexCAN1:7</a:t>
            </a:r>
          </a:p>
          <a:p>
            <a:pPr algn="ctr"/>
            <a:r>
              <a:rPr lang="en-US" sz="900" baseline="0"/>
              <a:t>Click me for more info</a:t>
            </a:r>
            <a:endParaRPr lang="en-US" sz="900"/>
          </a:p>
        </xdr:txBody>
      </xdr:sp>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1024522" y="203183"/>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BIU/CHI</a:t>
            </a:r>
          </a:p>
        </xdr:txBody>
      </xdr: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821547" y="715530"/>
            <a:ext cx="83788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Protocol Clock</a:t>
            </a:r>
          </a:p>
        </xdr:txBody>
      </xdr:sp>
    </xdr:grpSp>
    <xdr:clientData/>
  </xdr:twoCellAnchor>
  <xdr:twoCellAnchor>
    <xdr:from>
      <xdr:col>6</xdr:col>
      <xdr:colOff>146538</xdr:colOff>
      <xdr:row>8</xdr:row>
      <xdr:rowOff>58659</xdr:rowOff>
    </xdr:from>
    <xdr:to>
      <xdr:col>12</xdr:col>
      <xdr:colOff>307732</xdr:colOff>
      <xdr:row>8</xdr:row>
      <xdr:rowOff>58659</xdr:rowOff>
    </xdr:to>
    <xdr:cxnSp macro="">
      <xdr:nvCxnSpPr>
        <xdr:cNvPr id="39" name="Straight Arrow Connector 38">
          <a:extLst>
            <a:ext uri="{FF2B5EF4-FFF2-40B4-BE49-F238E27FC236}">
              <a16:creationId xmlns:a16="http://schemas.microsoft.com/office/drawing/2014/main" id="{00000000-0008-0000-0200-000027000000}"/>
            </a:ext>
          </a:extLst>
        </xdr:cNvPr>
        <xdr:cNvCxnSpPr/>
      </xdr:nvCxnSpPr>
      <xdr:spPr>
        <a:xfrm flipH="1">
          <a:off x="3795346" y="1619294"/>
          <a:ext cx="3810001"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255725</xdr:colOff>
      <xdr:row>11</xdr:row>
      <xdr:rowOff>34426</xdr:rowOff>
    </xdr:from>
    <xdr:to>
      <xdr:col>4</xdr:col>
      <xdr:colOff>446943</xdr:colOff>
      <xdr:row>11</xdr:row>
      <xdr:rowOff>34426</xdr:rowOff>
    </xdr:to>
    <xdr:cxnSp macro="">
      <xdr:nvCxnSpPr>
        <xdr:cNvPr id="47" name="Straight Arrow Connector 46">
          <a:extLst>
            <a:ext uri="{FF2B5EF4-FFF2-40B4-BE49-F238E27FC236}">
              <a16:creationId xmlns:a16="http://schemas.microsoft.com/office/drawing/2014/main" id="{00000000-0008-0000-0200-00002F000000}"/>
            </a:ext>
          </a:extLst>
        </xdr:cNvPr>
        <xdr:cNvCxnSpPr>
          <a:endCxn id="38" idx="3"/>
        </xdr:cNvCxnSpPr>
      </xdr:nvCxnSpPr>
      <xdr:spPr>
        <a:xfrm flipH="1">
          <a:off x="1471994" y="2217849"/>
          <a:ext cx="140748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427525</xdr:colOff>
      <xdr:row>26</xdr:row>
      <xdr:rowOff>1699</xdr:rowOff>
    </xdr:from>
    <xdr:to>
      <xdr:col>4</xdr:col>
      <xdr:colOff>261882</xdr:colOff>
      <xdr:row>29</xdr:row>
      <xdr:rowOff>174186</xdr:rowOff>
    </xdr:to>
    <xdr:grpSp>
      <xdr:nvGrpSpPr>
        <xdr:cNvPr id="71" name="Group 70">
          <a:extLst>
            <a:ext uri="{FF2B5EF4-FFF2-40B4-BE49-F238E27FC236}">
              <a16:creationId xmlns:a16="http://schemas.microsoft.com/office/drawing/2014/main" id="{00000000-0008-0000-0200-000047000000}"/>
            </a:ext>
          </a:extLst>
        </xdr:cNvPr>
        <xdr:cNvGrpSpPr/>
      </xdr:nvGrpSpPr>
      <xdr:grpSpPr>
        <a:xfrm>
          <a:off x="1646725" y="5083653"/>
          <a:ext cx="1053557" cy="717610"/>
          <a:chOff x="610115" y="190500"/>
          <a:chExt cx="1064161" cy="734695"/>
        </a:xfrm>
      </xdr:grpSpPr>
      <xdr:sp macro="" textlink="">
        <xdr:nvSpPr>
          <xdr:cNvPr id="72" name="Rectangle 71">
            <a:extLst>
              <a:ext uri="{FF2B5EF4-FFF2-40B4-BE49-F238E27FC236}">
                <a16:creationId xmlns:a16="http://schemas.microsoft.com/office/drawing/2014/main" id="{00000000-0008-0000-0200-000048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FlexRay</a:t>
            </a:r>
            <a:endParaRPr lang="en-US" sz="1100"/>
          </a:p>
        </xdr:txBody>
      </xdr:sp>
      <xdr:sp macro="" textlink="">
        <xdr:nvSpPr>
          <xdr:cNvPr id="73" name="TextBox 72">
            <a:extLst>
              <a:ext uri="{FF2B5EF4-FFF2-40B4-BE49-F238E27FC236}">
                <a16:creationId xmlns:a16="http://schemas.microsoft.com/office/drawing/2014/main" id="{00000000-0008-0000-0200-000049000000}"/>
              </a:ext>
            </a:extLst>
          </xdr:cNvPr>
          <xdr:cNvSpPr txBox="1"/>
        </xdr:nvSpPr>
        <xdr:spPr>
          <a:xfrm>
            <a:off x="1024522" y="203183"/>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74" name="TextBox 73">
            <a:extLst>
              <a:ext uri="{FF2B5EF4-FFF2-40B4-BE49-F238E27FC236}">
                <a16:creationId xmlns:a16="http://schemas.microsoft.com/office/drawing/2014/main" id="{00000000-0008-0000-0200-00004A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Protocol Clock</a:t>
            </a:r>
          </a:p>
        </xdr:txBody>
      </xdr:sp>
    </xdr:grpSp>
    <xdr:clientData/>
  </xdr:twoCellAnchor>
  <xdr:twoCellAnchor>
    <xdr:from>
      <xdr:col>4</xdr:col>
      <xdr:colOff>241448</xdr:colOff>
      <xdr:row>26</xdr:row>
      <xdr:rowOff>106174</xdr:rowOff>
    </xdr:from>
    <xdr:to>
      <xdr:col>12</xdr:col>
      <xdr:colOff>305773</xdr:colOff>
      <xdr:row>26</xdr:row>
      <xdr:rowOff>112289</xdr:rowOff>
    </xdr:to>
    <xdr:cxnSp macro="">
      <xdr:nvCxnSpPr>
        <xdr:cNvPr id="76" name="Straight Arrow Connector 75">
          <a:extLst>
            <a:ext uri="{FF2B5EF4-FFF2-40B4-BE49-F238E27FC236}">
              <a16:creationId xmlns:a16="http://schemas.microsoft.com/office/drawing/2014/main" id="{00000000-0008-0000-0200-00004C000000}"/>
            </a:ext>
          </a:extLst>
        </xdr:cNvPr>
        <xdr:cNvCxnSpPr>
          <a:endCxn id="73" idx="3"/>
        </xdr:cNvCxnSpPr>
      </xdr:nvCxnSpPr>
      <xdr:spPr>
        <a:xfrm flipH="1" flipV="1">
          <a:off x="2685103" y="5190553"/>
          <a:ext cx="4951636" cy="6115"/>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403447</xdr:colOff>
      <xdr:row>27</xdr:row>
      <xdr:rowOff>138954</xdr:rowOff>
    </xdr:from>
    <xdr:to>
      <xdr:col>8</xdr:col>
      <xdr:colOff>180530</xdr:colOff>
      <xdr:row>31</xdr:row>
      <xdr:rowOff>177447</xdr:rowOff>
    </xdr:to>
    <xdr:sp macro="" textlink="">
      <xdr:nvSpPr>
        <xdr:cNvPr id="80" name="Rectangle 79">
          <a:extLst>
            <a:ext uri="{FF2B5EF4-FFF2-40B4-BE49-F238E27FC236}">
              <a16:creationId xmlns:a16="http://schemas.microsoft.com/office/drawing/2014/main" id="{00000000-0008-0000-0200-000050000000}"/>
            </a:ext>
          </a:extLst>
        </xdr:cNvPr>
        <xdr:cNvSpPr/>
      </xdr:nvSpPr>
      <xdr:spPr>
        <a:xfrm>
          <a:off x="4055471" y="5393966"/>
          <a:ext cx="994425" cy="80049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FRAY Clock Selector</a:t>
          </a:r>
        </a:p>
        <a:p>
          <a:pPr algn="ctr"/>
          <a:r>
            <a:rPr lang="en-US" sz="700"/>
            <a:t>FR_MCR[CLKSEL]</a:t>
          </a:r>
        </a:p>
      </xdr:txBody>
    </xdr:sp>
    <xdr:clientData/>
  </xdr:twoCellAnchor>
  <xdr:twoCellAnchor>
    <xdr:from>
      <xdr:col>8</xdr:col>
      <xdr:colOff>181207</xdr:colOff>
      <xdr:row>28</xdr:row>
      <xdr:rowOff>148528</xdr:rowOff>
    </xdr:from>
    <xdr:to>
      <xdr:col>12</xdr:col>
      <xdr:colOff>306658</xdr:colOff>
      <xdr:row>28</xdr:row>
      <xdr:rowOff>148529</xdr:rowOff>
    </xdr:to>
    <xdr:cxnSp macro="">
      <xdr:nvCxnSpPr>
        <xdr:cNvPr id="81" name="Straight Arrow Connector 80">
          <a:extLst>
            <a:ext uri="{FF2B5EF4-FFF2-40B4-BE49-F238E27FC236}">
              <a16:creationId xmlns:a16="http://schemas.microsoft.com/office/drawing/2014/main" id="{00000000-0008-0000-0200-000051000000}"/>
            </a:ext>
          </a:extLst>
        </xdr:cNvPr>
        <xdr:cNvCxnSpPr/>
      </xdr:nvCxnSpPr>
      <xdr:spPr>
        <a:xfrm flipH="1">
          <a:off x="5050573" y="5594040"/>
          <a:ext cx="2560134" cy="1"/>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190500</xdr:colOff>
      <xdr:row>30</xdr:row>
      <xdr:rowOff>156783</xdr:rowOff>
    </xdr:from>
    <xdr:to>
      <xdr:col>10</xdr:col>
      <xdr:colOff>301036</xdr:colOff>
      <xdr:row>30</xdr:row>
      <xdr:rowOff>156783</xdr:rowOff>
    </xdr:to>
    <xdr:cxnSp macro="">
      <xdr:nvCxnSpPr>
        <xdr:cNvPr id="84" name="Straight Arrow Connector 83">
          <a:extLst>
            <a:ext uri="{FF2B5EF4-FFF2-40B4-BE49-F238E27FC236}">
              <a16:creationId xmlns:a16="http://schemas.microsoft.com/office/drawing/2014/main" id="{00000000-0008-0000-0200-000054000000}"/>
            </a:ext>
          </a:extLst>
        </xdr:cNvPr>
        <xdr:cNvCxnSpPr/>
      </xdr:nvCxnSpPr>
      <xdr:spPr>
        <a:xfrm flipH="1">
          <a:off x="5059866" y="5983295"/>
          <a:ext cx="132787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261882</xdr:colOff>
      <xdr:row>29</xdr:row>
      <xdr:rowOff>47118</xdr:rowOff>
    </xdr:from>
    <xdr:to>
      <xdr:col>6</xdr:col>
      <xdr:colOff>381000</xdr:colOff>
      <xdr:row>29</xdr:row>
      <xdr:rowOff>47118</xdr:rowOff>
    </xdr:to>
    <xdr:cxnSp macro="">
      <xdr:nvCxnSpPr>
        <xdr:cNvPr id="86" name="Straight Arrow Connector 85">
          <a:extLst>
            <a:ext uri="{FF2B5EF4-FFF2-40B4-BE49-F238E27FC236}">
              <a16:creationId xmlns:a16="http://schemas.microsoft.com/office/drawing/2014/main" id="{00000000-0008-0000-0200-000056000000}"/>
            </a:ext>
          </a:extLst>
        </xdr:cNvPr>
        <xdr:cNvCxnSpPr>
          <a:endCxn id="74" idx="3"/>
        </xdr:cNvCxnSpPr>
      </xdr:nvCxnSpPr>
      <xdr:spPr>
        <a:xfrm flipH="1">
          <a:off x="2696565" y="5683130"/>
          <a:ext cx="133645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527778</xdr:colOff>
      <xdr:row>32</xdr:row>
      <xdr:rowOff>173910</xdr:rowOff>
    </xdr:from>
    <xdr:ext cx="876300" cy="342900"/>
    <xdr:sp macro="" textlink="">
      <xdr:nvSpPr>
        <xdr:cNvPr id="90" name="TextBox 89">
          <a:extLst>
            <a:ext uri="{FF2B5EF4-FFF2-40B4-BE49-F238E27FC236}">
              <a16:creationId xmlns:a16="http://schemas.microsoft.com/office/drawing/2014/main" id="{00000000-0008-0000-0200-00005A000000}"/>
            </a:ext>
          </a:extLst>
        </xdr:cNvPr>
        <xdr:cNvSpPr txBox="1"/>
      </xdr:nvSpPr>
      <xdr:spPr>
        <a:xfrm>
          <a:off x="4179802" y="6390715"/>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a:t>
          </a:r>
        </a:p>
        <a:p>
          <a:r>
            <a:rPr lang="en-US" sz="800"/>
            <a:t>1 - FS80</a:t>
          </a:r>
        </a:p>
      </xdr:txBody>
    </xdr:sp>
    <xdr:clientData/>
  </xdr:oneCellAnchor>
  <xdr:oneCellAnchor>
    <xdr:from>
      <xdr:col>18</xdr:col>
      <xdr:colOff>381865</xdr:colOff>
      <xdr:row>4</xdr:row>
      <xdr:rowOff>77686</xdr:rowOff>
    </xdr:from>
    <xdr:ext cx="1057275" cy="419101"/>
    <xdr:sp macro="" textlink="">
      <xdr:nvSpPr>
        <xdr:cNvPr id="105" name="TextBox 104">
          <a:hlinkClick xmlns:r="http://schemas.openxmlformats.org/officeDocument/2006/relationships" r:id="rId5"/>
          <a:extLst>
            <a:ext uri="{FF2B5EF4-FFF2-40B4-BE49-F238E27FC236}">
              <a16:creationId xmlns:a16="http://schemas.microsoft.com/office/drawing/2014/main" id="{00000000-0008-0000-0200-000069000000}"/>
            </a:ext>
          </a:extLst>
        </xdr:cNvPr>
        <xdr:cNvSpPr txBox="1"/>
      </xdr:nvSpPr>
      <xdr:spPr>
        <a:xfrm>
          <a:off x="11378313" y="83968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F80</a:t>
          </a:r>
        </a:p>
      </xdr:txBody>
    </xdr:sp>
    <xdr:clientData/>
  </xdr:oneCellAnchor>
  <xdr:oneCellAnchor>
    <xdr:from>
      <xdr:col>20</xdr:col>
      <xdr:colOff>396322</xdr:colOff>
      <xdr:row>4</xdr:row>
      <xdr:rowOff>78999</xdr:rowOff>
    </xdr:from>
    <xdr:ext cx="1057275" cy="419101"/>
    <xdr:sp macro="" textlink="">
      <xdr:nvSpPr>
        <xdr:cNvPr id="106" name="TextBox 105">
          <a:hlinkClick xmlns:r="http://schemas.openxmlformats.org/officeDocument/2006/relationships" r:id="rId6"/>
          <a:extLst>
            <a:ext uri="{FF2B5EF4-FFF2-40B4-BE49-F238E27FC236}">
              <a16:creationId xmlns:a16="http://schemas.microsoft.com/office/drawing/2014/main" id="{00000000-0008-0000-0200-00006A000000}"/>
            </a:ext>
          </a:extLst>
        </xdr:cNvPr>
        <xdr:cNvSpPr txBox="1"/>
      </xdr:nvSpPr>
      <xdr:spPr>
        <a:xfrm>
          <a:off x="12614598" y="84099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F20</a:t>
          </a:r>
        </a:p>
      </xdr:txBody>
    </xdr:sp>
    <xdr:clientData/>
  </xdr:oneCellAnchor>
  <xdr:twoCellAnchor>
    <xdr:from>
      <xdr:col>19</xdr:col>
      <xdr:colOff>315058</xdr:colOff>
      <xdr:row>7</xdr:row>
      <xdr:rowOff>24305</xdr:rowOff>
    </xdr:from>
    <xdr:to>
      <xdr:col>19</xdr:col>
      <xdr:colOff>315058</xdr:colOff>
      <xdr:row>208</xdr:row>
      <xdr:rowOff>168520</xdr:rowOff>
    </xdr:to>
    <xdr:cxnSp macro="">
      <xdr:nvCxnSpPr>
        <xdr:cNvPr id="107" name="Straight Arrow Connector 106">
          <a:extLst>
            <a:ext uri="{FF2B5EF4-FFF2-40B4-BE49-F238E27FC236}">
              <a16:creationId xmlns:a16="http://schemas.microsoft.com/office/drawing/2014/main" id="{00000000-0008-0000-0200-00006B000000}"/>
            </a:ext>
          </a:extLst>
        </xdr:cNvPr>
        <xdr:cNvCxnSpPr/>
      </xdr:nvCxnSpPr>
      <xdr:spPr>
        <a:xfrm>
          <a:off x="11869616" y="1387113"/>
          <a:ext cx="0" cy="39885445"/>
        </a:xfrm>
        <a:prstGeom prst="straightConnector1">
          <a:avLst/>
        </a:prstGeom>
        <a:ln w="19050">
          <a:solidFill>
            <a:schemeClr val="accent4">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316377</xdr:colOff>
      <xdr:row>7</xdr:row>
      <xdr:rowOff>32187</xdr:rowOff>
    </xdr:from>
    <xdr:to>
      <xdr:col>21</xdr:col>
      <xdr:colOff>316377</xdr:colOff>
      <xdr:row>208</xdr:row>
      <xdr:rowOff>175847</xdr:rowOff>
    </xdr:to>
    <xdr:cxnSp macro="">
      <xdr:nvCxnSpPr>
        <xdr:cNvPr id="108" name="Straight Arrow Connector 107">
          <a:extLst>
            <a:ext uri="{FF2B5EF4-FFF2-40B4-BE49-F238E27FC236}">
              <a16:creationId xmlns:a16="http://schemas.microsoft.com/office/drawing/2014/main" id="{00000000-0008-0000-0200-00006C000000}"/>
            </a:ext>
          </a:extLst>
        </xdr:cNvPr>
        <xdr:cNvCxnSpPr/>
      </xdr:nvCxnSpPr>
      <xdr:spPr>
        <a:xfrm>
          <a:off x="13087204" y="1394995"/>
          <a:ext cx="0" cy="39884890"/>
        </a:xfrm>
        <a:prstGeom prst="straightConnector1">
          <a:avLst/>
        </a:prstGeom>
        <a:ln w="19050">
          <a:solidFill>
            <a:schemeClr val="accent4"/>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442563</xdr:colOff>
      <xdr:row>35</xdr:row>
      <xdr:rowOff>61811</xdr:rowOff>
    </xdr:from>
    <xdr:to>
      <xdr:col>4</xdr:col>
      <xdr:colOff>276920</xdr:colOff>
      <xdr:row>39</xdr:row>
      <xdr:rowOff>15690</xdr:rowOff>
    </xdr:to>
    <xdr:grpSp>
      <xdr:nvGrpSpPr>
        <xdr:cNvPr id="117" name="Group 116">
          <a:extLst>
            <a:ext uri="{FF2B5EF4-FFF2-40B4-BE49-F238E27FC236}">
              <a16:creationId xmlns:a16="http://schemas.microsoft.com/office/drawing/2014/main" id="{00000000-0008-0000-0200-000075000000}"/>
            </a:ext>
          </a:extLst>
        </xdr:cNvPr>
        <xdr:cNvGrpSpPr/>
      </xdr:nvGrpSpPr>
      <xdr:grpSpPr>
        <a:xfrm>
          <a:off x="1661763" y="6878780"/>
          <a:ext cx="1053557" cy="751048"/>
          <a:chOff x="610115" y="190500"/>
          <a:chExt cx="1064161" cy="750350"/>
        </a:xfrm>
      </xdr:grpSpPr>
      <xdr:sp macro="" textlink="">
        <xdr:nvSpPr>
          <xdr:cNvPr id="118" name="Rectangle 117">
            <a:extLst>
              <a:ext uri="{FF2B5EF4-FFF2-40B4-BE49-F238E27FC236}">
                <a16:creationId xmlns:a16="http://schemas.microsoft.com/office/drawing/2014/main" id="{00000000-0008-0000-0200-000076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LINFlexD1:17</a:t>
            </a:r>
            <a:endParaRPr lang="en-US" sz="1100"/>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024523" y="203183"/>
            <a:ext cx="62916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120" name="TextBox 119">
            <a:extLst>
              <a:ext uri="{FF2B5EF4-FFF2-40B4-BE49-F238E27FC236}">
                <a16:creationId xmlns:a16="http://schemas.microsoft.com/office/drawing/2014/main" id="{00000000-0008-0000-0200-000078000000}"/>
              </a:ext>
            </a:extLst>
          </xdr:cNvPr>
          <xdr:cNvSpPr txBox="1"/>
        </xdr:nvSpPr>
        <xdr:spPr>
          <a:xfrm>
            <a:off x="1045111" y="75987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LIN_CLK</a:t>
            </a:r>
          </a:p>
        </xdr:txBody>
      </xdr:sp>
    </xdr:grpSp>
    <xdr:clientData/>
  </xdr:twoCellAnchor>
  <xdr:twoCellAnchor>
    <xdr:from>
      <xdr:col>8</xdr:col>
      <xdr:colOff>161192</xdr:colOff>
      <xdr:row>35</xdr:row>
      <xdr:rowOff>166286</xdr:rowOff>
    </xdr:from>
    <xdr:to>
      <xdr:col>17</xdr:col>
      <xdr:colOff>321881</xdr:colOff>
      <xdr:row>35</xdr:row>
      <xdr:rowOff>166286</xdr:rowOff>
    </xdr:to>
    <xdr:cxnSp macro="">
      <xdr:nvCxnSpPr>
        <xdr:cNvPr id="121" name="Straight Arrow Connector 120">
          <a:extLst>
            <a:ext uri="{FF2B5EF4-FFF2-40B4-BE49-F238E27FC236}">
              <a16:creationId xmlns:a16="http://schemas.microsoft.com/office/drawing/2014/main" id="{00000000-0008-0000-0200-000079000000}"/>
            </a:ext>
          </a:extLst>
        </xdr:cNvPr>
        <xdr:cNvCxnSpPr/>
      </xdr:nvCxnSpPr>
      <xdr:spPr>
        <a:xfrm flipH="1">
          <a:off x="5026269" y="7288055"/>
          <a:ext cx="5633900"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139211</xdr:colOff>
      <xdr:row>39</xdr:row>
      <xdr:rowOff>41289</xdr:rowOff>
    </xdr:from>
    <xdr:to>
      <xdr:col>19</xdr:col>
      <xdr:colOff>321880</xdr:colOff>
      <xdr:row>39</xdr:row>
      <xdr:rowOff>41289</xdr:rowOff>
    </xdr:to>
    <xdr:cxnSp macro="">
      <xdr:nvCxnSpPr>
        <xdr:cNvPr id="125" name="Straight Arrow Connector 124">
          <a:extLst>
            <a:ext uri="{FF2B5EF4-FFF2-40B4-BE49-F238E27FC236}">
              <a16:creationId xmlns:a16="http://schemas.microsoft.com/office/drawing/2014/main" id="{00000000-0008-0000-0200-00007D000000}"/>
            </a:ext>
          </a:extLst>
        </xdr:cNvPr>
        <xdr:cNvCxnSpPr/>
      </xdr:nvCxnSpPr>
      <xdr:spPr>
        <a:xfrm flipH="1">
          <a:off x="5004288" y="7969020"/>
          <a:ext cx="6872150"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363279</xdr:colOff>
      <xdr:row>45</xdr:row>
      <xdr:rowOff>140951</xdr:rowOff>
    </xdr:from>
    <xdr:to>
      <xdr:col>3</xdr:col>
      <xdr:colOff>212289</xdr:colOff>
      <xdr:row>49</xdr:row>
      <xdr:rowOff>122938</xdr:rowOff>
    </xdr:to>
    <xdr:grpSp>
      <xdr:nvGrpSpPr>
        <xdr:cNvPr id="50" name="Group 49">
          <a:extLst>
            <a:ext uri="{FF2B5EF4-FFF2-40B4-BE49-F238E27FC236}">
              <a16:creationId xmlns:a16="http://schemas.microsoft.com/office/drawing/2014/main" id="{00000000-0008-0000-0200-000032000000}"/>
            </a:ext>
          </a:extLst>
        </xdr:cNvPr>
        <xdr:cNvGrpSpPr/>
      </xdr:nvGrpSpPr>
      <xdr:grpSpPr>
        <a:xfrm>
          <a:off x="972879" y="8921536"/>
          <a:ext cx="1068210" cy="779156"/>
          <a:chOff x="1660145" y="9336241"/>
          <a:chExt cx="1065279" cy="773294"/>
        </a:xfrm>
      </xdr:grpSpPr>
      <xdr:grpSp>
        <xdr:nvGrpSpPr>
          <xdr:cNvPr id="129" name="Group 128">
            <a:extLst>
              <a:ext uri="{FF2B5EF4-FFF2-40B4-BE49-F238E27FC236}">
                <a16:creationId xmlns:a16="http://schemas.microsoft.com/office/drawing/2014/main" id="{00000000-0008-0000-0200-000081000000}"/>
              </a:ext>
            </a:extLst>
          </xdr:cNvPr>
          <xdr:cNvGrpSpPr/>
        </xdr:nvGrpSpPr>
        <xdr:grpSpPr>
          <a:xfrm>
            <a:off x="1660145" y="9336241"/>
            <a:ext cx="1065279" cy="773294"/>
            <a:chOff x="610115" y="190500"/>
            <a:chExt cx="1079003" cy="734695"/>
          </a:xfrm>
        </xdr:grpSpPr>
        <xdr:sp macro="" textlink="">
          <xdr:nvSpPr>
            <xdr:cNvPr id="130" name="Rectangle 129">
              <a:extLst>
                <a:ext uri="{FF2B5EF4-FFF2-40B4-BE49-F238E27FC236}">
                  <a16:creationId xmlns:a16="http://schemas.microsoft.com/office/drawing/2014/main" id="{00000000-0008-0000-0200-000082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uSDHC</a:t>
              </a:r>
              <a:endParaRPr lang="en-US" sz="1100"/>
            </a:p>
          </xdr:txBody>
        </xdr:sp>
        <xdr:sp macro="" textlink="">
          <xdr:nvSpPr>
            <xdr:cNvPr id="131" name="TextBox 130">
              <a:extLst>
                <a:ext uri="{FF2B5EF4-FFF2-40B4-BE49-F238E27FC236}">
                  <a16:creationId xmlns:a16="http://schemas.microsoft.com/office/drawing/2014/main" id="{00000000-0008-0000-0200-000083000000}"/>
                </a:ext>
              </a:extLst>
            </xdr:cNvPr>
            <xdr:cNvSpPr txBox="1"/>
          </xdr:nvSpPr>
          <xdr:spPr>
            <a:xfrm>
              <a:off x="1024523" y="203183"/>
              <a:ext cx="62916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132" name="TextBox 131">
              <a:extLst>
                <a:ext uri="{FF2B5EF4-FFF2-40B4-BE49-F238E27FC236}">
                  <a16:creationId xmlns:a16="http://schemas.microsoft.com/office/drawing/2014/main" id="{00000000-0008-0000-0200-000084000000}"/>
                </a:ext>
              </a:extLst>
            </xdr:cNvPr>
            <xdr:cNvSpPr txBox="1"/>
          </xdr:nvSpPr>
          <xdr:spPr>
            <a:xfrm>
              <a:off x="1059953" y="34745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HCLK</a:t>
              </a:r>
            </a:p>
          </xdr:txBody>
        </xdr:sp>
      </xdr:grpSp>
      <xdr:sp macro="" textlink="">
        <xdr:nvSpPr>
          <xdr:cNvPr id="133" name="TextBox 132">
            <a:extLst>
              <a:ext uri="{FF2B5EF4-FFF2-40B4-BE49-F238E27FC236}">
                <a16:creationId xmlns:a16="http://schemas.microsoft.com/office/drawing/2014/main" id="{00000000-0008-0000-0200-000085000000}"/>
              </a:ext>
            </a:extLst>
          </xdr:cNvPr>
          <xdr:cNvSpPr txBox="1"/>
        </xdr:nvSpPr>
        <xdr:spPr>
          <a:xfrm>
            <a:off x="2083591" y="9902181"/>
            <a:ext cx="621669" cy="205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CARD_CLK</a:t>
            </a:r>
          </a:p>
        </xdr:txBody>
      </xdr:sp>
    </xdr:grpSp>
    <xdr:clientData/>
  </xdr:twoCellAnchor>
  <xdr:twoCellAnchor>
    <xdr:from>
      <xdr:col>8</xdr:col>
      <xdr:colOff>325511</xdr:colOff>
      <xdr:row>49</xdr:row>
      <xdr:rowOff>146934</xdr:rowOff>
    </xdr:from>
    <xdr:to>
      <xdr:col>10</xdr:col>
      <xdr:colOff>102594</xdr:colOff>
      <xdr:row>53</xdr:row>
      <xdr:rowOff>183825</xdr:rowOff>
    </xdr:to>
    <xdr:sp macro="" textlink="">
      <xdr:nvSpPr>
        <xdr:cNvPr id="134" name="Rectangle 133">
          <a:extLst>
            <a:ext uri="{FF2B5EF4-FFF2-40B4-BE49-F238E27FC236}">
              <a16:creationId xmlns:a16="http://schemas.microsoft.com/office/drawing/2014/main" id="{00000000-0008-0000-0200-000086000000}"/>
            </a:ext>
          </a:extLst>
        </xdr:cNvPr>
        <xdr:cNvSpPr/>
      </xdr:nvSpPr>
      <xdr:spPr>
        <a:xfrm>
          <a:off x="5190588" y="10192146"/>
          <a:ext cx="993352" cy="835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4</a:t>
          </a:r>
        </a:p>
        <a:p>
          <a:pPr algn="ctr"/>
          <a:r>
            <a:rPr lang="en-US" sz="900"/>
            <a:t>MC_CGM_AC4_SC[SELCTL]</a:t>
          </a:r>
        </a:p>
      </xdr:txBody>
    </xdr:sp>
    <xdr:clientData/>
  </xdr:twoCellAnchor>
  <xdr:oneCellAnchor>
    <xdr:from>
      <xdr:col>8</xdr:col>
      <xdr:colOff>549438</xdr:colOff>
      <xdr:row>55</xdr:row>
      <xdr:rowOff>650</xdr:rowOff>
    </xdr:from>
    <xdr:ext cx="876300" cy="342900"/>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5414515" y="11269458"/>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F40</a:t>
          </a:r>
        </a:p>
        <a:p>
          <a:r>
            <a:rPr lang="en-US" sz="800"/>
            <a:t>1 - FXOSC</a:t>
          </a:r>
        </a:p>
      </xdr:txBody>
    </xdr:sp>
    <xdr:clientData/>
  </xdr:oneCellAnchor>
  <xdr:twoCellAnchor>
    <xdr:from>
      <xdr:col>10</xdr:col>
      <xdr:colOff>109904</xdr:colOff>
      <xdr:row>50</xdr:row>
      <xdr:rowOff>123798</xdr:rowOff>
    </xdr:from>
    <xdr:to>
      <xdr:col>10</xdr:col>
      <xdr:colOff>321469</xdr:colOff>
      <xdr:row>50</xdr:row>
      <xdr:rowOff>123798</xdr:rowOff>
    </xdr:to>
    <xdr:cxnSp macro="">
      <xdr:nvCxnSpPr>
        <xdr:cNvPr id="136" name="Straight Arrow Connector 135">
          <a:extLst>
            <a:ext uri="{FF2B5EF4-FFF2-40B4-BE49-F238E27FC236}">
              <a16:creationId xmlns:a16="http://schemas.microsoft.com/office/drawing/2014/main" id="{00000000-0008-0000-0200-000088000000}"/>
            </a:ext>
          </a:extLst>
        </xdr:cNvPr>
        <xdr:cNvCxnSpPr/>
      </xdr:nvCxnSpPr>
      <xdr:spPr>
        <a:xfrm flipH="1">
          <a:off x="6191250" y="10366836"/>
          <a:ext cx="211565"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131885</xdr:colOff>
      <xdr:row>53</xdr:row>
      <xdr:rowOff>24363</xdr:rowOff>
    </xdr:from>
    <xdr:to>
      <xdr:col>17</xdr:col>
      <xdr:colOff>323194</xdr:colOff>
      <xdr:row>53</xdr:row>
      <xdr:rowOff>24363</xdr:rowOff>
    </xdr:to>
    <xdr:cxnSp macro="">
      <xdr:nvCxnSpPr>
        <xdr:cNvPr id="138" name="Straight Arrow Connector 137">
          <a:extLst>
            <a:ext uri="{FF2B5EF4-FFF2-40B4-BE49-F238E27FC236}">
              <a16:creationId xmlns:a16="http://schemas.microsoft.com/office/drawing/2014/main" id="{00000000-0008-0000-0200-00008A000000}"/>
            </a:ext>
          </a:extLst>
        </xdr:cNvPr>
        <xdr:cNvCxnSpPr/>
      </xdr:nvCxnSpPr>
      <xdr:spPr>
        <a:xfrm flipH="1">
          <a:off x="6213231" y="10868209"/>
          <a:ext cx="4448251"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139211</xdr:colOff>
      <xdr:row>45</xdr:row>
      <xdr:rowOff>3636</xdr:rowOff>
    </xdr:from>
    <xdr:to>
      <xdr:col>17</xdr:col>
      <xdr:colOff>315313</xdr:colOff>
      <xdr:row>45</xdr:row>
      <xdr:rowOff>3636</xdr:rowOff>
    </xdr:to>
    <xdr:cxnSp macro="">
      <xdr:nvCxnSpPr>
        <xdr:cNvPr id="140" name="Straight Arrow Connector 139">
          <a:extLst>
            <a:ext uri="{FF2B5EF4-FFF2-40B4-BE49-F238E27FC236}">
              <a16:creationId xmlns:a16="http://schemas.microsoft.com/office/drawing/2014/main" id="{00000000-0008-0000-0200-00008C000000}"/>
            </a:ext>
          </a:extLst>
        </xdr:cNvPr>
        <xdr:cNvCxnSpPr/>
      </xdr:nvCxnSpPr>
      <xdr:spPr>
        <a:xfrm flipH="1">
          <a:off x="5004288" y="9191598"/>
          <a:ext cx="5649313"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139211</xdr:colOff>
      <xdr:row>46</xdr:row>
      <xdr:rowOff>171713</xdr:rowOff>
    </xdr:from>
    <xdr:to>
      <xdr:col>15</xdr:col>
      <xdr:colOff>257717</xdr:colOff>
      <xdr:row>46</xdr:row>
      <xdr:rowOff>171713</xdr:rowOff>
    </xdr:to>
    <xdr:cxnSp macro="">
      <xdr:nvCxnSpPr>
        <xdr:cNvPr id="144" name="Straight Arrow Connector 143">
          <a:extLst>
            <a:ext uri="{FF2B5EF4-FFF2-40B4-BE49-F238E27FC236}">
              <a16:creationId xmlns:a16="http://schemas.microsoft.com/office/drawing/2014/main" id="{00000000-0008-0000-0200-000090000000}"/>
            </a:ext>
          </a:extLst>
        </xdr:cNvPr>
        <xdr:cNvCxnSpPr/>
      </xdr:nvCxnSpPr>
      <xdr:spPr>
        <a:xfrm flipH="1">
          <a:off x="5004288" y="9550175"/>
          <a:ext cx="4375448"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168519</xdr:colOff>
      <xdr:row>48</xdr:row>
      <xdr:rowOff>212372</xdr:rowOff>
    </xdr:from>
    <xdr:to>
      <xdr:col>5</xdr:col>
      <xdr:colOff>234462</xdr:colOff>
      <xdr:row>48</xdr:row>
      <xdr:rowOff>212372</xdr:rowOff>
    </xdr:to>
    <xdr:cxnSp macro="">
      <xdr:nvCxnSpPr>
        <xdr:cNvPr id="148" name="Straight Arrow Connector 147">
          <a:extLst>
            <a:ext uri="{FF2B5EF4-FFF2-40B4-BE49-F238E27FC236}">
              <a16:creationId xmlns:a16="http://schemas.microsoft.com/office/drawing/2014/main" id="{00000000-0008-0000-0200-000094000000}"/>
            </a:ext>
          </a:extLst>
        </xdr:cNvPr>
        <xdr:cNvCxnSpPr/>
      </xdr:nvCxnSpPr>
      <xdr:spPr>
        <a:xfrm flipH="1">
          <a:off x="1992923" y="10045103"/>
          <a:ext cx="12822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238224</xdr:colOff>
      <xdr:row>48</xdr:row>
      <xdr:rowOff>205155</xdr:rowOff>
    </xdr:from>
    <xdr:to>
      <xdr:col>5</xdr:col>
      <xdr:colOff>238224</xdr:colOff>
      <xdr:row>50</xdr:row>
      <xdr:rowOff>197827</xdr:rowOff>
    </xdr:to>
    <xdr:cxnSp macro="">
      <xdr:nvCxnSpPr>
        <xdr:cNvPr id="152" name="Straight Arrow Connector 151">
          <a:extLst>
            <a:ext uri="{FF2B5EF4-FFF2-40B4-BE49-F238E27FC236}">
              <a16:creationId xmlns:a16="http://schemas.microsoft.com/office/drawing/2014/main" id="{00000000-0008-0000-0200-000098000000}"/>
            </a:ext>
          </a:extLst>
        </xdr:cNvPr>
        <xdr:cNvCxnSpPr/>
      </xdr:nvCxnSpPr>
      <xdr:spPr>
        <a:xfrm flipV="1">
          <a:off x="3278897" y="10037886"/>
          <a:ext cx="0" cy="41763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146538</xdr:colOff>
      <xdr:row>52</xdr:row>
      <xdr:rowOff>7852</xdr:rowOff>
    </xdr:from>
    <xdr:to>
      <xdr:col>8</xdr:col>
      <xdr:colOff>325514</xdr:colOff>
      <xdr:row>52</xdr:row>
      <xdr:rowOff>7852</xdr:rowOff>
    </xdr:to>
    <xdr:cxnSp macro="">
      <xdr:nvCxnSpPr>
        <xdr:cNvPr id="155" name="Straight Arrow Connector 154">
          <a:extLst>
            <a:ext uri="{FF2B5EF4-FFF2-40B4-BE49-F238E27FC236}">
              <a16:creationId xmlns:a16="http://schemas.microsoft.com/office/drawing/2014/main" id="{00000000-0008-0000-0200-00009B000000}"/>
            </a:ext>
          </a:extLst>
        </xdr:cNvPr>
        <xdr:cNvCxnSpPr/>
      </xdr:nvCxnSpPr>
      <xdr:spPr>
        <a:xfrm flipH="1">
          <a:off x="3795346" y="10690506"/>
          <a:ext cx="13952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434351</xdr:colOff>
      <xdr:row>58</xdr:row>
      <xdr:rowOff>1008</xdr:rowOff>
    </xdr:from>
    <xdr:to>
      <xdr:col>4</xdr:col>
      <xdr:colOff>219860</xdr:colOff>
      <xdr:row>61</xdr:row>
      <xdr:rowOff>173495</xdr:rowOff>
    </xdr:to>
    <xdr:sp macro="" textlink="">
      <xdr:nvSpPr>
        <xdr:cNvPr id="162" name="Rectangle 161">
          <a:hlinkClick xmlns:r="http://schemas.openxmlformats.org/officeDocument/2006/relationships" r:id="rId7"/>
          <a:extLst>
            <a:ext uri="{FF2B5EF4-FFF2-40B4-BE49-F238E27FC236}">
              <a16:creationId xmlns:a16="http://schemas.microsoft.com/office/drawing/2014/main" id="{00000000-0008-0000-0200-0000A2000000}"/>
            </a:ext>
          </a:extLst>
        </xdr:cNvPr>
        <xdr:cNvSpPr/>
      </xdr:nvSpPr>
      <xdr:spPr>
        <a:xfrm>
          <a:off x="1653551" y="11240508"/>
          <a:ext cx="1004709" cy="7439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ENET</a:t>
          </a:r>
        </a:p>
        <a:p>
          <a:pPr algn="ctr"/>
          <a:r>
            <a:rPr lang="en-US" sz="1100" baseline="0"/>
            <a:t>Click me for more info</a:t>
          </a:r>
          <a:endParaRPr lang="en-US" sz="1100"/>
        </a:p>
      </xdr:txBody>
    </xdr:sp>
    <xdr:clientData/>
  </xdr:twoCellAnchor>
  <xdr:twoCellAnchor>
    <xdr:from>
      <xdr:col>8</xdr:col>
      <xdr:colOff>124558</xdr:colOff>
      <xdr:row>58</xdr:row>
      <xdr:rowOff>13616</xdr:rowOff>
    </xdr:from>
    <xdr:to>
      <xdr:col>17</xdr:col>
      <xdr:colOff>313411</xdr:colOff>
      <xdr:row>58</xdr:row>
      <xdr:rowOff>13616</xdr:rowOff>
    </xdr:to>
    <xdr:cxnSp macro="">
      <xdr:nvCxnSpPr>
        <xdr:cNvPr id="165" name="Straight Arrow Connector 164">
          <a:extLst>
            <a:ext uri="{FF2B5EF4-FFF2-40B4-BE49-F238E27FC236}">
              <a16:creationId xmlns:a16="http://schemas.microsoft.com/office/drawing/2014/main" id="{00000000-0008-0000-0200-0000A5000000}"/>
            </a:ext>
          </a:extLst>
        </xdr:cNvPr>
        <xdr:cNvCxnSpPr/>
      </xdr:nvCxnSpPr>
      <xdr:spPr>
        <a:xfrm flipH="1">
          <a:off x="4989635" y="11971154"/>
          <a:ext cx="5662064"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146538</xdr:colOff>
      <xdr:row>58</xdr:row>
      <xdr:rowOff>203445</xdr:rowOff>
    </xdr:from>
    <xdr:to>
      <xdr:col>19</xdr:col>
      <xdr:colOff>317612</xdr:colOff>
      <xdr:row>58</xdr:row>
      <xdr:rowOff>203445</xdr:rowOff>
    </xdr:to>
    <xdr:cxnSp macro="">
      <xdr:nvCxnSpPr>
        <xdr:cNvPr id="167" name="Straight Arrow Connector 166">
          <a:extLst>
            <a:ext uri="{FF2B5EF4-FFF2-40B4-BE49-F238E27FC236}">
              <a16:creationId xmlns:a16="http://schemas.microsoft.com/office/drawing/2014/main" id="{00000000-0008-0000-0200-0000A7000000}"/>
            </a:ext>
          </a:extLst>
        </xdr:cNvPr>
        <xdr:cNvCxnSpPr/>
      </xdr:nvCxnSpPr>
      <xdr:spPr>
        <a:xfrm flipH="1">
          <a:off x="5011615" y="12160983"/>
          <a:ext cx="6860555"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13</xdr:col>
      <xdr:colOff>371475</xdr:colOff>
      <xdr:row>4</xdr:row>
      <xdr:rowOff>85725</xdr:rowOff>
    </xdr:from>
    <xdr:ext cx="1057275" cy="419101"/>
    <xdr:sp macro="" textlink="">
      <xdr:nvSpPr>
        <xdr:cNvPr id="169" name="TextBox 168">
          <a:hlinkClick xmlns:r="http://schemas.openxmlformats.org/officeDocument/2006/relationships" r:id="rId8"/>
          <a:extLst>
            <a:ext uri="{FF2B5EF4-FFF2-40B4-BE49-F238E27FC236}">
              <a16:creationId xmlns:a16="http://schemas.microsoft.com/office/drawing/2014/main" id="{00000000-0008-0000-0200-0000A9000000}"/>
            </a:ext>
          </a:extLst>
        </xdr:cNvPr>
        <xdr:cNvSpPr txBox="1"/>
      </xdr:nvSpPr>
      <xdr:spPr>
        <a:xfrm>
          <a:off x="8296275" y="84772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F160</a:t>
          </a:r>
        </a:p>
      </xdr:txBody>
    </xdr:sp>
    <xdr:clientData/>
  </xdr:oneCellAnchor>
  <xdr:twoCellAnchor>
    <xdr:from>
      <xdr:col>14</xdr:col>
      <xdr:colOff>297431</xdr:colOff>
      <xdr:row>7</xdr:row>
      <xdr:rowOff>32613</xdr:rowOff>
    </xdr:from>
    <xdr:to>
      <xdr:col>14</xdr:col>
      <xdr:colOff>297431</xdr:colOff>
      <xdr:row>208</xdr:row>
      <xdr:rowOff>183174</xdr:rowOff>
    </xdr:to>
    <xdr:cxnSp macro="">
      <xdr:nvCxnSpPr>
        <xdr:cNvPr id="170" name="Straight Arrow Connector 169">
          <a:extLst>
            <a:ext uri="{FF2B5EF4-FFF2-40B4-BE49-F238E27FC236}">
              <a16:creationId xmlns:a16="http://schemas.microsoft.com/office/drawing/2014/main" id="{00000000-0008-0000-0200-0000AA000000}"/>
            </a:ext>
          </a:extLst>
        </xdr:cNvPr>
        <xdr:cNvCxnSpPr/>
      </xdr:nvCxnSpPr>
      <xdr:spPr>
        <a:xfrm>
          <a:off x="8811316" y="1395421"/>
          <a:ext cx="0" cy="39891791"/>
        </a:xfrm>
        <a:prstGeom prst="straightConnector1">
          <a:avLst/>
        </a:prstGeom>
        <a:ln w="19050">
          <a:solidFill>
            <a:schemeClr val="accent6">
              <a:lumMod val="40000"/>
              <a:lumOff val="6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153865</xdr:colOff>
      <xdr:row>59</xdr:row>
      <xdr:rowOff>160154</xdr:rowOff>
    </xdr:from>
    <xdr:to>
      <xdr:col>14</xdr:col>
      <xdr:colOff>307732</xdr:colOff>
      <xdr:row>59</xdr:row>
      <xdr:rowOff>160154</xdr:rowOff>
    </xdr:to>
    <xdr:cxnSp macro="">
      <xdr:nvCxnSpPr>
        <xdr:cNvPr id="171" name="Straight Arrow Connector 170">
          <a:extLst>
            <a:ext uri="{FF2B5EF4-FFF2-40B4-BE49-F238E27FC236}">
              <a16:creationId xmlns:a16="http://schemas.microsoft.com/office/drawing/2014/main" id="{00000000-0008-0000-0200-0000AB000000}"/>
            </a:ext>
          </a:extLst>
        </xdr:cNvPr>
        <xdr:cNvCxnSpPr/>
      </xdr:nvCxnSpPr>
      <xdr:spPr>
        <a:xfrm flipH="1">
          <a:off x="5018942" y="12330173"/>
          <a:ext cx="3802675" cy="0"/>
        </a:xfrm>
        <a:prstGeom prst="straightConnector1">
          <a:avLst/>
        </a:prstGeom>
        <a:ln w="19050">
          <a:solidFill>
            <a:schemeClr val="accent6">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241788</xdr:colOff>
      <xdr:row>53</xdr:row>
      <xdr:rowOff>103310</xdr:rowOff>
    </xdr:from>
    <xdr:ext cx="1057275" cy="419101"/>
    <xdr:sp macro="" textlink="">
      <xdr:nvSpPr>
        <xdr:cNvPr id="173" name="TextBox 172">
          <a:extLst>
            <a:ext uri="{FF2B5EF4-FFF2-40B4-BE49-F238E27FC236}">
              <a16:creationId xmlns:a16="http://schemas.microsoft.com/office/drawing/2014/main" id="{00000000-0008-0000-0200-0000AD000000}"/>
            </a:ext>
          </a:extLst>
        </xdr:cNvPr>
        <xdr:cNvSpPr txBox="1"/>
      </xdr:nvSpPr>
      <xdr:spPr>
        <a:xfrm>
          <a:off x="241788" y="1034634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TXD_CLK/RMII_CLK</a:t>
          </a:r>
        </a:p>
      </xdr:txBody>
    </xdr:sp>
    <xdr:clientData/>
  </xdr:oneCellAnchor>
  <xdr:twoCellAnchor>
    <xdr:from>
      <xdr:col>3</xdr:col>
      <xdr:colOff>327105</xdr:colOff>
      <xdr:row>54</xdr:row>
      <xdr:rowOff>117231</xdr:rowOff>
    </xdr:from>
    <xdr:to>
      <xdr:col>3</xdr:col>
      <xdr:colOff>327105</xdr:colOff>
      <xdr:row>58</xdr:row>
      <xdr:rowOff>1008</xdr:rowOff>
    </xdr:to>
    <xdr:cxnSp macro="">
      <xdr:nvCxnSpPr>
        <xdr:cNvPr id="174" name="Straight Arrow Connector 173">
          <a:extLst>
            <a:ext uri="{FF2B5EF4-FFF2-40B4-BE49-F238E27FC236}">
              <a16:creationId xmlns:a16="http://schemas.microsoft.com/office/drawing/2014/main" id="{00000000-0008-0000-0200-0000AE000000}"/>
            </a:ext>
          </a:extLst>
        </xdr:cNvPr>
        <xdr:cNvCxnSpPr>
          <a:endCxn id="162" idx="0"/>
        </xdr:cNvCxnSpPr>
      </xdr:nvCxnSpPr>
      <xdr:spPr>
        <a:xfrm>
          <a:off x="2151509" y="10558096"/>
          <a:ext cx="0" cy="675085"/>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14654</xdr:colOff>
      <xdr:row>54</xdr:row>
      <xdr:rowOff>117232</xdr:rowOff>
    </xdr:from>
    <xdr:to>
      <xdr:col>3</xdr:col>
      <xdr:colOff>337038</xdr:colOff>
      <xdr:row>54</xdr:row>
      <xdr:rowOff>117232</xdr:rowOff>
    </xdr:to>
    <xdr:cxnSp macro="">
      <xdr:nvCxnSpPr>
        <xdr:cNvPr id="180" name="Straight Arrow Connector 179">
          <a:extLst>
            <a:ext uri="{FF2B5EF4-FFF2-40B4-BE49-F238E27FC236}">
              <a16:creationId xmlns:a16="http://schemas.microsoft.com/office/drawing/2014/main" id="{00000000-0008-0000-0200-0000B4000000}"/>
            </a:ext>
          </a:extLst>
        </xdr:cNvPr>
        <xdr:cNvCxnSpPr/>
      </xdr:nvCxnSpPr>
      <xdr:spPr>
        <a:xfrm flipH="1">
          <a:off x="1839058" y="10558097"/>
          <a:ext cx="32238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373673</xdr:colOff>
      <xdr:row>63</xdr:row>
      <xdr:rowOff>96348</xdr:rowOff>
    </xdr:from>
    <xdr:ext cx="1057275" cy="419101"/>
    <xdr:sp macro="" textlink="">
      <xdr:nvSpPr>
        <xdr:cNvPr id="185" name="TextBox 184">
          <a:extLst>
            <a:ext uri="{FF2B5EF4-FFF2-40B4-BE49-F238E27FC236}">
              <a16:creationId xmlns:a16="http://schemas.microsoft.com/office/drawing/2014/main" id="{00000000-0008-0000-0200-0000B9000000}"/>
            </a:ext>
          </a:extLst>
        </xdr:cNvPr>
        <xdr:cNvSpPr txBox="1"/>
      </xdr:nvSpPr>
      <xdr:spPr>
        <a:xfrm>
          <a:off x="373673" y="1234787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RXD_CLK</a:t>
          </a:r>
        </a:p>
      </xdr:txBody>
    </xdr:sp>
    <xdr:clientData/>
  </xdr:oneCellAnchor>
  <xdr:twoCellAnchor>
    <xdr:from>
      <xdr:col>2</xdr:col>
      <xdr:colOff>606669</xdr:colOff>
      <xdr:row>64</xdr:row>
      <xdr:rowOff>108440</xdr:rowOff>
    </xdr:from>
    <xdr:to>
      <xdr:col>3</xdr:col>
      <xdr:colOff>320918</xdr:colOff>
      <xdr:row>64</xdr:row>
      <xdr:rowOff>108440</xdr:rowOff>
    </xdr:to>
    <xdr:cxnSp macro="">
      <xdr:nvCxnSpPr>
        <xdr:cNvPr id="186" name="Straight Arrow Connector 185">
          <a:extLst>
            <a:ext uri="{FF2B5EF4-FFF2-40B4-BE49-F238E27FC236}">
              <a16:creationId xmlns:a16="http://schemas.microsoft.com/office/drawing/2014/main" id="{00000000-0008-0000-0200-0000BA000000}"/>
            </a:ext>
          </a:extLst>
        </xdr:cNvPr>
        <xdr:cNvCxnSpPr/>
      </xdr:nvCxnSpPr>
      <xdr:spPr>
        <a:xfrm flipH="1">
          <a:off x="1822938" y="12490940"/>
          <a:ext cx="32238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327105</xdr:colOff>
      <xdr:row>61</xdr:row>
      <xdr:rowOff>173495</xdr:rowOff>
    </xdr:from>
    <xdr:to>
      <xdr:col>3</xdr:col>
      <xdr:colOff>327105</xdr:colOff>
      <xdr:row>64</xdr:row>
      <xdr:rowOff>124558</xdr:rowOff>
    </xdr:to>
    <xdr:cxnSp macro="">
      <xdr:nvCxnSpPr>
        <xdr:cNvPr id="187" name="Straight Arrow Connector 186">
          <a:extLst>
            <a:ext uri="{FF2B5EF4-FFF2-40B4-BE49-F238E27FC236}">
              <a16:creationId xmlns:a16="http://schemas.microsoft.com/office/drawing/2014/main" id="{00000000-0008-0000-0200-0000BB000000}"/>
            </a:ext>
          </a:extLst>
        </xdr:cNvPr>
        <xdr:cNvCxnSpPr>
          <a:endCxn id="162" idx="2"/>
        </xdr:cNvCxnSpPr>
      </xdr:nvCxnSpPr>
      <xdr:spPr>
        <a:xfrm flipV="1">
          <a:off x="2151509" y="11977168"/>
          <a:ext cx="0" cy="52989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xdr:col>
      <xdr:colOff>379534</xdr:colOff>
      <xdr:row>63</xdr:row>
      <xdr:rowOff>93051</xdr:rowOff>
    </xdr:from>
    <xdr:ext cx="1057275" cy="419101"/>
    <xdr:sp macro="" textlink="">
      <xdr:nvSpPr>
        <xdr:cNvPr id="192" name="TextBox 191">
          <a:extLst>
            <a:ext uri="{FF2B5EF4-FFF2-40B4-BE49-F238E27FC236}">
              <a16:creationId xmlns:a16="http://schemas.microsoft.com/office/drawing/2014/main" id="{00000000-0008-0000-0200-0000C0000000}"/>
            </a:ext>
          </a:extLst>
        </xdr:cNvPr>
        <xdr:cNvSpPr txBox="1"/>
      </xdr:nvSpPr>
      <xdr:spPr>
        <a:xfrm>
          <a:off x="3420207" y="1227772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TX_CLK_1</a:t>
          </a:r>
        </a:p>
      </xdr:txBody>
    </xdr:sp>
    <xdr:clientData/>
  </xdr:oneCellAnchor>
  <xdr:twoCellAnchor>
    <xdr:from>
      <xdr:col>3</xdr:col>
      <xdr:colOff>571500</xdr:colOff>
      <xdr:row>64</xdr:row>
      <xdr:rowOff>114302</xdr:rowOff>
    </xdr:from>
    <xdr:to>
      <xdr:col>4</xdr:col>
      <xdr:colOff>590550</xdr:colOff>
      <xdr:row>64</xdr:row>
      <xdr:rowOff>114302</xdr:rowOff>
    </xdr:to>
    <xdr:cxnSp macro="">
      <xdr:nvCxnSpPr>
        <xdr:cNvPr id="193" name="Straight Arrow Connector 192">
          <a:extLst>
            <a:ext uri="{FF2B5EF4-FFF2-40B4-BE49-F238E27FC236}">
              <a16:creationId xmlns:a16="http://schemas.microsoft.com/office/drawing/2014/main" id="{00000000-0008-0000-0200-0000C1000000}"/>
            </a:ext>
          </a:extLst>
        </xdr:cNvPr>
        <xdr:cNvCxnSpPr/>
      </xdr:nvCxnSpPr>
      <xdr:spPr>
        <a:xfrm flipH="1">
          <a:off x="2395904" y="12496802"/>
          <a:ext cx="627184"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586153</xdr:colOff>
      <xdr:row>61</xdr:row>
      <xdr:rowOff>161192</xdr:rowOff>
    </xdr:from>
    <xdr:to>
      <xdr:col>3</xdr:col>
      <xdr:colOff>586153</xdr:colOff>
      <xdr:row>64</xdr:row>
      <xdr:rowOff>131884</xdr:rowOff>
    </xdr:to>
    <xdr:cxnSp macro="">
      <xdr:nvCxnSpPr>
        <xdr:cNvPr id="195" name="Straight Arrow Connector 194">
          <a:extLst>
            <a:ext uri="{FF2B5EF4-FFF2-40B4-BE49-F238E27FC236}">
              <a16:creationId xmlns:a16="http://schemas.microsoft.com/office/drawing/2014/main" id="{00000000-0008-0000-0200-0000C3000000}"/>
            </a:ext>
          </a:extLst>
        </xdr:cNvPr>
        <xdr:cNvCxnSpPr/>
      </xdr:nvCxnSpPr>
      <xdr:spPr>
        <a:xfrm flipV="1">
          <a:off x="2410557" y="11972192"/>
          <a:ext cx="0" cy="578827"/>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407376</xdr:colOff>
      <xdr:row>60</xdr:row>
      <xdr:rowOff>96819</xdr:rowOff>
    </xdr:from>
    <xdr:ext cx="1057275" cy="419101"/>
    <xdr:sp macro="" textlink="">
      <xdr:nvSpPr>
        <xdr:cNvPr id="201" name="TextBox 200">
          <a:extLst>
            <a:ext uri="{FF2B5EF4-FFF2-40B4-BE49-F238E27FC236}">
              <a16:creationId xmlns:a16="http://schemas.microsoft.com/office/drawing/2014/main" id="{00000000-0008-0000-0200-0000C9000000}"/>
            </a:ext>
          </a:extLst>
        </xdr:cNvPr>
        <xdr:cNvSpPr txBox="1"/>
      </xdr:nvSpPr>
      <xdr:spPr>
        <a:xfrm>
          <a:off x="4064976" y="1206021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RX_CLK_1</a:t>
          </a:r>
        </a:p>
      </xdr:txBody>
    </xdr:sp>
    <xdr:clientData/>
  </xdr:oneCellAnchor>
  <xdr:twoCellAnchor>
    <xdr:from>
      <xdr:col>4</xdr:col>
      <xdr:colOff>211015</xdr:colOff>
      <xdr:row>61</xdr:row>
      <xdr:rowOff>101113</xdr:rowOff>
    </xdr:from>
    <xdr:to>
      <xdr:col>5</xdr:col>
      <xdr:colOff>600808</xdr:colOff>
      <xdr:row>61</xdr:row>
      <xdr:rowOff>101113</xdr:rowOff>
    </xdr:to>
    <xdr:cxnSp macro="">
      <xdr:nvCxnSpPr>
        <xdr:cNvPr id="203" name="Straight Arrow Connector 202">
          <a:extLst>
            <a:ext uri="{FF2B5EF4-FFF2-40B4-BE49-F238E27FC236}">
              <a16:creationId xmlns:a16="http://schemas.microsoft.com/office/drawing/2014/main" id="{00000000-0008-0000-0200-0000CB000000}"/>
            </a:ext>
          </a:extLst>
        </xdr:cNvPr>
        <xdr:cNvCxnSpPr/>
      </xdr:nvCxnSpPr>
      <xdr:spPr>
        <a:xfrm flipH="1">
          <a:off x="2643553" y="11912113"/>
          <a:ext cx="9979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73269</xdr:colOff>
      <xdr:row>69</xdr:row>
      <xdr:rowOff>102165</xdr:rowOff>
    </xdr:from>
    <xdr:to>
      <xdr:col>23</xdr:col>
      <xdr:colOff>303610</xdr:colOff>
      <xdr:row>69</xdr:row>
      <xdr:rowOff>102165</xdr:rowOff>
    </xdr:to>
    <xdr:cxnSp macro="">
      <xdr:nvCxnSpPr>
        <xdr:cNvPr id="228" name="Straight Arrow Connector 227">
          <a:extLst>
            <a:ext uri="{FF2B5EF4-FFF2-40B4-BE49-F238E27FC236}">
              <a16:creationId xmlns:a16="http://schemas.microsoft.com/office/drawing/2014/main" id="{00000000-0008-0000-0200-0000E4000000}"/>
            </a:ext>
          </a:extLst>
        </xdr:cNvPr>
        <xdr:cNvCxnSpPr/>
      </xdr:nvCxnSpPr>
      <xdr:spPr>
        <a:xfrm flipH="1">
          <a:off x="6154615" y="14338377"/>
          <a:ext cx="8136091"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207828</xdr:colOff>
      <xdr:row>72</xdr:row>
      <xdr:rowOff>158576</xdr:rowOff>
    </xdr:from>
    <xdr:to>
      <xdr:col>10</xdr:col>
      <xdr:colOff>319088</xdr:colOff>
      <xdr:row>72</xdr:row>
      <xdr:rowOff>158576</xdr:rowOff>
    </xdr:to>
    <xdr:cxnSp macro="">
      <xdr:nvCxnSpPr>
        <xdr:cNvPr id="233" name="Straight Arrow Connector 232">
          <a:extLst>
            <a:ext uri="{FF2B5EF4-FFF2-40B4-BE49-F238E27FC236}">
              <a16:creationId xmlns:a16="http://schemas.microsoft.com/office/drawing/2014/main" id="{00000000-0008-0000-0200-0000E9000000}"/>
            </a:ext>
          </a:extLst>
        </xdr:cNvPr>
        <xdr:cNvCxnSpPr/>
      </xdr:nvCxnSpPr>
      <xdr:spPr>
        <a:xfrm flipH="1">
          <a:off x="5095138" y="14446076"/>
          <a:ext cx="1333088"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424369</xdr:colOff>
      <xdr:row>70</xdr:row>
      <xdr:rowOff>130622</xdr:rowOff>
    </xdr:from>
    <xdr:to>
      <xdr:col>8</xdr:col>
      <xdr:colOff>209878</xdr:colOff>
      <xdr:row>74</xdr:row>
      <xdr:rowOff>119936</xdr:rowOff>
    </xdr:to>
    <xdr:sp macro="" textlink="">
      <xdr:nvSpPr>
        <xdr:cNvPr id="238" name="Rectangle 237">
          <a:hlinkClick xmlns:r="http://schemas.openxmlformats.org/officeDocument/2006/relationships" r:id="rId9"/>
          <a:extLst>
            <a:ext uri="{FF2B5EF4-FFF2-40B4-BE49-F238E27FC236}">
              <a16:creationId xmlns:a16="http://schemas.microsoft.com/office/drawing/2014/main" id="{00000000-0008-0000-0200-0000EE000000}"/>
            </a:ext>
          </a:extLst>
        </xdr:cNvPr>
        <xdr:cNvSpPr/>
      </xdr:nvSpPr>
      <xdr:spPr>
        <a:xfrm>
          <a:off x="4089852" y="14037122"/>
          <a:ext cx="1007336" cy="7578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 Clock Generator</a:t>
          </a:r>
        </a:p>
        <a:p>
          <a:pPr algn="ctr"/>
          <a:r>
            <a:rPr lang="en-US" sz="1000" baseline="0"/>
            <a:t>Click me for more info</a:t>
          </a:r>
        </a:p>
      </xdr:txBody>
    </xdr:sp>
    <xdr:clientData/>
  </xdr:twoCellAnchor>
  <xdr:twoCellAnchor>
    <xdr:from>
      <xdr:col>4</xdr:col>
      <xdr:colOff>232223</xdr:colOff>
      <xdr:row>70</xdr:row>
      <xdr:rowOff>183259</xdr:rowOff>
    </xdr:from>
    <xdr:to>
      <xdr:col>6</xdr:col>
      <xdr:colOff>426983</xdr:colOff>
      <xdr:row>70</xdr:row>
      <xdr:rowOff>183259</xdr:rowOff>
    </xdr:to>
    <xdr:cxnSp macro="">
      <xdr:nvCxnSpPr>
        <xdr:cNvPr id="240" name="Straight Arrow Connector 239">
          <a:extLst>
            <a:ext uri="{FF2B5EF4-FFF2-40B4-BE49-F238E27FC236}">
              <a16:creationId xmlns:a16="http://schemas.microsoft.com/office/drawing/2014/main" id="{00000000-0008-0000-0200-0000F0000000}"/>
            </a:ext>
          </a:extLst>
        </xdr:cNvPr>
        <xdr:cNvCxnSpPr>
          <a:endCxn id="224" idx="3"/>
        </xdr:cNvCxnSpPr>
      </xdr:nvCxnSpPr>
      <xdr:spPr>
        <a:xfrm flipH="1">
          <a:off x="2675878" y="14089759"/>
          <a:ext cx="141658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235197</xdr:colOff>
      <xdr:row>72</xdr:row>
      <xdr:rowOff>127950</xdr:rowOff>
    </xdr:from>
    <xdr:to>
      <xdr:col>6</xdr:col>
      <xdr:colOff>424369</xdr:colOff>
      <xdr:row>72</xdr:row>
      <xdr:rowOff>128564</xdr:rowOff>
    </xdr:to>
    <xdr:cxnSp macro="">
      <xdr:nvCxnSpPr>
        <xdr:cNvPr id="259" name="Straight Arrow Connector 258">
          <a:extLst>
            <a:ext uri="{FF2B5EF4-FFF2-40B4-BE49-F238E27FC236}">
              <a16:creationId xmlns:a16="http://schemas.microsoft.com/office/drawing/2014/main" id="{00000000-0008-0000-0200-000003010000}"/>
            </a:ext>
          </a:extLst>
        </xdr:cNvPr>
        <xdr:cNvCxnSpPr>
          <a:stCxn id="238" idx="1"/>
        </xdr:cNvCxnSpPr>
      </xdr:nvCxnSpPr>
      <xdr:spPr>
        <a:xfrm flipH="1" flipV="1">
          <a:off x="2678852" y="14415450"/>
          <a:ext cx="1411000" cy="61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399527</xdr:colOff>
      <xdr:row>75</xdr:row>
      <xdr:rowOff>98390</xdr:rowOff>
    </xdr:from>
    <xdr:ext cx="1057275" cy="419101"/>
    <xdr:sp macro="" textlink="">
      <xdr:nvSpPr>
        <xdr:cNvPr id="264" name="TextBox 263">
          <a:hlinkClick xmlns:r="http://schemas.openxmlformats.org/officeDocument/2006/relationships" r:id="rId10"/>
          <a:extLst>
            <a:ext uri="{FF2B5EF4-FFF2-40B4-BE49-F238E27FC236}">
              <a16:creationId xmlns:a16="http://schemas.microsoft.com/office/drawing/2014/main" id="{00000000-0008-0000-0200-000008010000}"/>
            </a:ext>
          </a:extLst>
        </xdr:cNvPr>
        <xdr:cNvSpPr txBox="1"/>
      </xdr:nvSpPr>
      <xdr:spPr>
        <a:xfrm>
          <a:off x="2837927" y="1511523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MLB_CLK</a:t>
          </a:r>
        </a:p>
      </xdr:txBody>
    </xdr:sp>
    <xdr:clientData/>
  </xdr:oneCellAnchor>
  <xdr:twoCellAnchor>
    <xdr:from>
      <xdr:col>6</xdr:col>
      <xdr:colOff>598883</xdr:colOff>
      <xdr:row>76</xdr:row>
      <xdr:rowOff>127825</xdr:rowOff>
    </xdr:from>
    <xdr:to>
      <xdr:col>7</xdr:col>
      <xdr:colOff>164523</xdr:colOff>
      <xdr:row>76</xdr:row>
      <xdr:rowOff>127825</xdr:rowOff>
    </xdr:to>
    <xdr:cxnSp macro="">
      <xdr:nvCxnSpPr>
        <xdr:cNvPr id="265" name="Straight Arrow Connector 264">
          <a:extLst>
            <a:ext uri="{FF2B5EF4-FFF2-40B4-BE49-F238E27FC236}">
              <a16:creationId xmlns:a16="http://schemas.microsoft.com/office/drawing/2014/main" id="{00000000-0008-0000-0200-000009010000}"/>
            </a:ext>
          </a:extLst>
        </xdr:cNvPr>
        <xdr:cNvCxnSpPr/>
      </xdr:nvCxnSpPr>
      <xdr:spPr>
        <a:xfrm>
          <a:off x="4261678" y="15047439"/>
          <a:ext cx="176106"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169919</xdr:colOff>
      <xdr:row>74</xdr:row>
      <xdr:rowOff>163833</xdr:rowOff>
    </xdr:from>
    <xdr:to>
      <xdr:col>7</xdr:col>
      <xdr:colOff>174984</xdr:colOff>
      <xdr:row>76</xdr:row>
      <xdr:rowOff>136072</xdr:rowOff>
    </xdr:to>
    <xdr:cxnSp macro="">
      <xdr:nvCxnSpPr>
        <xdr:cNvPr id="267" name="Straight Arrow Connector 266">
          <a:extLst>
            <a:ext uri="{FF2B5EF4-FFF2-40B4-BE49-F238E27FC236}">
              <a16:creationId xmlns:a16="http://schemas.microsoft.com/office/drawing/2014/main" id="{00000000-0008-0000-0200-00000B010000}"/>
            </a:ext>
          </a:extLst>
        </xdr:cNvPr>
        <xdr:cNvCxnSpPr/>
      </xdr:nvCxnSpPr>
      <xdr:spPr>
        <a:xfrm flipH="1" flipV="1">
          <a:off x="4437119" y="14968404"/>
          <a:ext cx="5065" cy="39678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407195</xdr:colOff>
      <xdr:row>77</xdr:row>
      <xdr:rowOff>94570</xdr:rowOff>
    </xdr:from>
    <xdr:ext cx="1057275" cy="419101"/>
    <xdr:sp macro="" textlink="">
      <xdr:nvSpPr>
        <xdr:cNvPr id="276" name="TextBox 275">
          <a:extLst>
            <a:ext uri="{FF2B5EF4-FFF2-40B4-BE49-F238E27FC236}">
              <a16:creationId xmlns:a16="http://schemas.microsoft.com/office/drawing/2014/main" id="{00000000-0008-0000-0200-000014010000}"/>
            </a:ext>
          </a:extLst>
        </xdr:cNvPr>
        <xdr:cNvSpPr txBox="1"/>
      </xdr:nvSpPr>
      <xdr:spPr>
        <a:xfrm>
          <a:off x="2845595" y="1553595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MCLK[0]</a:t>
          </a:r>
        </a:p>
      </xdr:txBody>
    </xdr:sp>
    <xdr:clientData/>
  </xdr:oneCellAnchor>
  <xdr:twoCellAnchor>
    <xdr:from>
      <xdr:col>7</xdr:col>
      <xdr:colOff>6601</xdr:colOff>
      <xdr:row>78</xdr:row>
      <xdr:rowOff>99252</xdr:rowOff>
    </xdr:from>
    <xdr:to>
      <xdr:col>7</xdr:col>
      <xdr:colOff>272762</xdr:colOff>
      <xdr:row>78</xdr:row>
      <xdr:rowOff>99252</xdr:rowOff>
    </xdr:to>
    <xdr:cxnSp macro="">
      <xdr:nvCxnSpPr>
        <xdr:cNvPr id="278" name="Straight Arrow Connector 277">
          <a:extLst>
            <a:ext uri="{FF2B5EF4-FFF2-40B4-BE49-F238E27FC236}">
              <a16:creationId xmlns:a16="http://schemas.microsoft.com/office/drawing/2014/main" id="{00000000-0008-0000-0200-000016010000}"/>
            </a:ext>
          </a:extLst>
        </xdr:cNvPr>
        <xdr:cNvCxnSpPr/>
      </xdr:nvCxnSpPr>
      <xdr:spPr>
        <a:xfrm>
          <a:off x="4273801" y="15752909"/>
          <a:ext cx="26616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281254</xdr:colOff>
      <xdr:row>74</xdr:row>
      <xdr:rowOff>157844</xdr:rowOff>
    </xdr:from>
    <xdr:to>
      <xdr:col>7</xdr:col>
      <xdr:colOff>281254</xdr:colOff>
      <xdr:row>78</xdr:row>
      <xdr:rowOff>103414</xdr:rowOff>
    </xdr:to>
    <xdr:cxnSp macro="">
      <xdr:nvCxnSpPr>
        <xdr:cNvPr id="279" name="Straight Arrow Connector 278">
          <a:extLst>
            <a:ext uri="{FF2B5EF4-FFF2-40B4-BE49-F238E27FC236}">
              <a16:creationId xmlns:a16="http://schemas.microsoft.com/office/drawing/2014/main" id="{00000000-0008-0000-0200-000017010000}"/>
            </a:ext>
          </a:extLst>
        </xdr:cNvPr>
        <xdr:cNvCxnSpPr/>
      </xdr:nvCxnSpPr>
      <xdr:spPr>
        <a:xfrm flipV="1">
          <a:off x="4548454" y="14962415"/>
          <a:ext cx="0" cy="794656"/>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397329</xdr:colOff>
      <xdr:row>98</xdr:row>
      <xdr:rowOff>93086</xdr:rowOff>
    </xdr:from>
    <xdr:ext cx="1057275" cy="419101"/>
    <xdr:sp macro="" textlink="">
      <xdr:nvSpPr>
        <xdr:cNvPr id="293" name="TextBox 292">
          <a:extLst>
            <a:ext uri="{FF2B5EF4-FFF2-40B4-BE49-F238E27FC236}">
              <a16:creationId xmlns:a16="http://schemas.microsoft.com/office/drawing/2014/main" id="{00000000-0008-0000-0200-000025010000}"/>
            </a:ext>
          </a:extLst>
        </xdr:cNvPr>
        <xdr:cNvSpPr txBox="1"/>
      </xdr:nvSpPr>
      <xdr:spPr>
        <a:xfrm>
          <a:off x="2835729" y="1988331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MCLK[2]</a:t>
          </a:r>
        </a:p>
      </xdr:txBody>
    </xdr:sp>
    <xdr:clientData/>
  </xdr:oneCellAnchor>
  <xdr:twoCellAnchor>
    <xdr:from>
      <xdr:col>6</xdr:col>
      <xdr:colOff>599254</xdr:colOff>
      <xdr:row>99</xdr:row>
      <xdr:rowOff>127206</xdr:rowOff>
    </xdr:from>
    <xdr:to>
      <xdr:col>7</xdr:col>
      <xdr:colOff>293914</xdr:colOff>
      <xdr:row>99</xdr:row>
      <xdr:rowOff>127206</xdr:rowOff>
    </xdr:to>
    <xdr:cxnSp macro="">
      <xdr:nvCxnSpPr>
        <xdr:cNvPr id="294" name="Straight Arrow Connector 293">
          <a:extLst>
            <a:ext uri="{FF2B5EF4-FFF2-40B4-BE49-F238E27FC236}">
              <a16:creationId xmlns:a16="http://schemas.microsoft.com/office/drawing/2014/main" id="{00000000-0008-0000-0200-000026010000}"/>
            </a:ext>
          </a:extLst>
        </xdr:cNvPr>
        <xdr:cNvCxnSpPr/>
      </xdr:nvCxnSpPr>
      <xdr:spPr>
        <a:xfrm>
          <a:off x="4256854" y="20129706"/>
          <a:ext cx="30426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384664</xdr:colOff>
      <xdr:row>74</xdr:row>
      <xdr:rowOff>95249</xdr:rowOff>
    </xdr:from>
    <xdr:ext cx="1057275" cy="419101"/>
    <xdr:sp macro="" textlink="">
      <xdr:nvSpPr>
        <xdr:cNvPr id="298" name="TextBox 297">
          <a:hlinkClick xmlns:r="http://schemas.openxmlformats.org/officeDocument/2006/relationships" r:id="rId11"/>
          <a:extLst>
            <a:ext uri="{FF2B5EF4-FFF2-40B4-BE49-F238E27FC236}">
              <a16:creationId xmlns:a16="http://schemas.microsoft.com/office/drawing/2014/main" id="{00000000-0008-0000-0200-00002A010000}"/>
            </a:ext>
          </a:extLst>
        </xdr:cNvPr>
        <xdr:cNvSpPr txBox="1"/>
      </xdr:nvSpPr>
      <xdr:spPr>
        <a:xfrm>
          <a:off x="5268391" y="1443470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twoCellAnchor>
    <xdr:from>
      <xdr:col>8</xdr:col>
      <xdr:colOff>220808</xdr:colOff>
      <xdr:row>74</xdr:row>
      <xdr:rowOff>30307</xdr:rowOff>
    </xdr:from>
    <xdr:to>
      <xdr:col>9</xdr:col>
      <xdr:colOff>4330</xdr:colOff>
      <xdr:row>74</xdr:row>
      <xdr:rowOff>30307</xdr:rowOff>
    </xdr:to>
    <xdr:cxnSp macro="">
      <xdr:nvCxnSpPr>
        <xdr:cNvPr id="299" name="Straight Arrow Connector 298">
          <a:extLst>
            <a:ext uri="{FF2B5EF4-FFF2-40B4-BE49-F238E27FC236}">
              <a16:creationId xmlns:a16="http://schemas.microsoft.com/office/drawing/2014/main" id="{00000000-0008-0000-0200-00002B010000}"/>
            </a:ext>
          </a:extLst>
        </xdr:cNvPr>
        <xdr:cNvCxnSpPr/>
      </xdr:nvCxnSpPr>
      <xdr:spPr>
        <a:xfrm flipH="1">
          <a:off x="5104535" y="14378421"/>
          <a:ext cx="393988"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16</xdr:col>
      <xdr:colOff>418110</xdr:colOff>
      <xdr:row>0</xdr:row>
      <xdr:rowOff>0</xdr:rowOff>
    </xdr:from>
    <xdr:ext cx="4840942" cy="895348"/>
    <xdr:sp macro="" textlink="">
      <xdr:nvSpPr>
        <xdr:cNvPr id="122" name="TextBox 121">
          <a:extLst>
            <a:ext uri="{FF2B5EF4-FFF2-40B4-BE49-F238E27FC236}">
              <a16:creationId xmlns:a16="http://schemas.microsoft.com/office/drawing/2014/main" id="{00000000-0008-0000-0200-00007A000000}"/>
            </a:ext>
          </a:extLst>
        </xdr:cNvPr>
        <xdr:cNvSpPr txBox="1"/>
      </xdr:nvSpPr>
      <xdr:spPr>
        <a:xfrm>
          <a:off x="10116292" y="0"/>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MPC574xG</a:t>
          </a:r>
          <a:r>
            <a:rPr lang="en-US" sz="2800" b="1" baseline="0"/>
            <a:t> Module Clocking</a:t>
          </a:r>
          <a:endParaRPr lang="en-US" sz="2800" b="1"/>
        </a:p>
      </xdr:txBody>
    </xdr:sp>
    <xdr:clientData/>
  </xdr:oneCellAnchor>
  <xdr:oneCellAnchor>
    <xdr:from>
      <xdr:col>4</xdr:col>
      <xdr:colOff>357553</xdr:colOff>
      <xdr:row>70</xdr:row>
      <xdr:rowOff>58877</xdr:rowOff>
    </xdr:from>
    <xdr:ext cx="1057275" cy="419101"/>
    <xdr:sp macro="" textlink="">
      <xdr:nvSpPr>
        <xdr:cNvPr id="123" name="TextBox 122">
          <a:hlinkClick xmlns:r="http://schemas.openxmlformats.org/officeDocument/2006/relationships" r:id="rId12"/>
          <a:extLst>
            <a:ext uri="{FF2B5EF4-FFF2-40B4-BE49-F238E27FC236}">
              <a16:creationId xmlns:a16="http://schemas.microsoft.com/office/drawing/2014/main" id="{00000000-0008-0000-0200-00007B000000}"/>
            </a:ext>
          </a:extLst>
        </xdr:cNvPr>
        <xdr:cNvSpPr txBox="1"/>
      </xdr:nvSpPr>
      <xdr:spPr>
        <a:xfrm>
          <a:off x="2801208" y="1396537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800" b="1"/>
            <a:t>MCLK_TX/RX_SAI0</a:t>
          </a:r>
        </a:p>
      </xdr:txBody>
    </xdr:sp>
    <xdr:clientData/>
  </xdr:oneCellAnchor>
  <xdr:twoCellAnchor>
    <xdr:from>
      <xdr:col>2</xdr:col>
      <xdr:colOff>382268</xdr:colOff>
      <xdr:row>101</xdr:row>
      <xdr:rowOff>18680</xdr:rowOff>
    </xdr:from>
    <xdr:to>
      <xdr:col>4</xdr:col>
      <xdr:colOff>226072</xdr:colOff>
      <xdr:row>105</xdr:row>
      <xdr:rowOff>15277</xdr:rowOff>
    </xdr:to>
    <xdr:grpSp>
      <xdr:nvGrpSpPr>
        <xdr:cNvPr id="172" name="Group 171">
          <a:extLst>
            <a:ext uri="{FF2B5EF4-FFF2-40B4-BE49-F238E27FC236}">
              <a16:creationId xmlns:a16="http://schemas.microsoft.com/office/drawing/2014/main" id="{00000000-0008-0000-0200-0000AC000000}"/>
            </a:ext>
          </a:extLst>
        </xdr:cNvPr>
        <xdr:cNvGrpSpPr/>
      </xdr:nvGrpSpPr>
      <xdr:grpSpPr>
        <a:xfrm>
          <a:off x="1601468" y="19848265"/>
          <a:ext cx="1063004" cy="793766"/>
          <a:chOff x="15495714" y="1624396"/>
          <a:chExt cx="1059680" cy="783089"/>
        </a:xfrm>
      </xdr:grpSpPr>
      <xdr:grpSp>
        <xdr:nvGrpSpPr>
          <xdr:cNvPr id="175" name="Group 174">
            <a:extLst>
              <a:ext uri="{FF2B5EF4-FFF2-40B4-BE49-F238E27FC236}">
                <a16:creationId xmlns:a16="http://schemas.microsoft.com/office/drawing/2014/main" id="{00000000-0008-0000-0200-0000AF000000}"/>
              </a:ext>
            </a:extLst>
          </xdr:cNvPr>
          <xdr:cNvGrpSpPr/>
        </xdr:nvGrpSpPr>
        <xdr:grpSpPr>
          <a:xfrm>
            <a:off x="15495714" y="1640962"/>
            <a:ext cx="1059680" cy="766523"/>
            <a:chOff x="610114" y="190499"/>
            <a:chExt cx="1073331" cy="758952"/>
          </a:xfrm>
        </xdr:grpSpPr>
        <xdr:sp macro="" textlink="">
          <xdr:nvSpPr>
            <xdr:cNvPr id="177" name="Rectangle 176">
              <a:extLst>
                <a:ext uri="{FF2B5EF4-FFF2-40B4-BE49-F238E27FC236}">
                  <a16:creationId xmlns:a16="http://schemas.microsoft.com/office/drawing/2014/main" id="{00000000-0008-0000-0200-0000B1000000}"/>
                </a:ext>
              </a:extLst>
            </xdr:cNvPr>
            <xdr:cNvSpPr/>
          </xdr:nvSpPr>
          <xdr:spPr>
            <a:xfrm>
              <a:off x="610114" y="190499"/>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SPI1:2</a:t>
              </a:r>
              <a:endParaRPr lang="en-US" sz="1100"/>
            </a:p>
          </xdr:txBody>
        </xdr:sp>
        <xdr:sp macro="" textlink="">
          <xdr:nvSpPr>
            <xdr:cNvPr id="178" name="TextBox 177">
              <a:extLst>
                <a:ext uri="{FF2B5EF4-FFF2-40B4-BE49-F238E27FC236}">
                  <a16:creationId xmlns:a16="http://schemas.microsoft.com/office/drawing/2014/main" id="{00000000-0008-0000-0200-0000B2000000}"/>
                </a:ext>
              </a:extLst>
            </xdr:cNvPr>
            <xdr:cNvSpPr txBox="1"/>
          </xdr:nvSpPr>
          <xdr:spPr>
            <a:xfrm>
              <a:off x="1001337" y="29213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179" name="TextBox 178">
              <a:extLst>
                <a:ext uri="{FF2B5EF4-FFF2-40B4-BE49-F238E27FC236}">
                  <a16:creationId xmlns:a16="http://schemas.microsoft.com/office/drawing/2014/main" id="{00000000-0008-0000-0200-0000B3000000}"/>
                </a:ext>
              </a:extLst>
            </xdr:cNvPr>
            <xdr:cNvSpPr txBox="1"/>
          </xdr:nvSpPr>
          <xdr:spPr>
            <a:xfrm>
              <a:off x="1054280" y="76847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Clock</a:t>
              </a:r>
            </a:p>
          </xdr:txBody>
        </xdr:sp>
      </xdr:grpSp>
      <xdr:sp macro="" textlink="">
        <xdr:nvSpPr>
          <xdr:cNvPr id="176" name="TextBox 175">
            <a:extLst>
              <a:ext uri="{FF2B5EF4-FFF2-40B4-BE49-F238E27FC236}">
                <a16:creationId xmlns:a16="http://schemas.microsoft.com/office/drawing/2014/main" id="{00000000-0008-0000-0200-0000B0000000}"/>
              </a:ext>
            </a:extLst>
          </xdr:cNvPr>
          <xdr:cNvSpPr txBox="1"/>
        </xdr:nvSpPr>
        <xdr:spPr>
          <a:xfrm>
            <a:off x="15775287" y="1624396"/>
            <a:ext cx="719938"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10</xdr:col>
      <xdr:colOff>19707</xdr:colOff>
      <xdr:row>104</xdr:row>
      <xdr:rowOff>114390</xdr:rowOff>
    </xdr:from>
    <xdr:to>
      <xdr:col>19</xdr:col>
      <xdr:colOff>314739</xdr:colOff>
      <xdr:row>104</xdr:row>
      <xdr:rowOff>114390</xdr:rowOff>
    </xdr:to>
    <xdr:cxnSp macro="">
      <xdr:nvCxnSpPr>
        <xdr:cNvPr id="181" name="Straight Arrow Connector 180">
          <a:extLst>
            <a:ext uri="{FF2B5EF4-FFF2-40B4-BE49-F238E27FC236}">
              <a16:creationId xmlns:a16="http://schemas.microsoft.com/office/drawing/2014/main" id="{00000000-0008-0000-0200-0000B5000000}"/>
            </a:ext>
          </a:extLst>
        </xdr:cNvPr>
        <xdr:cNvCxnSpPr/>
      </xdr:nvCxnSpPr>
      <xdr:spPr>
        <a:xfrm flipH="1">
          <a:off x="6128845" y="21456959"/>
          <a:ext cx="5793256"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52552</xdr:colOff>
      <xdr:row>102</xdr:row>
      <xdr:rowOff>7</xdr:rowOff>
    </xdr:from>
    <xdr:to>
      <xdr:col>23</xdr:col>
      <xdr:colOff>301202</xdr:colOff>
      <xdr:row>102</xdr:row>
      <xdr:rowOff>14087</xdr:rowOff>
    </xdr:to>
    <xdr:cxnSp macro="">
      <xdr:nvCxnSpPr>
        <xdr:cNvPr id="182" name="Straight Arrow Connector 181">
          <a:extLst>
            <a:ext uri="{FF2B5EF4-FFF2-40B4-BE49-F238E27FC236}">
              <a16:creationId xmlns:a16="http://schemas.microsoft.com/office/drawing/2014/main" id="{00000000-0008-0000-0200-0000B6000000}"/>
            </a:ext>
          </a:extLst>
        </xdr:cNvPr>
        <xdr:cNvCxnSpPr/>
      </xdr:nvCxnSpPr>
      <xdr:spPr>
        <a:xfrm flipH="1">
          <a:off x="4939862" y="20889317"/>
          <a:ext cx="9412357" cy="1408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165565</xdr:colOff>
      <xdr:row>101</xdr:row>
      <xdr:rowOff>116221</xdr:rowOff>
    </xdr:from>
    <xdr:to>
      <xdr:col>5</xdr:col>
      <xdr:colOff>479160</xdr:colOff>
      <xdr:row>101</xdr:row>
      <xdr:rowOff>117400</xdr:rowOff>
    </xdr:to>
    <xdr:cxnSp macro="">
      <xdr:nvCxnSpPr>
        <xdr:cNvPr id="183" name="Straight Arrow Connector 182">
          <a:extLst>
            <a:ext uri="{FF2B5EF4-FFF2-40B4-BE49-F238E27FC236}">
              <a16:creationId xmlns:a16="http://schemas.microsoft.com/office/drawing/2014/main" id="{00000000-0008-0000-0200-0000B7000000}"/>
            </a:ext>
          </a:extLst>
        </xdr:cNvPr>
        <xdr:cNvCxnSpPr>
          <a:endCxn id="176" idx="3"/>
        </xdr:cNvCxnSpPr>
      </xdr:nvCxnSpPr>
      <xdr:spPr>
        <a:xfrm flipH="1">
          <a:off x="2609220" y="20322359"/>
          <a:ext cx="924509" cy="117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478449</xdr:colOff>
      <xdr:row>101</xdr:row>
      <xdr:rowOff>118630</xdr:rowOff>
    </xdr:from>
    <xdr:to>
      <xdr:col>5</xdr:col>
      <xdr:colOff>478449</xdr:colOff>
      <xdr:row>102</xdr:row>
      <xdr:rowOff>42718</xdr:rowOff>
    </xdr:to>
    <xdr:cxnSp macro="">
      <xdr:nvCxnSpPr>
        <xdr:cNvPr id="184" name="Straight Arrow Connector 183">
          <a:extLst>
            <a:ext uri="{FF2B5EF4-FFF2-40B4-BE49-F238E27FC236}">
              <a16:creationId xmlns:a16="http://schemas.microsoft.com/office/drawing/2014/main" id="{00000000-0008-0000-0200-0000B8000000}"/>
            </a:ext>
          </a:extLst>
        </xdr:cNvPr>
        <xdr:cNvCxnSpPr/>
      </xdr:nvCxnSpPr>
      <xdr:spPr>
        <a:xfrm flipV="1">
          <a:off x="3533018" y="20324768"/>
          <a:ext cx="0" cy="11458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382268</xdr:colOff>
      <xdr:row>106</xdr:row>
      <xdr:rowOff>149810</xdr:rowOff>
    </xdr:from>
    <xdr:to>
      <xdr:col>4</xdr:col>
      <xdr:colOff>226072</xdr:colOff>
      <xdr:row>111</xdr:row>
      <xdr:rowOff>6432</xdr:rowOff>
    </xdr:to>
    <xdr:grpSp>
      <xdr:nvGrpSpPr>
        <xdr:cNvPr id="194" name="Group 193">
          <a:extLst>
            <a:ext uri="{FF2B5EF4-FFF2-40B4-BE49-F238E27FC236}">
              <a16:creationId xmlns:a16="http://schemas.microsoft.com/office/drawing/2014/main" id="{00000000-0008-0000-0200-0000C2000000}"/>
            </a:ext>
          </a:extLst>
        </xdr:cNvPr>
        <xdr:cNvGrpSpPr/>
      </xdr:nvGrpSpPr>
      <xdr:grpSpPr>
        <a:xfrm>
          <a:off x="1601468" y="20975856"/>
          <a:ext cx="1063004" cy="841361"/>
          <a:chOff x="15495714" y="1624396"/>
          <a:chExt cx="1059680" cy="794255"/>
        </a:xfrm>
      </xdr:grpSpPr>
      <xdr:grpSp>
        <xdr:nvGrpSpPr>
          <xdr:cNvPr id="196" name="Group 195">
            <a:extLst>
              <a:ext uri="{FF2B5EF4-FFF2-40B4-BE49-F238E27FC236}">
                <a16:creationId xmlns:a16="http://schemas.microsoft.com/office/drawing/2014/main" id="{00000000-0008-0000-0200-0000C4000000}"/>
              </a:ext>
            </a:extLst>
          </xdr:cNvPr>
          <xdr:cNvGrpSpPr/>
        </xdr:nvGrpSpPr>
        <xdr:grpSpPr>
          <a:xfrm>
            <a:off x="15495714" y="1640962"/>
            <a:ext cx="1059680" cy="777689"/>
            <a:chOff x="610114" y="190499"/>
            <a:chExt cx="1073331" cy="770011"/>
          </a:xfrm>
        </xdr:grpSpPr>
        <xdr:sp macro="" textlink="">
          <xdr:nvSpPr>
            <xdr:cNvPr id="198" name="Rectangle 197">
              <a:extLst>
                <a:ext uri="{FF2B5EF4-FFF2-40B4-BE49-F238E27FC236}">
                  <a16:creationId xmlns:a16="http://schemas.microsoft.com/office/drawing/2014/main" id="{00000000-0008-0000-0200-0000C6000000}"/>
                </a:ext>
              </a:extLst>
            </xdr:cNvPr>
            <xdr:cNvSpPr/>
          </xdr:nvSpPr>
          <xdr:spPr>
            <a:xfrm>
              <a:off x="610114" y="190499"/>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SPI3:5</a:t>
              </a:r>
              <a:endParaRPr lang="en-US" sz="1100"/>
            </a:p>
          </xdr:txBody>
        </xdr:sp>
        <xdr:sp macro="" textlink="">
          <xdr:nvSpPr>
            <xdr:cNvPr id="199" name="TextBox 198">
              <a:extLst>
                <a:ext uri="{FF2B5EF4-FFF2-40B4-BE49-F238E27FC236}">
                  <a16:creationId xmlns:a16="http://schemas.microsoft.com/office/drawing/2014/main" id="{00000000-0008-0000-0200-0000C7000000}"/>
                </a:ext>
              </a:extLst>
            </xdr:cNvPr>
            <xdr:cNvSpPr txBox="1"/>
          </xdr:nvSpPr>
          <xdr:spPr>
            <a:xfrm>
              <a:off x="1001337" y="29213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00" name="TextBox 199">
              <a:extLst>
                <a:ext uri="{FF2B5EF4-FFF2-40B4-BE49-F238E27FC236}">
                  <a16:creationId xmlns:a16="http://schemas.microsoft.com/office/drawing/2014/main" id="{00000000-0008-0000-0200-0000C8000000}"/>
                </a:ext>
              </a:extLst>
            </xdr:cNvPr>
            <xdr:cNvSpPr txBox="1"/>
          </xdr:nvSpPr>
          <xdr:spPr>
            <a:xfrm>
              <a:off x="1054280" y="779535"/>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Clock</a:t>
              </a:r>
            </a:p>
          </xdr:txBody>
        </xdr:sp>
      </xdr:grpSp>
      <xdr:sp macro="" textlink="">
        <xdr:nvSpPr>
          <xdr:cNvPr id="197" name="TextBox 196">
            <a:extLst>
              <a:ext uri="{FF2B5EF4-FFF2-40B4-BE49-F238E27FC236}">
                <a16:creationId xmlns:a16="http://schemas.microsoft.com/office/drawing/2014/main" id="{00000000-0008-0000-0200-0000C5000000}"/>
              </a:ext>
            </a:extLst>
          </xdr:cNvPr>
          <xdr:cNvSpPr txBox="1"/>
        </xdr:nvSpPr>
        <xdr:spPr>
          <a:xfrm>
            <a:off x="15775287" y="1624396"/>
            <a:ext cx="719938"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10</xdr:col>
      <xdr:colOff>39414</xdr:colOff>
      <xdr:row>110</xdr:row>
      <xdr:rowOff>92414</xdr:rowOff>
    </xdr:from>
    <xdr:to>
      <xdr:col>17</xdr:col>
      <xdr:colOff>314325</xdr:colOff>
      <xdr:row>110</xdr:row>
      <xdr:rowOff>92414</xdr:rowOff>
    </xdr:to>
    <xdr:cxnSp macro="">
      <xdr:nvCxnSpPr>
        <xdr:cNvPr id="202" name="Straight Arrow Connector 201">
          <a:extLst>
            <a:ext uri="{FF2B5EF4-FFF2-40B4-BE49-F238E27FC236}">
              <a16:creationId xmlns:a16="http://schemas.microsoft.com/office/drawing/2014/main" id="{00000000-0008-0000-0200-0000CA000000}"/>
            </a:ext>
          </a:extLst>
        </xdr:cNvPr>
        <xdr:cNvCxnSpPr/>
      </xdr:nvCxnSpPr>
      <xdr:spPr>
        <a:xfrm flipH="1">
          <a:off x="6148552" y="22669948"/>
          <a:ext cx="4551307"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26276</xdr:colOff>
      <xdr:row>107</xdr:row>
      <xdr:rowOff>158734</xdr:rowOff>
    </xdr:from>
    <xdr:to>
      <xdr:col>23</xdr:col>
      <xdr:colOff>309084</xdr:colOff>
      <xdr:row>107</xdr:row>
      <xdr:rowOff>187647</xdr:rowOff>
    </xdr:to>
    <xdr:cxnSp macro="">
      <xdr:nvCxnSpPr>
        <xdr:cNvPr id="204" name="Straight Arrow Connector 203">
          <a:extLst>
            <a:ext uri="{FF2B5EF4-FFF2-40B4-BE49-F238E27FC236}">
              <a16:creationId xmlns:a16="http://schemas.microsoft.com/office/drawing/2014/main" id="{00000000-0008-0000-0200-0000CC000000}"/>
            </a:ext>
          </a:extLst>
        </xdr:cNvPr>
        <xdr:cNvCxnSpPr/>
      </xdr:nvCxnSpPr>
      <xdr:spPr>
        <a:xfrm flipH="1">
          <a:off x="4913586" y="22118786"/>
          <a:ext cx="9446515" cy="28913"/>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165565</xdr:colOff>
      <xdr:row>107</xdr:row>
      <xdr:rowOff>55759</xdr:rowOff>
    </xdr:from>
    <xdr:to>
      <xdr:col>5</xdr:col>
      <xdr:colOff>486103</xdr:colOff>
      <xdr:row>107</xdr:row>
      <xdr:rowOff>55759</xdr:rowOff>
    </xdr:to>
    <xdr:cxnSp macro="">
      <xdr:nvCxnSpPr>
        <xdr:cNvPr id="205" name="Straight Arrow Connector 204">
          <a:extLst>
            <a:ext uri="{FF2B5EF4-FFF2-40B4-BE49-F238E27FC236}">
              <a16:creationId xmlns:a16="http://schemas.microsoft.com/office/drawing/2014/main" id="{00000000-0008-0000-0200-0000CD000000}"/>
            </a:ext>
          </a:extLst>
        </xdr:cNvPr>
        <xdr:cNvCxnSpPr>
          <a:endCxn id="197" idx="3"/>
        </xdr:cNvCxnSpPr>
      </xdr:nvCxnSpPr>
      <xdr:spPr>
        <a:xfrm flipH="1">
          <a:off x="2609220" y="21437742"/>
          <a:ext cx="9314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486331</xdr:colOff>
      <xdr:row>107</xdr:row>
      <xdr:rowOff>58307</xdr:rowOff>
    </xdr:from>
    <xdr:to>
      <xdr:col>5</xdr:col>
      <xdr:colOff>486331</xdr:colOff>
      <xdr:row>108</xdr:row>
      <xdr:rowOff>4375</xdr:rowOff>
    </xdr:to>
    <xdr:cxnSp macro="">
      <xdr:nvCxnSpPr>
        <xdr:cNvPr id="206" name="Straight Arrow Connector 205">
          <a:extLst>
            <a:ext uri="{FF2B5EF4-FFF2-40B4-BE49-F238E27FC236}">
              <a16:creationId xmlns:a16="http://schemas.microsoft.com/office/drawing/2014/main" id="{00000000-0008-0000-0200-0000CE000000}"/>
            </a:ext>
          </a:extLst>
        </xdr:cNvPr>
        <xdr:cNvCxnSpPr/>
      </xdr:nvCxnSpPr>
      <xdr:spPr>
        <a:xfrm flipV="1">
          <a:off x="3540900" y="21440290"/>
          <a:ext cx="0" cy="13656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377295</xdr:colOff>
      <xdr:row>111</xdr:row>
      <xdr:rowOff>187485</xdr:rowOff>
    </xdr:from>
    <xdr:to>
      <xdr:col>4</xdr:col>
      <xdr:colOff>221099</xdr:colOff>
      <xdr:row>116</xdr:row>
      <xdr:rowOff>12027</xdr:rowOff>
    </xdr:to>
    <xdr:grpSp>
      <xdr:nvGrpSpPr>
        <xdr:cNvPr id="218" name="Group 217">
          <a:extLst>
            <a:ext uri="{FF2B5EF4-FFF2-40B4-BE49-F238E27FC236}">
              <a16:creationId xmlns:a16="http://schemas.microsoft.com/office/drawing/2014/main" id="{00000000-0008-0000-0200-0000DA000000}"/>
            </a:ext>
          </a:extLst>
        </xdr:cNvPr>
        <xdr:cNvGrpSpPr/>
      </xdr:nvGrpSpPr>
      <xdr:grpSpPr>
        <a:xfrm>
          <a:off x="1596495" y="21998270"/>
          <a:ext cx="1063004" cy="821003"/>
          <a:chOff x="15495714" y="1624396"/>
          <a:chExt cx="1059680" cy="794462"/>
        </a:xfrm>
      </xdr:grpSpPr>
      <xdr:grpSp>
        <xdr:nvGrpSpPr>
          <xdr:cNvPr id="219" name="Group 218">
            <a:extLst>
              <a:ext uri="{FF2B5EF4-FFF2-40B4-BE49-F238E27FC236}">
                <a16:creationId xmlns:a16="http://schemas.microsoft.com/office/drawing/2014/main" id="{00000000-0008-0000-0200-0000DB000000}"/>
              </a:ext>
            </a:extLst>
          </xdr:cNvPr>
          <xdr:cNvGrpSpPr/>
        </xdr:nvGrpSpPr>
        <xdr:grpSpPr>
          <a:xfrm>
            <a:off x="15495714" y="1640962"/>
            <a:ext cx="1059680" cy="777896"/>
            <a:chOff x="610114" y="190499"/>
            <a:chExt cx="1073331" cy="770213"/>
          </a:xfrm>
        </xdr:grpSpPr>
        <xdr:sp macro="" textlink="">
          <xdr:nvSpPr>
            <xdr:cNvPr id="260" name="Rectangle 259">
              <a:extLst>
                <a:ext uri="{FF2B5EF4-FFF2-40B4-BE49-F238E27FC236}">
                  <a16:creationId xmlns:a16="http://schemas.microsoft.com/office/drawing/2014/main" id="{00000000-0008-0000-0200-000004010000}"/>
                </a:ext>
              </a:extLst>
            </xdr:cNvPr>
            <xdr:cNvSpPr/>
          </xdr:nvSpPr>
          <xdr:spPr>
            <a:xfrm>
              <a:off x="610114" y="190499"/>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DSPI0:1</a:t>
              </a:r>
              <a:endParaRPr lang="en-US" sz="1100"/>
            </a:p>
          </xdr:txBody>
        </xdr:sp>
        <xdr:sp macro="" textlink="">
          <xdr:nvSpPr>
            <xdr:cNvPr id="261" name="TextBox 260">
              <a:extLst>
                <a:ext uri="{FF2B5EF4-FFF2-40B4-BE49-F238E27FC236}">
                  <a16:creationId xmlns:a16="http://schemas.microsoft.com/office/drawing/2014/main" id="{00000000-0008-0000-0200-000005010000}"/>
                </a:ext>
              </a:extLst>
            </xdr:cNvPr>
            <xdr:cNvSpPr txBox="1"/>
          </xdr:nvSpPr>
          <xdr:spPr>
            <a:xfrm>
              <a:off x="1001337" y="29213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62" name="TextBox 261">
              <a:extLst>
                <a:ext uri="{FF2B5EF4-FFF2-40B4-BE49-F238E27FC236}">
                  <a16:creationId xmlns:a16="http://schemas.microsoft.com/office/drawing/2014/main" id="{00000000-0008-0000-0200-000006010000}"/>
                </a:ext>
              </a:extLst>
            </xdr:cNvPr>
            <xdr:cNvSpPr txBox="1"/>
          </xdr:nvSpPr>
          <xdr:spPr>
            <a:xfrm>
              <a:off x="1054280" y="779737"/>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Clock</a:t>
              </a:r>
            </a:p>
          </xdr:txBody>
        </xdr:sp>
      </xdr:grpSp>
      <xdr:sp macro="" textlink="">
        <xdr:nvSpPr>
          <xdr:cNvPr id="220" name="TextBox 219">
            <a:extLst>
              <a:ext uri="{FF2B5EF4-FFF2-40B4-BE49-F238E27FC236}">
                <a16:creationId xmlns:a16="http://schemas.microsoft.com/office/drawing/2014/main" id="{00000000-0008-0000-0200-0000DC000000}"/>
              </a:ext>
            </a:extLst>
          </xdr:cNvPr>
          <xdr:cNvSpPr txBox="1"/>
        </xdr:nvSpPr>
        <xdr:spPr>
          <a:xfrm>
            <a:off x="15775287" y="1624396"/>
            <a:ext cx="719938"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8</xdr:col>
      <xdr:colOff>19707</xdr:colOff>
      <xdr:row>113</xdr:row>
      <xdr:rowOff>4601</xdr:rowOff>
    </xdr:from>
    <xdr:to>
      <xdr:col>23</xdr:col>
      <xdr:colOff>305803</xdr:colOff>
      <xdr:row>113</xdr:row>
      <xdr:rowOff>14642</xdr:rowOff>
    </xdr:to>
    <xdr:cxnSp macro="">
      <xdr:nvCxnSpPr>
        <xdr:cNvPr id="263" name="Straight Arrow Connector 262">
          <a:extLst>
            <a:ext uri="{FF2B5EF4-FFF2-40B4-BE49-F238E27FC236}">
              <a16:creationId xmlns:a16="http://schemas.microsoft.com/office/drawing/2014/main" id="{00000000-0008-0000-0200-000007010000}"/>
            </a:ext>
          </a:extLst>
        </xdr:cNvPr>
        <xdr:cNvCxnSpPr/>
      </xdr:nvCxnSpPr>
      <xdr:spPr>
        <a:xfrm flipH="1">
          <a:off x="4907017" y="23199618"/>
          <a:ext cx="9449803" cy="10041"/>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160741</xdr:colOff>
      <xdr:row>112</xdr:row>
      <xdr:rowOff>88370</xdr:rowOff>
    </xdr:from>
    <xdr:to>
      <xdr:col>5</xdr:col>
      <xdr:colOff>478971</xdr:colOff>
      <xdr:row>112</xdr:row>
      <xdr:rowOff>88370</xdr:rowOff>
    </xdr:to>
    <xdr:cxnSp macro="">
      <xdr:nvCxnSpPr>
        <xdr:cNvPr id="266" name="Straight Arrow Connector 265">
          <a:extLst>
            <a:ext uri="{FF2B5EF4-FFF2-40B4-BE49-F238E27FC236}">
              <a16:creationId xmlns:a16="http://schemas.microsoft.com/office/drawing/2014/main" id="{00000000-0008-0000-0200-00000A010000}"/>
            </a:ext>
          </a:extLst>
        </xdr:cNvPr>
        <xdr:cNvCxnSpPr>
          <a:endCxn id="220" idx="3"/>
        </xdr:cNvCxnSpPr>
      </xdr:nvCxnSpPr>
      <xdr:spPr>
        <a:xfrm flipH="1">
          <a:off x="2604396" y="22422853"/>
          <a:ext cx="9291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478334</xdr:colOff>
      <xdr:row>112</xdr:row>
      <xdr:rowOff>81597</xdr:rowOff>
    </xdr:from>
    <xdr:to>
      <xdr:col>5</xdr:col>
      <xdr:colOff>478334</xdr:colOff>
      <xdr:row>113</xdr:row>
      <xdr:rowOff>7959</xdr:rowOff>
    </xdr:to>
    <xdr:cxnSp macro="">
      <xdr:nvCxnSpPr>
        <xdr:cNvPr id="268" name="Straight Arrow Connector 267">
          <a:extLst>
            <a:ext uri="{FF2B5EF4-FFF2-40B4-BE49-F238E27FC236}">
              <a16:creationId xmlns:a16="http://schemas.microsoft.com/office/drawing/2014/main" id="{00000000-0008-0000-0200-00000C010000}"/>
            </a:ext>
          </a:extLst>
        </xdr:cNvPr>
        <xdr:cNvCxnSpPr/>
      </xdr:nvCxnSpPr>
      <xdr:spPr>
        <a:xfrm flipV="1">
          <a:off x="3532903" y="22416080"/>
          <a:ext cx="0" cy="11686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19707</xdr:colOff>
      <xdr:row>121</xdr:row>
      <xdr:rowOff>76014</xdr:rowOff>
    </xdr:from>
    <xdr:to>
      <xdr:col>19</xdr:col>
      <xdr:colOff>315059</xdr:colOff>
      <xdr:row>121</xdr:row>
      <xdr:rowOff>76014</xdr:rowOff>
    </xdr:to>
    <xdr:cxnSp macro="">
      <xdr:nvCxnSpPr>
        <xdr:cNvPr id="282" name="Straight Arrow Connector 281">
          <a:extLst>
            <a:ext uri="{FF2B5EF4-FFF2-40B4-BE49-F238E27FC236}">
              <a16:creationId xmlns:a16="http://schemas.microsoft.com/office/drawing/2014/main" id="{00000000-0008-0000-0200-00001A010000}"/>
            </a:ext>
          </a:extLst>
        </xdr:cNvPr>
        <xdr:cNvCxnSpPr/>
      </xdr:nvCxnSpPr>
      <xdr:spPr>
        <a:xfrm flipH="1">
          <a:off x="6128845" y="24939548"/>
          <a:ext cx="5793576"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375828</xdr:colOff>
      <xdr:row>117</xdr:row>
      <xdr:rowOff>163273</xdr:rowOff>
    </xdr:from>
    <xdr:to>
      <xdr:col>4</xdr:col>
      <xdr:colOff>219632</xdr:colOff>
      <xdr:row>121</xdr:row>
      <xdr:rowOff>198777</xdr:rowOff>
    </xdr:to>
    <xdr:grpSp>
      <xdr:nvGrpSpPr>
        <xdr:cNvPr id="289" name="Group 288">
          <a:extLst>
            <a:ext uri="{FF2B5EF4-FFF2-40B4-BE49-F238E27FC236}">
              <a16:creationId xmlns:a16="http://schemas.microsoft.com/office/drawing/2014/main" id="{00000000-0008-0000-0200-000021010000}"/>
            </a:ext>
          </a:extLst>
        </xdr:cNvPr>
        <xdr:cNvGrpSpPr/>
      </xdr:nvGrpSpPr>
      <xdr:grpSpPr>
        <a:xfrm>
          <a:off x="1595028" y="23169811"/>
          <a:ext cx="1063004" cy="820951"/>
          <a:chOff x="15495714" y="1624396"/>
          <a:chExt cx="1059680" cy="795394"/>
        </a:xfrm>
      </xdr:grpSpPr>
      <xdr:grpSp>
        <xdr:nvGrpSpPr>
          <xdr:cNvPr id="290" name="Group 289">
            <a:extLst>
              <a:ext uri="{FF2B5EF4-FFF2-40B4-BE49-F238E27FC236}">
                <a16:creationId xmlns:a16="http://schemas.microsoft.com/office/drawing/2014/main" id="{00000000-0008-0000-0200-000022010000}"/>
              </a:ext>
            </a:extLst>
          </xdr:cNvPr>
          <xdr:cNvGrpSpPr/>
        </xdr:nvGrpSpPr>
        <xdr:grpSpPr>
          <a:xfrm>
            <a:off x="15495714" y="1640962"/>
            <a:ext cx="1059680" cy="778828"/>
            <a:chOff x="610114" y="190499"/>
            <a:chExt cx="1073331" cy="771135"/>
          </a:xfrm>
        </xdr:grpSpPr>
        <xdr:sp macro="" textlink="">
          <xdr:nvSpPr>
            <xdr:cNvPr id="292" name="Rectangle 291">
              <a:extLst>
                <a:ext uri="{FF2B5EF4-FFF2-40B4-BE49-F238E27FC236}">
                  <a16:creationId xmlns:a16="http://schemas.microsoft.com/office/drawing/2014/main" id="{00000000-0008-0000-0200-000024010000}"/>
                </a:ext>
              </a:extLst>
            </xdr:cNvPr>
            <xdr:cNvSpPr/>
          </xdr:nvSpPr>
          <xdr:spPr>
            <a:xfrm>
              <a:off x="610114" y="190499"/>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DSPI2:3</a:t>
              </a:r>
              <a:endParaRPr lang="en-US" sz="1100"/>
            </a:p>
          </xdr:txBody>
        </xdr:sp>
        <xdr:sp macro="" textlink="">
          <xdr:nvSpPr>
            <xdr:cNvPr id="296" name="TextBox 295">
              <a:extLst>
                <a:ext uri="{FF2B5EF4-FFF2-40B4-BE49-F238E27FC236}">
                  <a16:creationId xmlns:a16="http://schemas.microsoft.com/office/drawing/2014/main" id="{00000000-0008-0000-0200-000028010000}"/>
                </a:ext>
              </a:extLst>
            </xdr:cNvPr>
            <xdr:cNvSpPr txBox="1"/>
          </xdr:nvSpPr>
          <xdr:spPr>
            <a:xfrm>
              <a:off x="1001337" y="29213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297" name="TextBox 296">
              <a:extLst>
                <a:ext uri="{FF2B5EF4-FFF2-40B4-BE49-F238E27FC236}">
                  <a16:creationId xmlns:a16="http://schemas.microsoft.com/office/drawing/2014/main" id="{00000000-0008-0000-0200-000029010000}"/>
                </a:ext>
              </a:extLst>
            </xdr:cNvPr>
            <xdr:cNvSpPr txBox="1"/>
          </xdr:nvSpPr>
          <xdr:spPr>
            <a:xfrm>
              <a:off x="1054280" y="780659"/>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Clock</a:t>
              </a:r>
            </a:p>
          </xdr:txBody>
        </xdr:sp>
      </xdr:grpSp>
      <xdr:sp macro="" textlink="">
        <xdr:nvSpPr>
          <xdr:cNvPr id="291" name="TextBox 290">
            <a:extLst>
              <a:ext uri="{FF2B5EF4-FFF2-40B4-BE49-F238E27FC236}">
                <a16:creationId xmlns:a16="http://schemas.microsoft.com/office/drawing/2014/main" id="{00000000-0008-0000-0200-000023010000}"/>
              </a:ext>
            </a:extLst>
          </xdr:cNvPr>
          <xdr:cNvSpPr txBox="1"/>
        </xdr:nvSpPr>
        <xdr:spPr>
          <a:xfrm>
            <a:off x="15775287" y="1624396"/>
            <a:ext cx="719938"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8</xdr:col>
      <xdr:colOff>39414</xdr:colOff>
      <xdr:row>118</xdr:row>
      <xdr:rowOff>187399</xdr:rowOff>
    </xdr:from>
    <xdr:to>
      <xdr:col>23</xdr:col>
      <xdr:colOff>315831</xdr:colOff>
      <xdr:row>118</xdr:row>
      <xdr:rowOff>187399</xdr:rowOff>
    </xdr:to>
    <xdr:cxnSp macro="">
      <xdr:nvCxnSpPr>
        <xdr:cNvPr id="300" name="Straight Arrow Connector 299">
          <a:extLst>
            <a:ext uri="{FF2B5EF4-FFF2-40B4-BE49-F238E27FC236}">
              <a16:creationId xmlns:a16="http://schemas.microsoft.com/office/drawing/2014/main" id="{00000000-0008-0000-0200-00002C010000}"/>
            </a:ext>
          </a:extLst>
        </xdr:cNvPr>
        <xdr:cNvCxnSpPr/>
      </xdr:nvCxnSpPr>
      <xdr:spPr>
        <a:xfrm flipH="1">
          <a:off x="4926724" y="24433451"/>
          <a:ext cx="9440124"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159047</xdr:colOff>
      <xdr:row>118</xdr:row>
      <xdr:rowOff>64168</xdr:rowOff>
    </xdr:from>
    <xdr:to>
      <xdr:col>5</xdr:col>
      <xdr:colOff>481263</xdr:colOff>
      <xdr:row>118</xdr:row>
      <xdr:rowOff>64168</xdr:rowOff>
    </xdr:to>
    <xdr:cxnSp macro="">
      <xdr:nvCxnSpPr>
        <xdr:cNvPr id="301" name="Straight Arrow Connector 300">
          <a:extLst>
            <a:ext uri="{FF2B5EF4-FFF2-40B4-BE49-F238E27FC236}">
              <a16:creationId xmlns:a16="http://schemas.microsoft.com/office/drawing/2014/main" id="{00000000-0008-0000-0200-00002D010000}"/>
            </a:ext>
          </a:extLst>
        </xdr:cNvPr>
        <xdr:cNvCxnSpPr>
          <a:endCxn id="291" idx="3"/>
        </xdr:cNvCxnSpPr>
      </xdr:nvCxnSpPr>
      <xdr:spPr>
        <a:xfrm flipH="1">
          <a:off x="2602702" y="23541651"/>
          <a:ext cx="93313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476869</xdr:colOff>
      <xdr:row>118</xdr:row>
      <xdr:rowOff>51319</xdr:rowOff>
    </xdr:from>
    <xdr:to>
      <xdr:col>5</xdr:col>
      <xdr:colOff>476869</xdr:colOff>
      <xdr:row>118</xdr:row>
      <xdr:rowOff>168181</xdr:rowOff>
    </xdr:to>
    <xdr:cxnSp macro="">
      <xdr:nvCxnSpPr>
        <xdr:cNvPr id="302" name="Straight Arrow Connector 301">
          <a:extLst>
            <a:ext uri="{FF2B5EF4-FFF2-40B4-BE49-F238E27FC236}">
              <a16:creationId xmlns:a16="http://schemas.microsoft.com/office/drawing/2014/main" id="{00000000-0008-0000-0200-00002E010000}"/>
            </a:ext>
          </a:extLst>
        </xdr:cNvPr>
        <xdr:cNvCxnSpPr/>
      </xdr:nvCxnSpPr>
      <xdr:spPr>
        <a:xfrm flipV="1">
          <a:off x="3531438" y="23528802"/>
          <a:ext cx="0" cy="11686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32845</xdr:colOff>
      <xdr:row>115</xdr:row>
      <xdr:rowOff>103095</xdr:rowOff>
    </xdr:from>
    <xdr:to>
      <xdr:col>17</xdr:col>
      <xdr:colOff>310244</xdr:colOff>
      <xdr:row>115</xdr:row>
      <xdr:rowOff>103096</xdr:rowOff>
    </xdr:to>
    <xdr:cxnSp macro="">
      <xdr:nvCxnSpPr>
        <xdr:cNvPr id="303" name="Straight Arrow Connector 302">
          <a:extLst>
            <a:ext uri="{FF2B5EF4-FFF2-40B4-BE49-F238E27FC236}">
              <a16:creationId xmlns:a16="http://schemas.microsoft.com/office/drawing/2014/main" id="{00000000-0008-0000-0200-00002F010000}"/>
            </a:ext>
          </a:extLst>
        </xdr:cNvPr>
        <xdr:cNvCxnSpPr/>
      </xdr:nvCxnSpPr>
      <xdr:spPr>
        <a:xfrm flipH="1" flipV="1">
          <a:off x="6141983" y="23731664"/>
          <a:ext cx="4553795" cy="1"/>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24</xdr:col>
      <xdr:colOff>395060</xdr:colOff>
      <xdr:row>4</xdr:row>
      <xdr:rowOff>74958</xdr:rowOff>
    </xdr:from>
    <xdr:ext cx="1057275" cy="419101"/>
    <xdr:sp macro="" textlink="">
      <xdr:nvSpPr>
        <xdr:cNvPr id="310" name="TextBox 309">
          <a:hlinkClick xmlns:r="http://schemas.openxmlformats.org/officeDocument/2006/relationships" r:id="rId13"/>
          <a:extLst>
            <a:ext uri="{FF2B5EF4-FFF2-40B4-BE49-F238E27FC236}">
              <a16:creationId xmlns:a16="http://schemas.microsoft.com/office/drawing/2014/main" id="{00000000-0008-0000-0200-000036010000}"/>
            </a:ext>
          </a:extLst>
        </xdr:cNvPr>
        <xdr:cNvSpPr txBox="1"/>
      </xdr:nvSpPr>
      <xdr:spPr>
        <a:xfrm>
          <a:off x="15104973" y="83695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a:t>
          </a:r>
        </a:p>
      </xdr:txBody>
    </xdr:sp>
    <xdr:clientData/>
  </xdr:oneCellAnchor>
  <xdr:twoCellAnchor>
    <xdr:from>
      <xdr:col>25</xdr:col>
      <xdr:colOff>307090</xdr:colOff>
      <xdr:row>7</xdr:row>
      <xdr:rowOff>45331</xdr:rowOff>
    </xdr:from>
    <xdr:to>
      <xdr:col>25</xdr:col>
      <xdr:colOff>307090</xdr:colOff>
      <xdr:row>208</xdr:row>
      <xdr:rowOff>183174</xdr:rowOff>
    </xdr:to>
    <xdr:cxnSp macro="">
      <xdr:nvCxnSpPr>
        <xdr:cNvPr id="311" name="Straight Arrow Connector 310">
          <a:extLst>
            <a:ext uri="{FF2B5EF4-FFF2-40B4-BE49-F238E27FC236}">
              <a16:creationId xmlns:a16="http://schemas.microsoft.com/office/drawing/2014/main" id="{00000000-0008-0000-0200-000037010000}"/>
            </a:ext>
          </a:extLst>
        </xdr:cNvPr>
        <xdr:cNvCxnSpPr/>
      </xdr:nvCxnSpPr>
      <xdr:spPr>
        <a:xfrm>
          <a:off x="15510455" y="1408139"/>
          <a:ext cx="0" cy="39879073"/>
        </a:xfrm>
        <a:prstGeom prst="straightConnector1">
          <a:avLst/>
        </a:prstGeom>
        <a:ln w="19050">
          <a:solidFill>
            <a:schemeClr val="tx2">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26</xdr:col>
      <xdr:colOff>398367</xdr:colOff>
      <xdr:row>4</xdr:row>
      <xdr:rowOff>78265</xdr:rowOff>
    </xdr:from>
    <xdr:ext cx="1057275" cy="419101"/>
    <xdr:sp macro="" textlink="">
      <xdr:nvSpPr>
        <xdr:cNvPr id="312" name="TextBox 311">
          <a:hlinkClick xmlns:r="http://schemas.openxmlformats.org/officeDocument/2006/relationships" r:id="rId14"/>
          <a:extLst>
            <a:ext uri="{FF2B5EF4-FFF2-40B4-BE49-F238E27FC236}">
              <a16:creationId xmlns:a16="http://schemas.microsoft.com/office/drawing/2014/main" id="{00000000-0008-0000-0200-000038010000}"/>
            </a:ext>
          </a:extLst>
        </xdr:cNvPr>
        <xdr:cNvSpPr txBox="1"/>
      </xdr:nvSpPr>
      <xdr:spPr>
        <a:xfrm>
          <a:off x="16334106" y="84026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SXOSC</a:t>
          </a:r>
        </a:p>
      </xdr:txBody>
    </xdr:sp>
    <xdr:clientData/>
  </xdr:oneCellAnchor>
  <xdr:twoCellAnchor>
    <xdr:from>
      <xdr:col>27</xdr:col>
      <xdr:colOff>314739</xdr:colOff>
      <xdr:row>7</xdr:row>
      <xdr:rowOff>16572</xdr:rowOff>
    </xdr:from>
    <xdr:to>
      <xdr:col>27</xdr:col>
      <xdr:colOff>314739</xdr:colOff>
      <xdr:row>208</xdr:row>
      <xdr:rowOff>190500</xdr:rowOff>
    </xdr:to>
    <xdr:cxnSp macro="">
      <xdr:nvCxnSpPr>
        <xdr:cNvPr id="313" name="Straight Arrow Connector 312">
          <a:extLst>
            <a:ext uri="{FF2B5EF4-FFF2-40B4-BE49-F238E27FC236}">
              <a16:creationId xmlns:a16="http://schemas.microsoft.com/office/drawing/2014/main" id="{00000000-0008-0000-0200-000039010000}"/>
            </a:ext>
          </a:extLst>
        </xdr:cNvPr>
        <xdr:cNvCxnSpPr/>
      </xdr:nvCxnSpPr>
      <xdr:spPr>
        <a:xfrm flipV="1">
          <a:off x="16734374" y="1379380"/>
          <a:ext cx="0" cy="39915158"/>
        </a:xfrm>
        <a:prstGeom prst="straightConnector1">
          <a:avLst/>
        </a:prstGeom>
        <a:ln w="38100">
          <a:solidFill>
            <a:srgbClr val="92D05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385111</xdr:colOff>
      <xdr:row>4</xdr:row>
      <xdr:rowOff>73295</xdr:rowOff>
    </xdr:from>
    <xdr:ext cx="1057275" cy="419101"/>
    <xdr:sp macro="" textlink="">
      <xdr:nvSpPr>
        <xdr:cNvPr id="320" name="TextBox 319">
          <a:hlinkClick xmlns:r="http://schemas.openxmlformats.org/officeDocument/2006/relationships" r:id="rId15"/>
          <a:extLst>
            <a:ext uri="{FF2B5EF4-FFF2-40B4-BE49-F238E27FC236}">
              <a16:creationId xmlns:a16="http://schemas.microsoft.com/office/drawing/2014/main" id="{00000000-0008-0000-0200-000040010000}"/>
            </a:ext>
          </a:extLst>
        </xdr:cNvPr>
        <xdr:cNvSpPr txBox="1"/>
      </xdr:nvSpPr>
      <xdr:spPr>
        <a:xfrm>
          <a:off x="17546676" y="83529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a:t>
          </a:r>
        </a:p>
      </xdr:txBody>
    </xdr:sp>
    <xdr:clientData/>
  </xdr:oneCellAnchor>
  <xdr:twoCellAnchor>
    <xdr:from>
      <xdr:col>29</xdr:col>
      <xdr:colOff>309766</xdr:colOff>
      <xdr:row>7</xdr:row>
      <xdr:rowOff>11600</xdr:rowOff>
    </xdr:from>
    <xdr:to>
      <xdr:col>29</xdr:col>
      <xdr:colOff>309766</xdr:colOff>
      <xdr:row>208</xdr:row>
      <xdr:rowOff>175847</xdr:rowOff>
    </xdr:to>
    <xdr:cxnSp macro="">
      <xdr:nvCxnSpPr>
        <xdr:cNvPr id="321" name="Straight Arrow Connector 320">
          <a:extLst>
            <a:ext uri="{FF2B5EF4-FFF2-40B4-BE49-F238E27FC236}">
              <a16:creationId xmlns:a16="http://schemas.microsoft.com/office/drawing/2014/main" id="{00000000-0008-0000-0200-000041010000}"/>
            </a:ext>
          </a:extLst>
        </xdr:cNvPr>
        <xdr:cNvCxnSpPr/>
      </xdr:nvCxnSpPr>
      <xdr:spPr>
        <a:xfrm flipV="1">
          <a:off x="17945670" y="1374408"/>
          <a:ext cx="0" cy="39905477"/>
        </a:xfrm>
        <a:prstGeom prst="straightConnector1">
          <a:avLst/>
        </a:prstGeom>
        <a:ln w="38100">
          <a:solidFill>
            <a:schemeClr val="accent2"/>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313766</xdr:colOff>
      <xdr:row>7</xdr:row>
      <xdr:rowOff>22414</xdr:rowOff>
    </xdr:from>
    <xdr:to>
      <xdr:col>31</xdr:col>
      <xdr:colOff>313766</xdr:colOff>
      <xdr:row>208</xdr:row>
      <xdr:rowOff>175847</xdr:rowOff>
    </xdr:to>
    <xdr:cxnSp macro="">
      <xdr:nvCxnSpPr>
        <xdr:cNvPr id="327" name="Straight Arrow Connector 326">
          <a:extLst>
            <a:ext uri="{FF2B5EF4-FFF2-40B4-BE49-F238E27FC236}">
              <a16:creationId xmlns:a16="http://schemas.microsoft.com/office/drawing/2014/main" id="{00000000-0008-0000-0200-000047010000}"/>
            </a:ext>
          </a:extLst>
        </xdr:cNvPr>
        <xdr:cNvCxnSpPr/>
      </xdr:nvCxnSpPr>
      <xdr:spPr>
        <a:xfrm flipV="1">
          <a:off x="19165939" y="1385222"/>
          <a:ext cx="0" cy="39894663"/>
        </a:xfrm>
        <a:prstGeom prst="straightConnector1">
          <a:avLst/>
        </a:prstGeom>
        <a:ln w="38100">
          <a:solidFill>
            <a:schemeClr val="accent3">
              <a:lumMod val="75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30</xdr:col>
      <xdr:colOff>390470</xdr:colOff>
      <xdr:row>4</xdr:row>
      <xdr:rowOff>81053</xdr:rowOff>
    </xdr:from>
    <xdr:ext cx="1057275" cy="419101"/>
    <xdr:sp macro="" textlink="">
      <xdr:nvSpPr>
        <xdr:cNvPr id="328" name="TextBox 327">
          <a:hlinkClick xmlns:r="http://schemas.openxmlformats.org/officeDocument/2006/relationships" r:id="rId16"/>
          <a:extLst>
            <a:ext uri="{FF2B5EF4-FFF2-40B4-BE49-F238E27FC236}">
              <a16:creationId xmlns:a16="http://schemas.microsoft.com/office/drawing/2014/main" id="{00000000-0008-0000-0200-000048010000}"/>
            </a:ext>
          </a:extLst>
        </xdr:cNvPr>
        <xdr:cNvSpPr txBox="1"/>
      </xdr:nvSpPr>
      <xdr:spPr>
        <a:xfrm>
          <a:off x="18634508" y="84305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SIRC_DIV_CLK</a:t>
          </a:r>
        </a:p>
      </xdr:txBody>
    </xdr:sp>
    <xdr:clientData/>
  </xdr:oneCellAnchor>
  <xdr:twoCellAnchor>
    <xdr:from>
      <xdr:col>2</xdr:col>
      <xdr:colOff>402389</xdr:colOff>
      <xdr:row>127</xdr:row>
      <xdr:rowOff>176212</xdr:rowOff>
    </xdr:from>
    <xdr:to>
      <xdr:col>4</xdr:col>
      <xdr:colOff>246110</xdr:colOff>
      <xdr:row>131</xdr:row>
      <xdr:rowOff>185542</xdr:rowOff>
    </xdr:to>
    <xdr:grpSp>
      <xdr:nvGrpSpPr>
        <xdr:cNvPr id="343" name="Group 342">
          <a:extLst>
            <a:ext uri="{FF2B5EF4-FFF2-40B4-BE49-F238E27FC236}">
              <a16:creationId xmlns:a16="http://schemas.microsoft.com/office/drawing/2014/main" id="{00000000-0008-0000-0200-000057010000}"/>
            </a:ext>
          </a:extLst>
        </xdr:cNvPr>
        <xdr:cNvGrpSpPr/>
      </xdr:nvGrpSpPr>
      <xdr:grpSpPr>
        <a:xfrm>
          <a:off x="1621589" y="25152227"/>
          <a:ext cx="1062921" cy="806500"/>
          <a:chOff x="1618658" y="25161020"/>
          <a:chExt cx="1059990" cy="771330"/>
        </a:xfrm>
      </xdr:grpSpPr>
      <xdr:sp macro="" textlink="">
        <xdr:nvSpPr>
          <xdr:cNvPr id="340" name="Rectangle 339">
            <a:extLst>
              <a:ext uri="{FF2B5EF4-FFF2-40B4-BE49-F238E27FC236}">
                <a16:creationId xmlns:a16="http://schemas.microsoft.com/office/drawing/2014/main" id="{00000000-0008-0000-0200-000054010000}"/>
              </a:ext>
            </a:extLst>
          </xdr:cNvPr>
          <xdr:cNvSpPr/>
        </xdr:nvSpPr>
        <xdr:spPr>
          <a:xfrm>
            <a:off x="1618658" y="25161020"/>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PIT_RTI</a:t>
            </a:r>
            <a:endParaRPr lang="en-US" sz="1100"/>
          </a:p>
        </xdr:txBody>
      </xdr:sp>
      <xdr:sp macro="" textlink="">
        <xdr:nvSpPr>
          <xdr:cNvPr id="341" name="TextBox 340">
            <a:extLst>
              <a:ext uri="{FF2B5EF4-FFF2-40B4-BE49-F238E27FC236}">
                <a16:creationId xmlns:a16="http://schemas.microsoft.com/office/drawing/2014/main" id="{00000000-0008-0000-0200-000055010000}"/>
              </a:ext>
            </a:extLst>
          </xdr:cNvPr>
          <xdr:cNvSpPr txBox="1"/>
        </xdr:nvSpPr>
        <xdr:spPr>
          <a:xfrm>
            <a:off x="1958443" y="25175867"/>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RTI</a:t>
            </a:r>
          </a:p>
        </xdr:txBody>
      </xdr:sp>
      <xdr:sp macro="" textlink="">
        <xdr:nvSpPr>
          <xdr:cNvPr id="342" name="TextBox 341">
            <a:extLst>
              <a:ext uri="{FF2B5EF4-FFF2-40B4-BE49-F238E27FC236}">
                <a16:creationId xmlns:a16="http://schemas.microsoft.com/office/drawing/2014/main" id="{00000000-0008-0000-0200-000056010000}"/>
              </a:ext>
            </a:extLst>
          </xdr:cNvPr>
          <xdr:cNvSpPr txBox="1"/>
        </xdr:nvSpPr>
        <xdr:spPr>
          <a:xfrm>
            <a:off x="1956977" y="25723921"/>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PIT</a:t>
            </a:r>
          </a:p>
        </xdr:txBody>
      </xdr:sp>
    </xdr:grpSp>
    <xdr:clientData/>
  </xdr:twoCellAnchor>
  <xdr:twoCellAnchor>
    <xdr:from>
      <xdr:col>10</xdr:col>
      <xdr:colOff>52552</xdr:colOff>
      <xdr:row>128</xdr:row>
      <xdr:rowOff>83037</xdr:rowOff>
    </xdr:from>
    <xdr:to>
      <xdr:col>10</xdr:col>
      <xdr:colOff>315059</xdr:colOff>
      <xdr:row>128</xdr:row>
      <xdr:rowOff>83037</xdr:rowOff>
    </xdr:to>
    <xdr:cxnSp macro="">
      <xdr:nvCxnSpPr>
        <xdr:cNvPr id="344" name="Straight Arrow Connector 343">
          <a:extLst>
            <a:ext uri="{FF2B5EF4-FFF2-40B4-BE49-F238E27FC236}">
              <a16:creationId xmlns:a16="http://schemas.microsoft.com/office/drawing/2014/main" id="{00000000-0008-0000-0200-000058010000}"/>
            </a:ext>
          </a:extLst>
        </xdr:cNvPr>
        <xdr:cNvCxnSpPr/>
      </xdr:nvCxnSpPr>
      <xdr:spPr>
        <a:xfrm flipH="1">
          <a:off x="6161690" y="26378606"/>
          <a:ext cx="26250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32845</xdr:colOff>
      <xdr:row>131</xdr:row>
      <xdr:rowOff>74226</xdr:rowOff>
    </xdr:from>
    <xdr:to>
      <xdr:col>17</xdr:col>
      <xdr:colOff>315059</xdr:colOff>
      <xdr:row>131</xdr:row>
      <xdr:rowOff>81779</xdr:rowOff>
    </xdr:to>
    <xdr:cxnSp macro="">
      <xdr:nvCxnSpPr>
        <xdr:cNvPr id="348" name="Straight Arrow Connector 347">
          <a:extLst>
            <a:ext uri="{FF2B5EF4-FFF2-40B4-BE49-F238E27FC236}">
              <a16:creationId xmlns:a16="http://schemas.microsoft.com/office/drawing/2014/main" id="{00000000-0008-0000-0200-00005C010000}"/>
            </a:ext>
          </a:extLst>
        </xdr:cNvPr>
        <xdr:cNvCxnSpPr/>
      </xdr:nvCxnSpPr>
      <xdr:spPr>
        <a:xfrm flipH="1" flipV="1">
          <a:off x="6141983" y="27000416"/>
          <a:ext cx="4558610" cy="7553"/>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387737</xdr:colOff>
      <xdr:row>132</xdr:row>
      <xdr:rowOff>161558</xdr:rowOff>
    </xdr:from>
    <xdr:to>
      <xdr:col>4</xdr:col>
      <xdr:colOff>219917</xdr:colOff>
      <xdr:row>136</xdr:row>
      <xdr:rowOff>170888</xdr:rowOff>
    </xdr:to>
    <xdr:grpSp>
      <xdr:nvGrpSpPr>
        <xdr:cNvPr id="158" name="Group 157">
          <a:extLst>
            <a:ext uri="{FF2B5EF4-FFF2-40B4-BE49-F238E27FC236}">
              <a16:creationId xmlns:a16="http://schemas.microsoft.com/office/drawing/2014/main" id="{00000000-0008-0000-0200-00009E000000}"/>
            </a:ext>
          </a:extLst>
        </xdr:cNvPr>
        <xdr:cNvGrpSpPr/>
      </xdr:nvGrpSpPr>
      <xdr:grpSpPr>
        <a:xfrm>
          <a:off x="1606937" y="26134035"/>
          <a:ext cx="1051380" cy="806499"/>
          <a:chOff x="1604006" y="26098866"/>
          <a:chExt cx="1048449" cy="771330"/>
        </a:xfrm>
      </xdr:grpSpPr>
      <xdr:sp macro="" textlink="">
        <xdr:nvSpPr>
          <xdr:cNvPr id="352" name="Rectangle 351">
            <a:extLst>
              <a:ext uri="{FF2B5EF4-FFF2-40B4-BE49-F238E27FC236}">
                <a16:creationId xmlns:a16="http://schemas.microsoft.com/office/drawing/2014/main" id="{00000000-0008-0000-0200-00006001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STM1:2</a:t>
            </a:r>
            <a:endParaRPr lang="en-US" sz="1100"/>
          </a:p>
        </xdr:txBody>
      </xdr:sp>
      <xdr:sp macro="" textlink="">
        <xdr:nvSpPr>
          <xdr:cNvPr id="353" name="TextBox 352">
            <a:extLst>
              <a:ext uri="{FF2B5EF4-FFF2-40B4-BE49-F238E27FC236}">
                <a16:creationId xmlns:a16="http://schemas.microsoft.com/office/drawing/2014/main" id="{00000000-0008-0000-0200-00006101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54" name="TextBox 353">
            <a:extLst>
              <a:ext uri="{FF2B5EF4-FFF2-40B4-BE49-F238E27FC236}">
                <a16:creationId xmlns:a16="http://schemas.microsoft.com/office/drawing/2014/main" id="{00000000-0008-0000-0200-000062010000}"/>
              </a:ext>
            </a:extLst>
          </xdr:cNvPr>
          <xdr:cNvSpPr txBox="1"/>
        </xdr:nvSpPr>
        <xdr:spPr>
          <a:xfrm>
            <a:off x="1932250" y="26676228"/>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grpSp>
    <xdr:clientData/>
  </xdr:twoCellAnchor>
  <xdr:twoCellAnchor>
    <xdr:from>
      <xdr:col>4</xdr:col>
      <xdr:colOff>184748</xdr:colOff>
      <xdr:row>133</xdr:row>
      <xdr:rowOff>69775</xdr:rowOff>
    </xdr:from>
    <xdr:to>
      <xdr:col>12</xdr:col>
      <xdr:colOff>315058</xdr:colOff>
      <xdr:row>133</xdr:row>
      <xdr:rowOff>77634</xdr:rowOff>
    </xdr:to>
    <xdr:cxnSp macro="">
      <xdr:nvCxnSpPr>
        <xdr:cNvPr id="355" name="Straight Arrow Connector 354">
          <a:extLst>
            <a:ext uri="{FF2B5EF4-FFF2-40B4-BE49-F238E27FC236}">
              <a16:creationId xmlns:a16="http://schemas.microsoft.com/office/drawing/2014/main" id="{00000000-0008-0000-0200-000063010000}"/>
            </a:ext>
          </a:extLst>
        </xdr:cNvPr>
        <xdr:cNvCxnSpPr>
          <a:endCxn id="353" idx="3"/>
        </xdr:cNvCxnSpPr>
      </xdr:nvCxnSpPr>
      <xdr:spPr>
        <a:xfrm flipH="1" flipV="1">
          <a:off x="2617286" y="26197583"/>
          <a:ext cx="4995387" cy="7859"/>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397940</xdr:colOff>
      <xdr:row>134</xdr:row>
      <xdr:rowOff>89780</xdr:rowOff>
    </xdr:from>
    <xdr:to>
      <xdr:col>8</xdr:col>
      <xdr:colOff>175024</xdr:colOff>
      <xdr:row>139</xdr:row>
      <xdr:rowOff>5950</xdr:rowOff>
    </xdr:to>
    <xdr:sp macro="" textlink="">
      <xdr:nvSpPr>
        <xdr:cNvPr id="356" name="Rectangle 355">
          <a:extLst>
            <a:ext uri="{FF2B5EF4-FFF2-40B4-BE49-F238E27FC236}">
              <a16:creationId xmlns:a16="http://schemas.microsoft.com/office/drawing/2014/main" id="{00000000-0008-0000-0200-000064010000}"/>
            </a:ext>
          </a:extLst>
        </xdr:cNvPr>
        <xdr:cNvSpPr/>
      </xdr:nvSpPr>
      <xdr:spPr>
        <a:xfrm>
          <a:off x="4046748" y="26408088"/>
          <a:ext cx="993353" cy="868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STM Clock Selector </a:t>
          </a:r>
          <a:r>
            <a:rPr lang="en-US" sz="900"/>
            <a:t>STMx_CR[CSL]</a:t>
          </a:r>
        </a:p>
      </xdr:txBody>
    </xdr:sp>
    <xdr:clientData/>
  </xdr:twoCellAnchor>
  <xdr:twoCellAnchor>
    <xdr:from>
      <xdr:col>8</xdr:col>
      <xdr:colOff>183173</xdr:colOff>
      <xdr:row>136</xdr:row>
      <xdr:rowOff>976</xdr:rowOff>
    </xdr:from>
    <xdr:to>
      <xdr:col>10</xdr:col>
      <xdr:colOff>328246</xdr:colOff>
      <xdr:row>136</xdr:row>
      <xdr:rowOff>976</xdr:rowOff>
    </xdr:to>
    <xdr:cxnSp macro="">
      <xdr:nvCxnSpPr>
        <xdr:cNvPr id="358" name="Straight Arrow Connector 357">
          <a:extLst>
            <a:ext uri="{FF2B5EF4-FFF2-40B4-BE49-F238E27FC236}">
              <a16:creationId xmlns:a16="http://schemas.microsoft.com/office/drawing/2014/main" id="{00000000-0008-0000-0200-000066010000}"/>
            </a:ext>
          </a:extLst>
        </xdr:cNvPr>
        <xdr:cNvCxnSpPr/>
      </xdr:nvCxnSpPr>
      <xdr:spPr>
        <a:xfrm flipH="1">
          <a:off x="5048250" y="26700284"/>
          <a:ext cx="1361342"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219917</xdr:colOff>
      <xdr:row>136</xdr:row>
      <xdr:rowOff>68310</xdr:rowOff>
    </xdr:from>
    <xdr:to>
      <xdr:col>6</xdr:col>
      <xdr:colOff>373673</xdr:colOff>
      <xdr:row>136</xdr:row>
      <xdr:rowOff>68310</xdr:rowOff>
    </xdr:to>
    <xdr:cxnSp macro="">
      <xdr:nvCxnSpPr>
        <xdr:cNvPr id="360" name="Straight Arrow Connector 359">
          <a:extLst>
            <a:ext uri="{FF2B5EF4-FFF2-40B4-BE49-F238E27FC236}">
              <a16:creationId xmlns:a16="http://schemas.microsoft.com/office/drawing/2014/main" id="{00000000-0008-0000-0200-000068010000}"/>
            </a:ext>
          </a:extLst>
        </xdr:cNvPr>
        <xdr:cNvCxnSpPr>
          <a:endCxn id="354" idx="3"/>
        </xdr:cNvCxnSpPr>
      </xdr:nvCxnSpPr>
      <xdr:spPr>
        <a:xfrm flipH="1">
          <a:off x="2652455" y="26767618"/>
          <a:ext cx="13700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196361</xdr:colOff>
      <xdr:row>138</xdr:row>
      <xdr:rowOff>60374</xdr:rowOff>
    </xdr:from>
    <xdr:to>
      <xdr:col>12</xdr:col>
      <xdr:colOff>303499</xdr:colOff>
      <xdr:row>138</xdr:row>
      <xdr:rowOff>60374</xdr:rowOff>
    </xdr:to>
    <xdr:cxnSp macro="">
      <xdr:nvCxnSpPr>
        <xdr:cNvPr id="366" name="Straight Arrow Connector 365">
          <a:extLst>
            <a:ext uri="{FF2B5EF4-FFF2-40B4-BE49-F238E27FC236}">
              <a16:creationId xmlns:a16="http://schemas.microsoft.com/office/drawing/2014/main" id="{00000000-0008-0000-0200-00006E010000}"/>
            </a:ext>
          </a:extLst>
        </xdr:cNvPr>
        <xdr:cNvCxnSpPr/>
      </xdr:nvCxnSpPr>
      <xdr:spPr>
        <a:xfrm flipH="1">
          <a:off x="5061438" y="27140682"/>
          <a:ext cx="2539676"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533199</xdr:colOff>
      <xdr:row>139</xdr:row>
      <xdr:rowOff>205487</xdr:rowOff>
    </xdr:from>
    <xdr:ext cx="683070" cy="395321"/>
    <xdr:sp macro="" textlink="">
      <xdr:nvSpPr>
        <xdr:cNvPr id="371" name="TextBox 370">
          <a:extLst>
            <a:ext uri="{FF2B5EF4-FFF2-40B4-BE49-F238E27FC236}">
              <a16:creationId xmlns:a16="http://schemas.microsoft.com/office/drawing/2014/main" id="{00000000-0008-0000-0200-000073010000}"/>
            </a:ext>
          </a:extLst>
        </xdr:cNvPr>
        <xdr:cNvSpPr txBox="1"/>
      </xdr:nvSpPr>
      <xdr:spPr>
        <a:xfrm>
          <a:off x="4182007" y="27527583"/>
          <a:ext cx="683070" cy="3953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FS80</a:t>
          </a:r>
        </a:p>
        <a:p>
          <a:r>
            <a:rPr lang="en-US" sz="800"/>
            <a:t>1 - FXOSC</a:t>
          </a:r>
        </a:p>
      </xdr:txBody>
    </xdr:sp>
    <xdr:clientData/>
  </xdr:oneCellAnchor>
  <xdr:twoCellAnchor>
    <xdr:from>
      <xdr:col>12</xdr:col>
      <xdr:colOff>304800</xdr:colOff>
      <xdr:row>17</xdr:row>
      <xdr:rowOff>50244</xdr:rowOff>
    </xdr:from>
    <xdr:to>
      <xdr:col>34</xdr:col>
      <xdr:colOff>408214</xdr:colOff>
      <xdr:row>17</xdr:row>
      <xdr:rowOff>50244</xdr:rowOff>
    </xdr:to>
    <xdr:cxnSp macro="">
      <xdr:nvCxnSpPr>
        <xdr:cNvPr id="216" name="Straight Arrow Connector 215">
          <a:extLst>
            <a:ext uri="{FF2B5EF4-FFF2-40B4-BE49-F238E27FC236}">
              <a16:creationId xmlns:a16="http://schemas.microsoft.com/office/drawing/2014/main" id="{00000000-0008-0000-0200-0000D8000000}"/>
            </a:ext>
          </a:extLst>
        </xdr:cNvPr>
        <xdr:cNvCxnSpPr/>
      </xdr:nvCxnSpPr>
      <xdr:spPr>
        <a:xfrm>
          <a:off x="7620000" y="3452030"/>
          <a:ext cx="13514614"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295275</xdr:colOff>
      <xdr:row>23</xdr:row>
      <xdr:rowOff>83385</xdr:rowOff>
    </xdr:from>
    <xdr:to>
      <xdr:col>35</xdr:col>
      <xdr:colOff>578069</xdr:colOff>
      <xdr:row>23</xdr:row>
      <xdr:rowOff>83385</xdr:rowOff>
    </xdr:to>
    <xdr:cxnSp macro="">
      <xdr:nvCxnSpPr>
        <xdr:cNvPr id="231" name="Straight Arrow Connector 230">
          <a:extLst>
            <a:ext uri="{FF2B5EF4-FFF2-40B4-BE49-F238E27FC236}">
              <a16:creationId xmlns:a16="http://schemas.microsoft.com/office/drawing/2014/main" id="{00000000-0008-0000-0200-0000E7000000}"/>
            </a:ext>
          </a:extLst>
        </xdr:cNvPr>
        <xdr:cNvCxnSpPr/>
      </xdr:nvCxnSpPr>
      <xdr:spPr>
        <a:xfrm>
          <a:off x="7626241" y="4793333"/>
          <a:ext cx="14333811"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32</xdr:col>
      <xdr:colOff>385987</xdr:colOff>
      <xdr:row>4</xdr:row>
      <xdr:rowOff>91225</xdr:rowOff>
    </xdr:from>
    <xdr:ext cx="1057275" cy="419101"/>
    <xdr:sp macro="" textlink="">
      <xdr:nvSpPr>
        <xdr:cNvPr id="232" name="TextBox 231">
          <a:hlinkClick xmlns:r="http://schemas.openxmlformats.org/officeDocument/2006/relationships" r:id="rId17"/>
          <a:extLst>
            <a:ext uri="{FF2B5EF4-FFF2-40B4-BE49-F238E27FC236}">
              <a16:creationId xmlns:a16="http://schemas.microsoft.com/office/drawing/2014/main" id="{00000000-0008-0000-0200-0000E8000000}"/>
            </a:ext>
          </a:extLst>
        </xdr:cNvPr>
        <xdr:cNvSpPr txBox="1"/>
      </xdr:nvSpPr>
      <xdr:spPr>
        <a:xfrm>
          <a:off x="19749752" y="85322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S160</a:t>
          </a:r>
        </a:p>
      </xdr:txBody>
    </xdr:sp>
    <xdr:clientData/>
  </xdr:oneCellAnchor>
  <xdr:twoCellAnchor>
    <xdr:from>
      <xdr:col>33</xdr:col>
      <xdr:colOff>325489</xdr:colOff>
      <xdr:row>7</xdr:row>
      <xdr:rowOff>10050</xdr:rowOff>
    </xdr:from>
    <xdr:to>
      <xdr:col>33</xdr:col>
      <xdr:colOff>325489</xdr:colOff>
      <xdr:row>208</xdr:row>
      <xdr:rowOff>175847</xdr:rowOff>
    </xdr:to>
    <xdr:cxnSp macro="">
      <xdr:nvCxnSpPr>
        <xdr:cNvPr id="234" name="Straight Arrow Connector 233">
          <a:extLst>
            <a:ext uri="{FF2B5EF4-FFF2-40B4-BE49-F238E27FC236}">
              <a16:creationId xmlns:a16="http://schemas.microsoft.com/office/drawing/2014/main" id="{00000000-0008-0000-0200-0000EA000000}"/>
            </a:ext>
          </a:extLst>
        </xdr:cNvPr>
        <xdr:cNvCxnSpPr/>
      </xdr:nvCxnSpPr>
      <xdr:spPr>
        <a:xfrm flipV="1">
          <a:off x="20393931" y="1372858"/>
          <a:ext cx="0" cy="39907027"/>
        </a:xfrm>
        <a:prstGeom prst="straightConnector1">
          <a:avLst/>
        </a:prstGeom>
        <a:ln w="38100">
          <a:solidFill>
            <a:schemeClr val="accent4">
              <a:lumMod val="75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305802</xdr:colOff>
      <xdr:row>30</xdr:row>
      <xdr:rowOff>182006</xdr:rowOff>
    </xdr:from>
    <xdr:to>
      <xdr:col>36</xdr:col>
      <xdr:colOff>10027</xdr:colOff>
      <xdr:row>30</xdr:row>
      <xdr:rowOff>182006</xdr:rowOff>
    </xdr:to>
    <xdr:cxnSp macro="">
      <xdr:nvCxnSpPr>
        <xdr:cNvPr id="243" name="Straight Arrow Connector 242">
          <a:extLst>
            <a:ext uri="{FF2B5EF4-FFF2-40B4-BE49-F238E27FC236}">
              <a16:creationId xmlns:a16="http://schemas.microsoft.com/office/drawing/2014/main" id="{00000000-0008-0000-0200-0000F3000000}"/>
            </a:ext>
          </a:extLst>
        </xdr:cNvPr>
        <xdr:cNvCxnSpPr>
          <a:endCxn id="247" idx="1"/>
        </xdr:cNvCxnSpPr>
      </xdr:nvCxnSpPr>
      <xdr:spPr>
        <a:xfrm>
          <a:off x="20374244" y="6102160"/>
          <a:ext cx="1528629"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10027</xdr:colOff>
      <xdr:row>30</xdr:row>
      <xdr:rowOff>28536</xdr:rowOff>
    </xdr:from>
    <xdr:to>
      <xdr:col>37</xdr:col>
      <xdr:colOff>7906</xdr:colOff>
      <xdr:row>31</xdr:row>
      <xdr:rowOff>122993</xdr:rowOff>
    </xdr:to>
    <xdr:sp macro="" textlink="">
      <xdr:nvSpPr>
        <xdr:cNvPr id="247" name="Rectangle 246">
          <a:extLst>
            <a:ext uri="{FF2B5EF4-FFF2-40B4-BE49-F238E27FC236}">
              <a16:creationId xmlns:a16="http://schemas.microsoft.com/office/drawing/2014/main" id="{00000000-0008-0000-0200-0000F7000000}"/>
            </a:ext>
          </a:extLst>
        </xdr:cNvPr>
        <xdr:cNvSpPr/>
      </xdr:nvSpPr>
      <xdr:spPr>
        <a:xfrm>
          <a:off x="21902873" y="5948690"/>
          <a:ext cx="606014" cy="3069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/2</a:t>
          </a:r>
          <a:endParaRPr lang="en-US" sz="800"/>
        </a:p>
      </xdr:txBody>
    </xdr:sp>
    <xdr:clientData/>
  </xdr:twoCellAnchor>
  <xdr:twoCellAnchor>
    <xdr:from>
      <xdr:col>37</xdr:col>
      <xdr:colOff>15039</xdr:colOff>
      <xdr:row>31</xdr:row>
      <xdr:rowOff>71781</xdr:rowOff>
    </xdr:from>
    <xdr:to>
      <xdr:col>39</xdr:col>
      <xdr:colOff>358448</xdr:colOff>
      <xdr:row>31</xdr:row>
      <xdr:rowOff>72854</xdr:rowOff>
    </xdr:to>
    <xdr:cxnSp macro="">
      <xdr:nvCxnSpPr>
        <xdr:cNvPr id="251" name="Straight Arrow Connector 250">
          <a:extLst>
            <a:ext uri="{FF2B5EF4-FFF2-40B4-BE49-F238E27FC236}">
              <a16:creationId xmlns:a16="http://schemas.microsoft.com/office/drawing/2014/main" id="{00000000-0008-0000-0200-0000FB000000}"/>
            </a:ext>
          </a:extLst>
        </xdr:cNvPr>
        <xdr:cNvCxnSpPr>
          <a:endCxn id="236" idx="1"/>
        </xdr:cNvCxnSpPr>
      </xdr:nvCxnSpPr>
      <xdr:spPr>
        <a:xfrm>
          <a:off x="22516020" y="6204416"/>
          <a:ext cx="1559678" cy="1073"/>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131379</xdr:colOff>
      <xdr:row>34</xdr:row>
      <xdr:rowOff>55722</xdr:rowOff>
    </xdr:from>
    <xdr:to>
      <xdr:col>39</xdr:col>
      <xdr:colOff>356049</xdr:colOff>
      <xdr:row>34</xdr:row>
      <xdr:rowOff>56755</xdr:rowOff>
    </xdr:to>
    <xdr:cxnSp macro="">
      <xdr:nvCxnSpPr>
        <xdr:cNvPr id="255" name="Straight Arrow Connector 254">
          <a:extLst>
            <a:ext uri="{FF2B5EF4-FFF2-40B4-BE49-F238E27FC236}">
              <a16:creationId xmlns:a16="http://schemas.microsoft.com/office/drawing/2014/main" id="{00000000-0008-0000-0200-0000FF000000}"/>
            </a:ext>
          </a:extLst>
        </xdr:cNvPr>
        <xdr:cNvCxnSpPr>
          <a:endCxn id="241" idx="1"/>
        </xdr:cNvCxnSpPr>
      </xdr:nvCxnSpPr>
      <xdr:spPr>
        <a:xfrm>
          <a:off x="23957017" y="6782343"/>
          <a:ext cx="224670" cy="1033"/>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126324</xdr:colOff>
      <xdr:row>34</xdr:row>
      <xdr:rowOff>61167</xdr:rowOff>
    </xdr:from>
    <xdr:to>
      <xdr:col>39</xdr:col>
      <xdr:colOff>126324</xdr:colOff>
      <xdr:row>40</xdr:row>
      <xdr:rowOff>105103</xdr:rowOff>
    </xdr:to>
    <xdr:cxnSp macro="">
      <xdr:nvCxnSpPr>
        <xdr:cNvPr id="269" name="Straight Arrow Connector 268">
          <a:extLst>
            <a:ext uri="{FF2B5EF4-FFF2-40B4-BE49-F238E27FC236}">
              <a16:creationId xmlns:a16="http://schemas.microsoft.com/office/drawing/2014/main" id="{00000000-0008-0000-0200-00000D010000}"/>
            </a:ext>
          </a:extLst>
        </xdr:cNvPr>
        <xdr:cNvCxnSpPr/>
      </xdr:nvCxnSpPr>
      <xdr:spPr>
        <a:xfrm flipV="1">
          <a:off x="23951962" y="6787788"/>
          <a:ext cx="0" cy="1219781"/>
        </a:xfrm>
        <a:prstGeom prst="straightConnector1">
          <a:avLst/>
        </a:prstGeom>
        <a:ln w="19050">
          <a:solidFill>
            <a:schemeClr val="tx2">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597776</xdr:colOff>
      <xdr:row>40</xdr:row>
      <xdr:rowOff>102481</xdr:rowOff>
    </xdr:from>
    <xdr:to>
      <xdr:col>39</xdr:col>
      <xdr:colOff>131379</xdr:colOff>
      <xdr:row>40</xdr:row>
      <xdr:rowOff>102481</xdr:rowOff>
    </xdr:to>
    <xdr:cxnSp macro="">
      <xdr:nvCxnSpPr>
        <xdr:cNvPr id="270" name="Straight Arrow Connector 269">
          <a:extLst>
            <a:ext uri="{FF2B5EF4-FFF2-40B4-BE49-F238E27FC236}">
              <a16:creationId xmlns:a16="http://schemas.microsoft.com/office/drawing/2014/main" id="{00000000-0008-0000-0200-00000E010000}"/>
            </a:ext>
          </a:extLst>
        </xdr:cNvPr>
        <xdr:cNvCxnSpPr/>
      </xdr:nvCxnSpPr>
      <xdr:spPr>
        <a:xfrm flipH="1">
          <a:off x="20757931" y="8004947"/>
          <a:ext cx="3199086" cy="0"/>
        </a:xfrm>
        <a:prstGeom prst="straightConnector1">
          <a:avLst/>
        </a:prstGeom>
        <a:ln w="19050">
          <a:solidFill>
            <a:schemeClr val="tx2">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420414</xdr:colOff>
      <xdr:row>32</xdr:row>
      <xdr:rowOff>137949</xdr:rowOff>
    </xdr:from>
    <xdr:to>
      <xdr:col>36</xdr:col>
      <xdr:colOff>197496</xdr:colOff>
      <xdr:row>36</xdr:row>
      <xdr:rowOff>174840</xdr:rowOff>
    </xdr:to>
    <xdr:sp macro="" textlink="">
      <xdr:nvSpPr>
        <xdr:cNvPr id="271" name="Rectangle 270">
          <a:extLst>
            <a:ext uri="{FF2B5EF4-FFF2-40B4-BE49-F238E27FC236}">
              <a16:creationId xmlns:a16="http://schemas.microsoft.com/office/drawing/2014/main" id="{00000000-0008-0000-0200-00000F010000}"/>
            </a:ext>
          </a:extLst>
        </xdr:cNvPr>
        <xdr:cNvSpPr/>
      </xdr:nvSpPr>
      <xdr:spPr>
        <a:xfrm>
          <a:off x="21191483" y="6457294"/>
          <a:ext cx="998910" cy="82516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3</a:t>
          </a:r>
        </a:p>
        <a:p>
          <a:pPr algn="ctr"/>
          <a:r>
            <a:rPr lang="en-US" sz="900"/>
            <a:t>MC_CGM_AC3_SC[SELCTL]</a:t>
          </a:r>
        </a:p>
      </xdr:txBody>
    </xdr:sp>
    <xdr:clientData/>
  </xdr:twoCellAnchor>
  <xdr:twoCellAnchor>
    <xdr:from>
      <xdr:col>33</xdr:col>
      <xdr:colOff>607171</xdr:colOff>
      <xdr:row>36</xdr:row>
      <xdr:rowOff>98534</xdr:rowOff>
    </xdr:from>
    <xdr:to>
      <xdr:col>33</xdr:col>
      <xdr:colOff>607171</xdr:colOff>
      <xdr:row>40</xdr:row>
      <xdr:rowOff>106416</xdr:rowOff>
    </xdr:to>
    <xdr:cxnSp macro="">
      <xdr:nvCxnSpPr>
        <xdr:cNvPr id="272" name="Straight Arrow Connector 271">
          <a:extLst>
            <a:ext uri="{FF2B5EF4-FFF2-40B4-BE49-F238E27FC236}">
              <a16:creationId xmlns:a16="http://schemas.microsoft.com/office/drawing/2014/main" id="{00000000-0008-0000-0200-000010010000}"/>
            </a:ext>
          </a:extLst>
        </xdr:cNvPr>
        <xdr:cNvCxnSpPr/>
      </xdr:nvCxnSpPr>
      <xdr:spPr>
        <a:xfrm flipV="1">
          <a:off x="20767326" y="7206155"/>
          <a:ext cx="0" cy="769882"/>
        </a:xfrm>
        <a:prstGeom prst="straightConnector1">
          <a:avLst/>
        </a:prstGeom>
        <a:ln w="19050">
          <a:solidFill>
            <a:schemeClr val="tx2">
              <a:lumMod val="60000"/>
              <a:lumOff val="4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305802</xdr:colOff>
      <xdr:row>36</xdr:row>
      <xdr:rowOff>91194</xdr:rowOff>
    </xdr:from>
    <xdr:to>
      <xdr:col>34</xdr:col>
      <xdr:colOff>420414</xdr:colOff>
      <xdr:row>36</xdr:row>
      <xdr:rowOff>91194</xdr:rowOff>
    </xdr:to>
    <xdr:cxnSp macro="">
      <xdr:nvCxnSpPr>
        <xdr:cNvPr id="274" name="Straight Arrow Connector 273">
          <a:extLst>
            <a:ext uri="{FF2B5EF4-FFF2-40B4-BE49-F238E27FC236}">
              <a16:creationId xmlns:a16="http://schemas.microsoft.com/office/drawing/2014/main" id="{00000000-0008-0000-0200-000012010000}"/>
            </a:ext>
          </a:extLst>
        </xdr:cNvPr>
        <xdr:cNvCxnSpPr/>
      </xdr:nvCxnSpPr>
      <xdr:spPr>
        <a:xfrm>
          <a:off x="15595934" y="7270036"/>
          <a:ext cx="5619059"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308741</xdr:colOff>
      <xdr:row>33</xdr:row>
      <xdr:rowOff>124810</xdr:rowOff>
    </xdr:from>
    <xdr:to>
      <xdr:col>34</xdr:col>
      <xdr:colOff>394138</xdr:colOff>
      <xdr:row>33</xdr:row>
      <xdr:rowOff>124810</xdr:rowOff>
    </xdr:to>
    <xdr:cxnSp macro="">
      <xdr:nvCxnSpPr>
        <xdr:cNvPr id="280" name="Straight Arrow Connector 279">
          <a:extLst>
            <a:ext uri="{FF2B5EF4-FFF2-40B4-BE49-F238E27FC236}">
              <a16:creationId xmlns:a16="http://schemas.microsoft.com/office/drawing/2014/main" id="{00000000-0008-0000-0200-000018010000}"/>
            </a:ext>
          </a:extLst>
        </xdr:cNvPr>
        <xdr:cNvCxnSpPr/>
      </xdr:nvCxnSpPr>
      <xdr:spPr>
        <a:xfrm>
          <a:off x="6417879" y="6654362"/>
          <a:ext cx="14747328"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578069</xdr:colOff>
      <xdr:row>37</xdr:row>
      <xdr:rowOff>203638</xdr:rowOff>
    </xdr:from>
    <xdr:ext cx="876300" cy="362607"/>
    <xdr:sp macro="" textlink="">
      <xdr:nvSpPr>
        <xdr:cNvPr id="283" name="TextBox 282">
          <a:extLst>
            <a:ext uri="{FF2B5EF4-FFF2-40B4-BE49-F238E27FC236}">
              <a16:creationId xmlns:a16="http://schemas.microsoft.com/office/drawing/2014/main" id="{00000000-0008-0000-0200-00001B010000}"/>
            </a:ext>
          </a:extLst>
        </xdr:cNvPr>
        <xdr:cNvSpPr txBox="1"/>
      </xdr:nvSpPr>
      <xdr:spPr>
        <a:xfrm>
          <a:off x="21349138" y="7508328"/>
          <a:ext cx="876300"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FIRC</a:t>
          </a:r>
        </a:p>
        <a:p>
          <a:r>
            <a:rPr lang="en-US" sz="800"/>
            <a:t>1 - FXOSC</a:t>
          </a:r>
        </a:p>
      </xdr:txBody>
    </xdr:sp>
    <xdr:clientData/>
  </xdr:oneCellAnchor>
  <xdr:twoCellAnchor>
    <xdr:from>
      <xdr:col>36</xdr:col>
      <xdr:colOff>211417</xdr:colOff>
      <xdr:row>33</xdr:row>
      <xdr:rowOff>107591</xdr:rowOff>
    </xdr:from>
    <xdr:to>
      <xdr:col>36</xdr:col>
      <xdr:colOff>604344</xdr:colOff>
      <xdr:row>33</xdr:row>
      <xdr:rowOff>107591</xdr:rowOff>
    </xdr:to>
    <xdr:cxnSp macro="">
      <xdr:nvCxnSpPr>
        <xdr:cNvPr id="284" name="Straight Arrow Connector 283">
          <a:extLst>
            <a:ext uri="{FF2B5EF4-FFF2-40B4-BE49-F238E27FC236}">
              <a16:creationId xmlns:a16="http://schemas.microsoft.com/office/drawing/2014/main" id="{00000000-0008-0000-0200-00001C010000}"/>
            </a:ext>
          </a:extLst>
        </xdr:cNvPr>
        <xdr:cNvCxnSpPr/>
      </xdr:nvCxnSpPr>
      <xdr:spPr>
        <a:xfrm>
          <a:off x="22204314" y="6637143"/>
          <a:ext cx="39292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8644</xdr:colOff>
      <xdr:row>32</xdr:row>
      <xdr:rowOff>101645</xdr:rowOff>
    </xdr:from>
    <xdr:to>
      <xdr:col>38</xdr:col>
      <xdr:colOff>6522</xdr:colOff>
      <xdr:row>33</xdr:row>
      <xdr:rowOff>193829</xdr:rowOff>
    </xdr:to>
    <xdr:sp macro="" textlink="">
      <xdr:nvSpPr>
        <xdr:cNvPr id="304" name="Rectangle 303">
          <a:extLst>
            <a:ext uri="{FF2B5EF4-FFF2-40B4-BE49-F238E27FC236}">
              <a16:creationId xmlns:a16="http://schemas.microsoft.com/office/drawing/2014/main" id="{00000000-0008-0000-0200-000030010000}"/>
            </a:ext>
          </a:extLst>
        </xdr:cNvPr>
        <xdr:cNvSpPr/>
      </xdr:nvSpPr>
      <xdr:spPr>
        <a:xfrm>
          <a:off x="22612454" y="6420990"/>
          <a:ext cx="608792" cy="3023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baseline="0"/>
            <a:t>/1...64</a:t>
          </a:r>
          <a:endParaRPr lang="en-US" sz="800"/>
        </a:p>
      </xdr:txBody>
    </xdr:sp>
    <xdr:clientData/>
  </xdr:twoCellAnchor>
  <xdr:twoCellAnchor>
    <xdr:from>
      <xdr:col>38</xdr:col>
      <xdr:colOff>19707</xdr:colOff>
      <xdr:row>32</xdr:row>
      <xdr:rowOff>121980</xdr:rowOff>
    </xdr:from>
    <xdr:to>
      <xdr:col>39</xdr:col>
      <xdr:colOff>356050</xdr:colOff>
      <xdr:row>32</xdr:row>
      <xdr:rowOff>121980</xdr:rowOff>
    </xdr:to>
    <xdr:cxnSp macro="">
      <xdr:nvCxnSpPr>
        <xdr:cNvPr id="305" name="Straight Arrow Connector 304">
          <a:extLst>
            <a:ext uri="{FF2B5EF4-FFF2-40B4-BE49-F238E27FC236}">
              <a16:creationId xmlns:a16="http://schemas.microsoft.com/office/drawing/2014/main" id="{00000000-0008-0000-0200-000031010000}"/>
            </a:ext>
          </a:extLst>
        </xdr:cNvPr>
        <xdr:cNvCxnSpPr>
          <a:endCxn id="239" idx="1"/>
        </xdr:cNvCxnSpPr>
      </xdr:nvCxnSpPr>
      <xdr:spPr>
        <a:xfrm>
          <a:off x="23234431" y="6441325"/>
          <a:ext cx="94725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423551</xdr:colOff>
      <xdr:row>56</xdr:row>
      <xdr:rowOff>149594</xdr:rowOff>
    </xdr:from>
    <xdr:to>
      <xdr:col>46</xdr:col>
      <xdr:colOff>207163</xdr:colOff>
      <xdr:row>60</xdr:row>
      <xdr:rowOff>174871</xdr:rowOff>
    </xdr:to>
    <xdr:sp macro="" textlink="">
      <xdr:nvSpPr>
        <xdr:cNvPr id="308" name="Rectangle 307">
          <a:extLst>
            <a:ext uri="{FF2B5EF4-FFF2-40B4-BE49-F238E27FC236}">
              <a16:creationId xmlns:a16="http://schemas.microsoft.com/office/drawing/2014/main" id="{00000000-0008-0000-0200-000034010000}"/>
            </a:ext>
          </a:extLst>
        </xdr:cNvPr>
        <xdr:cNvSpPr/>
      </xdr:nvSpPr>
      <xdr:spPr>
        <a:xfrm>
          <a:off x="27303758" y="11224870"/>
          <a:ext cx="1005439" cy="8661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CLKOUT0</a:t>
          </a:r>
        </a:p>
      </xdr:txBody>
    </xdr:sp>
    <xdr:clientData/>
  </xdr:twoCellAnchor>
  <xdr:twoCellAnchor>
    <xdr:from>
      <xdr:col>38</xdr:col>
      <xdr:colOff>421728</xdr:colOff>
      <xdr:row>44</xdr:row>
      <xdr:rowOff>119557</xdr:rowOff>
    </xdr:from>
    <xdr:to>
      <xdr:col>40</xdr:col>
      <xdr:colOff>198810</xdr:colOff>
      <xdr:row>68</xdr:row>
      <xdr:rowOff>1</xdr:rowOff>
    </xdr:to>
    <xdr:sp macro="" textlink="">
      <xdr:nvSpPr>
        <xdr:cNvPr id="317" name="Rectangle 316">
          <a:extLst>
            <a:ext uri="{FF2B5EF4-FFF2-40B4-BE49-F238E27FC236}">
              <a16:creationId xmlns:a16="http://schemas.microsoft.com/office/drawing/2014/main" id="{00000000-0008-0000-0200-00003D010000}"/>
            </a:ext>
          </a:extLst>
        </xdr:cNvPr>
        <xdr:cNvSpPr/>
      </xdr:nvSpPr>
      <xdr:spPr>
        <a:xfrm>
          <a:off x="23636452" y="8823436"/>
          <a:ext cx="998910" cy="47217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6</a:t>
          </a:r>
        </a:p>
        <a:p>
          <a:pPr algn="ctr"/>
          <a:r>
            <a:rPr lang="en-US" sz="900"/>
            <a:t>MC_CGM_AC6_SC[SELCTL]</a:t>
          </a:r>
        </a:p>
      </xdr:txBody>
    </xdr:sp>
    <xdr:clientData/>
  </xdr:twoCellAnchor>
  <xdr:twoCellAnchor>
    <xdr:from>
      <xdr:col>43</xdr:col>
      <xdr:colOff>13138</xdr:colOff>
      <xdr:row>57</xdr:row>
      <xdr:rowOff>173281</xdr:rowOff>
    </xdr:from>
    <xdr:to>
      <xdr:col>44</xdr:col>
      <xdr:colOff>413845</xdr:colOff>
      <xdr:row>57</xdr:row>
      <xdr:rowOff>173281</xdr:rowOff>
    </xdr:to>
    <xdr:cxnSp macro="">
      <xdr:nvCxnSpPr>
        <xdr:cNvPr id="319" name="Straight Arrow Connector 318">
          <a:extLst>
            <a:ext uri="{FF2B5EF4-FFF2-40B4-BE49-F238E27FC236}">
              <a16:creationId xmlns:a16="http://schemas.microsoft.com/office/drawing/2014/main" id="{00000000-0008-0000-0200-00003F010000}"/>
            </a:ext>
          </a:extLst>
        </xdr:cNvPr>
        <xdr:cNvCxnSpPr/>
      </xdr:nvCxnSpPr>
      <xdr:spPr>
        <a:xfrm>
          <a:off x="26282431" y="11425919"/>
          <a:ext cx="10116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204951</xdr:colOff>
      <xdr:row>57</xdr:row>
      <xdr:rowOff>181164</xdr:rowOff>
    </xdr:from>
    <xdr:to>
      <xdr:col>41</xdr:col>
      <xdr:colOff>605658</xdr:colOff>
      <xdr:row>57</xdr:row>
      <xdr:rowOff>181164</xdr:rowOff>
    </xdr:to>
    <xdr:cxnSp macro="">
      <xdr:nvCxnSpPr>
        <xdr:cNvPr id="325" name="Straight Arrow Connector 324">
          <a:extLst>
            <a:ext uri="{FF2B5EF4-FFF2-40B4-BE49-F238E27FC236}">
              <a16:creationId xmlns:a16="http://schemas.microsoft.com/office/drawing/2014/main" id="{00000000-0008-0000-0200-000045010000}"/>
            </a:ext>
          </a:extLst>
        </xdr:cNvPr>
        <xdr:cNvCxnSpPr/>
      </xdr:nvCxnSpPr>
      <xdr:spPr>
        <a:xfrm>
          <a:off x="24641503" y="11433802"/>
          <a:ext cx="10116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535227</xdr:colOff>
      <xdr:row>69</xdr:row>
      <xdr:rowOff>38845</xdr:rowOff>
    </xdr:from>
    <xdr:ext cx="1684831" cy="1983542"/>
    <xdr:sp macro="" textlink="">
      <xdr:nvSpPr>
        <xdr:cNvPr id="330" name="TextBox 329">
          <a:extLst>
            <a:ext uri="{FF2B5EF4-FFF2-40B4-BE49-F238E27FC236}">
              <a16:creationId xmlns:a16="http://schemas.microsoft.com/office/drawing/2014/main" id="{00000000-0008-0000-0200-00004A010000}"/>
            </a:ext>
          </a:extLst>
        </xdr:cNvPr>
        <xdr:cNvSpPr txBox="1"/>
      </xdr:nvSpPr>
      <xdr:spPr>
        <a:xfrm>
          <a:off x="23644342" y="13901383"/>
          <a:ext cx="1684831" cy="19835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a:t>
          </a:r>
        </a:p>
        <a:p>
          <a:r>
            <a:rPr lang="en-US" sz="800"/>
            <a:t>1 - FIRC</a:t>
          </a:r>
        </a:p>
        <a:p>
          <a:r>
            <a:rPr lang="en-US" sz="800"/>
            <a:t>2 </a:t>
          </a:r>
          <a:r>
            <a:rPr lang="en-US" sz="800" baseline="0"/>
            <a:t>- PLL_CLKOUT1</a:t>
          </a:r>
        </a:p>
        <a:p>
          <a:r>
            <a:rPr lang="en-US" sz="800" baseline="0"/>
            <a:t>3 - S160</a:t>
          </a:r>
        </a:p>
        <a:p>
          <a:r>
            <a:rPr lang="en-US" sz="800" baseline="0"/>
            <a:t>4 - RTC_CLK</a:t>
          </a:r>
        </a:p>
        <a:p>
          <a:r>
            <a:rPr lang="en-US" sz="800" baseline="0"/>
            <a:t>5 - PLL_CLKOUT2</a:t>
          </a:r>
        </a:p>
        <a:p>
          <a:r>
            <a:rPr lang="en-US" sz="800" baseline="0"/>
            <a:t>6 - SXOSC</a:t>
          </a:r>
        </a:p>
        <a:p>
          <a:r>
            <a:rPr lang="en-US" sz="800" baseline="0"/>
            <a:t>7 - SIRC</a:t>
          </a:r>
        </a:p>
        <a:p>
          <a:r>
            <a:rPr lang="en-US" sz="800" baseline="0"/>
            <a:t>8 - Z4a CLK</a:t>
          </a:r>
        </a:p>
        <a:p>
          <a:r>
            <a:rPr lang="en-US" sz="800" baseline="0"/>
            <a:t>9 - Z4b CLK</a:t>
          </a:r>
        </a:p>
        <a:p>
          <a:r>
            <a:rPr lang="en-US" sz="800" baseline="0"/>
            <a:t>10 - HSM Core CLK</a:t>
          </a:r>
        </a:p>
        <a:p>
          <a:r>
            <a:rPr lang="en-US" sz="800" baseline="0"/>
            <a:t>12 - S40</a:t>
          </a:r>
        </a:p>
        <a:p>
          <a:r>
            <a:rPr lang="en-US" sz="800" baseline="0"/>
            <a:t>13 - F40</a:t>
          </a:r>
        </a:p>
        <a:p>
          <a:r>
            <a:rPr lang="en-US" sz="800" baseline="0"/>
            <a:t>14 - F80</a:t>
          </a:r>
        </a:p>
        <a:p>
          <a:r>
            <a:rPr lang="en-US" sz="800" baseline="0"/>
            <a:t>15 - FS80</a:t>
          </a:r>
          <a:endParaRPr lang="en-US" sz="800"/>
        </a:p>
      </xdr:txBody>
    </xdr:sp>
    <xdr:clientData/>
  </xdr:oneCellAnchor>
  <xdr:twoCellAnchor>
    <xdr:from>
      <xdr:col>10</xdr:col>
      <xdr:colOff>305315</xdr:colOff>
      <xdr:row>45</xdr:row>
      <xdr:rowOff>69678</xdr:rowOff>
    </xdr:from>
    <xdr:to>
      <xdr:col>38</xdr:col>
      <xdr:colOff>414130</xdr:colOff>
      <xdr:row>45</xdr:row>
      <xdr:rowOff>69678</xdr:rowOff>
    </xdr:to>
    <xdr:cxnSp macro="">
      <xdr:nvCxnSpPr>
        <xdr:cNvPr id="331" name="Straight Arrow Connector 330">
          <a:extLst>
            <a:ext uri="{FF2B5EF4-FFF2-40B4-BE49-F238E27FC236}">
              <a16:creationId xmlns:a16="http://schemas.microsoft.com/office/drawing/2014/main" id="{00000000-0008-0000-0200-00004B010000}"/>
            </a:ext>
          </a:extLst>
        </xdr:cNvPr>
        <xdr:cNvCxnSpPr/>
      </xdr:nvCxnSpPr>
      <xdr:spPr>
        <a:xfrm>
          <a:off x="6434445" y="8940352"/>
          <a:ext cx="17270381"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297781</xdr:colOff>
      <xdr:row>46</xdr:row>
      <xdr:rowOff>114819</xdr:rowOff>
    </xdr:from>
    <xdr:to>
      <xdr:col>38</xdr:col>
      <xdr:colOff>411079</xdr:colOff>
      <xdr:row>46</xdr:row>
      <xdr:rowOff>114819</xdr:rowOff>
    </xdr:to>
    <xdr:cxnSp macro="">
      <xdr:nvCxnSpPr>
        <xdr:cNvPr id="332" name="Straight Arrow Connector 331">
          <a:extLst>
            <a:ext uri="{FF2B5EF4-FFF2-40B4-BE49-F238E27FC236}">
              <a16:creationId xmlns:a16="http://schemas.microsoft.com/office/drawing/2014/main" id="{00000000-0008-0000-0200-00004C010000}"/>
            </a:ext>
          </a:extLst>
        </xdr:cNvPr>
        <xdr:cNvCxnSpPr/>
      </xdr:nvCxnSpPr>
      <xdr:spPr>
        <a:xfrm>
          <a:off x="15478250" y="9229053"/>
          <a:ext cx="8007142"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343401</xdr:colOff>
      <xdr:row>47</xdr:row>
      <xdr:rowOff>131989</xdr:rowOff>
    </xdr:from>
    <xdr:to>
      <xdr:col>38</xdr:col>
      <xdr:colOff>409575</xdr:colOff>
      <xdr:row>47</xdr:row>
      <xdr:rowOff>131989</xdr:rowOff>
    </xdr:to>
    <xdr:cxnSp macro="">
      <xdr:nvCxnSpPr>
        <xdr:cNvPr id="333" name="Straight Arrow Connector 332">
          <a:extLst>
            <a:ext uri="{FF2B5EF4-FFF2-40B4-BE49-F238E27FC236}">
              <a16:creationId xmlns:a16="http://schemas.microsoft.com/office/drawing/2014/main" id="{00000000-0008-0000-0200-00004D010000}"/>
            </a:ext>
          </a:extLst>
        </xdr:cNvPr>
        <xdr:cNvCxnSpPr/>
      </xdr:nvCxnSpPr>
      <xdr:spPr>
        <a:xfrm>
          <a:off x="20460201" y="9428389"/>
          <a:ext cx="3114174"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303545</xdr:colOff>
      <xdr:row>48</xdr:row>
      <xdr:rowOff>152400</xdr:rowOff>
    </xdr:from>
    <xdr:to>
      <xdr:col>38</xdr:col>
      <xdr:colOff>409575</xdr:colOff>
      <xdr:row>48</xdr:row>
      <xdr:rowOff>152400</xdr:rowOff>
    </xdr:to>
    <xdr:cxnSp macro="">
      <xdr:nvCxnSpPr>
        <xdr:cNvPr id="334" name="Straight Arrow Connector 333">
          <a:extLst>
            <a:ext uri="{FF2B5EF4-FFF2-40B4-BE49-F238E27FC236}">
              <a16:creationId xmlns:a16="http://schemas.microsoft.com/office/drawing/2014/main" id="{00000000-0008-0000-0200-00004E010000}"/>
            </a:ext>
          </a:extLst>
        </xdr:cNvPr>
        <xdr:cNvCxnSpPr/>
      </xdr:nvCxnSpPr>
      <xdr:spPr>
        <a:xfrm>
          <a:off x="16762745" y="9639300"/>
          <a:ext cx="681163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304800</xdr:colOff>
      <xdr:row>50</xdr:row>
      <xdr:rowOff>19050</xdr:rowOff>
    </xdr:from>
    <xdr:to>
      <xdr:col>38</xdr:col>
      <xdr:colOff>400050</xdr:colOff>
      <xdr:row>50</xdr:row>
      <xdr:rowOff>19050</xdr:rowOff>
    </xdr:to>
    <xdr:cxnSp macro="">
      <xdr:nvCxnSpPr>
        <xdr:cNvPr id="335" name="Straight Arrow Connector 334">
          <a:extLst>
            <a:ext uri="{FF2B5EF4-FFF2-40B4-BE49-F238E27FC236}">
              <a16:creationId xmlns:a16="http://schemas.microsoft.com/office/drawing/2014/main" id="{00000000-0008-0000-0200-00004F010000}"/>
            </a:ext>
          </a:extLst>
        </xdr:cNvPr>
        <xdr:cNvCxnSpPr/>
      </xdr:nvCxnSpPr>
      <xdr:spPr>
        <a:xfrm>
          <a:off x="17983200" y="9886950"/>
          <a:ext cx="5581650"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303585</xdr:colOff>
      <xdr:row>51</xdr:row>
      <xdr:rowOff>104775</xdr:rowOff>
    </xdr:from>
    <xdr:to>
      <xdr:col>38</xdr:col>
      <xdr:colOff>400050</xdr:colOff>
      <xdr:row>51</xdr:row>
      <xdr:rowOff>104775</xdr:rowOff>
    </xdr:to>
    <xdr:cxnSp macro="">
      <xdr:nvCxnSpPr>
        <xdr:cNvPr id="337" name="Straight Arrow Connector 336">
          <a:extLst>
            <a:ext uri="{FF2B5EF4-FFF2-40B4-BE49-F238E27FC236}">
              <a16:creationId xmlns:a16="http://schemas.microsoft.com/office/drawing/2014/main" id="{00000000-0008-0000-0200-000051010000}"/>
            </a:ext>
          </a:extLst>
        </xdr:cNvPr>
        <xdr:cNvCxnSpPr/>
      </xdr:nvCxnSpPr>
      <xdr:spPr>
        <a:xfrm>
          <a:off x="14324385" y="10163175"/>
          <a:ext cx="9240465"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313323</xdr:colOff>
      <xdr:row>52</xdr:row>
      <xdr:rowOff>95250</xdr:rowOff>
    </xdr:from>
    <xdr:to>
      <xdr:col>38</xdr:col>
      <xdr:colOff>400050</xdr:colOff>
      <xdr:row>52</xdr:row>
      <xdr:rowOff>95250</xdr:rowOff>
    </xdr:to>
    <xdr:cxnSp macro="">
      <xdr:nvCxnSpPr>
        <xdr:cNvPr id="338" name="Straight Arrow Connector 337">
          <a:extLst>
            <a:ext uri="{FF2B5EF4-FFF2-40B4-BE49-F238E27FC236}">
              <a16:creationId xmlns:a16="http://schemas.microsoft.com/office/drawing/2014/main" id="{00000000-0008-0000-0200-000052010000}"/>
            </a:ext>
          </a:extLst>
        </xdr:cNvPr>
        <xdr:cNvCxnSpPr/>
      </xdr:nvCxnSpPr>
      <xdr:spPr>
        <a:xfrm>
          <a:off x="10676523" y="10353675"/>
          <a:ext cx="12888327"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311660</xdr:colOff>
      <xdr:row>53</xdr:row>
      <xdr:rowOff>123825</xdr:rowOff>
    </xdr:from>
    <xdr:to>
      <xdr:col>38</xdr:col>
      <xdr:colOff>419100</xdr:colOff>
      <xdr:row>53</xdr:row>
      <xdr:rowOff>123825</xdr:rowOff>
    </xdr:to>
    <xdr:cxnSp macro="">
      <xdr:nvCxnSpPr>
        <xdr:cNvPr id="345" name="Straight Arrow Connector 344">
          <a:extLst>
            <a:ext uri="{FF2B5EF4-FFF2-40B4-BE49-F238E27FC236}">
              <a16:creationId xmlns:a16="http://schemas.microsoft.com/office/drawing/2014/main" id="{00000000-0008-0000-0200-000059010000}"/>
            </a:ext>
          </a:extLst>
        </xdr:cNvPr>
        <xdr:cNvCxnSpPr/>
      </xdr:nvCxnSpPr>
      <xdr:spPr>
        <a:xfrm>
          <a:off x="11894060" y="10591800"/>
          <a:ext cx="11689840"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304953</xdr:colOff>
      <xdr:row>54</xdr:row>
      <xdr:rowOff>104775</xdr:rowOff>
    </xdr:from>
    <xdr:to>
      <xdr:col>38</xdr:col>
      <xdr:colOff>419100</xdr:colOff>
      <xdr:row>54</xdr:row>
      <xdr:rowOff>104775</xdr:rowOff>
    </xdr:to>
    <xdr:cxnSp macro="">
      <xdr:nvCxnSpPr>
        <xdr:cNvPr id="346" name="Straight Arrow Connector 345">
          <a:extLst>
            <a:ext uri="{FF2B5EF4-FFF2-40B4-BE49-F238E27FC236}">
              <a16:creationId xmlns:a16="http://schemas.microsoft.com/office/drawing/2014/main" id="{00000000-0008-0000-0200-00005A010000}"/>
            </a:ext>
          </a:extLst>
        </xdr:cNvPr>
        <xdr:cNvCxnSpPr/>
      </xdr:nvCxnSpPr>
      <xdr:spPr>
        <a:xfrm>
          <a:off x="7620153" y="10782300"/>
          <a:ext cx="15963747"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385427</xdr:colOff>
      <xdr:row>54</xdr:row>
      <xdr:rowOff>100750</xdr:rowOff>
    </xdr:from>
    <xdr:ext cx="1057275" cy="419101"/>
    <xdr:sp macro="" textlink="">
      <xdr:nvSpPr>
        <xdr:cNvPr id="347" name="TextBox 346">
          <a:hlinkClick xmlns:r="http://schemas.openxmlformats.org/officeDocument/2006/relationships" r:id="rId11"/>
          <a:extLst>
            <a:ext uri="{FF2B5EF4-FFF2-40B4-BE49-F238E27FC236}">
              <a16:creationId xmlns:a16="http://schemas.microsoft.com/office/drawing/2014/main" id="{00000000-0008-0000-0200-00005B010000}"/>
            </a:ext>
          </a:extLst>
        </xdr:cNvPr>
        <xdr:cNvSpPr txBox="1"/>
      </xdr:nvSpPr>
      <xdr:spPr>
        <a:xfrm>
          <a:off x="20502227" y="1077827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PLL_CLKOUT1</a:t>
          </a:r>
        </a:p>
      </xdr:txBody>
    </xdr:sp>
    <xdr:clientData/>
  </xdr:oneCellAnchor>
  <xdr:twoCellAnchor>
    <xdr:from>
      <xdr:col>34</xdr:col>
      <xdr:colOff>314325</xdr:colOff>
      <xdr:row>57</xdr:row>
      <xdr:rowOff>9531</xdr:rowOff>
    </xdr:from>
    <xdr:to>
      <xdr:col>34</xdr:col>
      <xdr:colOff>314325</xdr:colOff>
      <xdr:row>58</xdr:row>
      <xdr:rowOff>36635</xdr:rowOff>
    </xdr:to>
    <xdr:cxnSp macro="">
      <xdr:nvCxnSpPr>
        <xdr:cNvPr id="349" name="Straight Arrow Connector 348">
          <a:extLst>
            <a:ext uri="{FF2B5EF4-FFF2-40B4-BE49-F238E27FC236}">
              <a16:creationId xmlns:a16="http://schemas.microsoft.com/office/drawing/2014/main" id="{00000000-0008-0000-0200-00005D010000}"/>
            </a:ext>
          </a:extLst>
        </xdr:cNvPr>
        <xdr:cNvCxnSpPr/>
      </xdr:nvCxnSpPr>
      <xdr:spPr>
        <a:xfrm flipV="1">
          <a:off x="20990902" y="11380916"/>
          <a:ext cx="0" cy="239584"/>
        </a:xfrm>
        <a:prstGeom prst="straightConnector1">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418084</xdr:colOff>
      <xdr:row>54</xdr:row>
      <xdr:rowOff>115718</xdr:rowOff>
    </xdr:from>
    <xdr:ext cx="1057275" cy="419101"/>
    <xdr:sp macro="" textlink="">
      <xdr:nvSpPr>
        <xdr:cNvPr id="350" name="TextBox 349">
          <a:hlinkClick xmlns:r="http://schemas.openxmlformats.org/officeDocument/2006/relationships" r:id="rId18"/>
          <a:extLst>
            <a:ext uri="{FF2B5EF4-FFF2-40B4-BE49-F238E27FC236}">
              <a16:creationId xmlns:a16="http://schemas.microsoft.com/office/drawing/2014/main" id="{00000000-0008-0000-0200-00005E010000}"/>
            </a:ext>
          </a:extLst>
        </xdr:cNvPr>
        <xdr:cNvSpPr txBox="1"/>
      </xdr:nvSpPr>
      <xdr:spPr>
        <a:xfrm>
          <a:off x="21754084" y="1084903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PLL_CLKOUT2</a:t>
          </a:r>
        </a:p>
      </xdr:txBody>
    </xdr:sp>
    <xdr:clientData/>
  </xdr:oneCellAnchor>
  <xdr:twoCellAnchor>
    <xdr:from>
      <xdr:col>36</xdr:col>
      <xdr:colOff>299357</xdr:colOff>
      <xdr:row>56</xdr:row>
      <xdr:rowOff>212271</xdr:rowOff>
    </xdr:from>
    <xdr:to>
      <xdr:col>36</xdr:col>
      <xdr:colOff>299357</xdr:colOff>
      <xdr:row>58</xdr:row>
      <xdr:rowOff>195943</xdr:rowOff>
    </xdr:to>
    <xdr:cxnSp macro="">
      <xdr:nvCxnSpPr>
        <xdr:cNvPr id="351" name="Straight Arrow Connector 350">
          <a:extLst>
            <a:ext uri="{FF2B5EF4-FFF2-40B4-BE49-F238E27FC236}">
              <a16:creationId xmlns:a16="http://schemas.microsoft.com/office/drawing/2014/main" id="{00000000-0008-0000-0200-00005F010000}"/>
            </a:ext>
          </a:extLst>
        </xdr:cNvPr>
        <xdr:cNvCxnSpPr/>
      </xdr:nvCxnSpPr>
      <xdr:spPr>
        <a:xfrm>
          <a:off x="22244957" y="11370128"/>
          <a:ext cx="0" cy="408215"/>
        </a:xfrm>
        <a:prstGeom prst="straightConnector1">
          <a:avLst/>
        </a:prstGeom>
        <a:ln w="19050">
          <a:solidFill>
            <a:schemeClr val="accent2">
              <a:lumMod val="40000"/>
              <a:lumOff val="60000"/>
            </a:schemeClr>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326571</xdr:colOff>
      <xdr:row>58</xdr:row>
      <xdr:rowOff>20725</xdr:rowOff>
    </xdr:from>
    <xdr:to>
      <xdr:col>38</xdr:col>
      <xdr:colOff>419100</xdr:colOff>
      <xdr:row>58</xdr:row>
      <xdr:rowOff>20725</xdr:rowOff>
    </xdr:to>
    <xdr:cxnSp macro="">
      <xdr:nvCxnSpPr>
        <xdr:cNvPr id="357" name="Straight Arrow Connector 356">
          <a:extLst>
            <a:ext uri="{FF2B5EF4-FFF2-40B4-BE49-F238E27FC236}">
              <a16:creationId xmlns:a16="http://schemas.microsoft.com/office/drawing/2014/main" id="{00000000-0008-0000-0200-000065010000}"/>
            </a:ext>
          </a:extLst>
        </xdr:cNvPr>
        <xdr:cNvCxnSpPr/>
      </xdr:nvCxnSpPr>
      <xdr:spPr>
        <a:xfrm>
          <a:off x="21052971" y="11603125"/>
          <a:ext cx="2530929"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277586</xdr:colOff>
      <xdr:row>58</xdr:row>
      <xdr:rowOff>206828</xdr:rowOff>
    </xdr:from>
    <xdr:to>
      <xdr:col>38</xdr:col>
      <xdr:colOff>408214</xdr:colOff>
      <xdr:row>58</xdr:row>
      <xdr:rowOff>206828</xdr:rowOff>
    </xdr:to>
    <xdr:cxnSp macro="">
      <xdr:nvCxnSpPr>
        <xdr:cNvPr id="359" name="Straight Arrow Connector 358">
          <a:extLst>
            <a:ext uri="{FF2B5EF4-FFF2-40B4-BE49-F238E27FC236}">
              <a16:creationId xmlns:a16="http://schemas.microsoft.com/office/drawing/2014/main" id="{00000000-0008-0000-0200-000067010000}"/>
            </a:ext>
          </a:extLst>
        </xdr:cNvPr>
        <xdr:cNvCxnSpPr/>
      </xdr:nvCxnSpPr>
      <xdr:spPr>
        <a:xfrm>
          <a:off x="22223186" y="11789228"/>
          <a:ext cx="1349828" cy="0"/>
        </a:xfrm>
        <a:prstGeom prst="straightConnector1">
          <a:avLst/>
        </a:prstGeom>
        <a:ln w="19050">
          <a:solidFill>
            <a:schemeClr val="accent2">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34</xdr:col>
      <xdr:colOff>379984</xdr:colOff>
      <xdr:row>58</xdr:row>
      <xdr:rowOff>104832</xdr:rowOff>
    </xdr:from>
    <xdr:ext cx="1057275" cy="419101"/>
    <xdr:sp macro="" textlink="">
      <xdr:nvSpPr>
        <xdr:cNvPr id="361" name="TextBox 360">
          <a:hlinkClick xmlns:r="http://schemas.openxmlformats.org/officeDocument/2006/relationships" r:id="rId19"/>
          <a:extLst>
            <a:ext uri="{FF2B5EF4-FFF2-40B4-BE49-F238E27FC236}">
              <a16:creationId xmlns:a16="http://schemas.microsoft.com/office/drawing/2014/main" id="{00000000-0008-0000-0200-000069010000}"/>
            </a:ext>
          </a:extLst>
        </xdr:cNvPr>
        <xdr:cNvSpPr txBox="1"/>
      </xdr:nvSpPr>
      <xdr:spPr>
        <a:xfrm>
          <a:off x="21106384" y="1168723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RTC_CLK</a:t>
          </a:r>
        </a:p>
      </xdr:txBody>
    </xdr:sp>
    <xdr:clientData/>
  </xdr:oneCellAnchor>
  <xdr:twoCellAnchor>
    <xdr:from>
      <xdr:col>35</xdr:col>
      <xdr:colOff>314739</xdr:colOff>
      <xdr:row>61</xdr:row>
      <xdr:rowOff>24854</xdr:rowOff>
    </xdr:from>
    <xdr:to>
      <xdr:col>35</xdr:col>
      <xdr:colOff>314739</xdr:colOff>
      <xdr:row>65</xdr:row>
      <xdr:rowOff>161192</xdr:rowOff>
    </xdr:to>
    <xdr:cxnSp macro="">
      <xdr:nvCxnSpPr>
        <xdr:cNvPr id="362" name="Straight Arrow Connector 361">
          <a:extLst>
            <a:ext uri="{FF2B5EF4-FFF2-40B4-BE49-F238E27FC236}">
              <a16:creationId xmlns:a16="http://schemas.microsoft.com/office/drawing/2014/main" id="{00000000-0008-0000-0200-00006A010000}"/>
            </a:ext>
          </a:extLst>
        </xdr:cNvPr>
        <xdr:cNvCxnSpPr/>
      </xdr:nvCxnSpPr>
      <xdr:spPr>
        <a:xfrm flipV="1">
          <a:off x="21599451" y="12246162"/>
          <a:ext cx="0" cy="956953"/>
        </a:xfrm>
        <a:prstGeom prst="straightConnector1">
          <a:avLst/>
        </a:prstGeom>
        <a:ln w="38100">
          <a:solidFill>
            <a:schemeClr val="tx2">
              <a:lumMod val="20000"/>
              <a:lumOff val="80000"/>
            </a:schemeClr>
          </a:solidFill>
          <a:prstDash val="sysDash"/>
          <a:headEnd type="none"/>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394666</xdr:colOff>
      <xdr:row>4</xdr:row>
      <xdr:rowOff>77442</xdr:rowOff>
    </xdr:from>
    <xdr:ext cx="1057275" cy="419101"/>
    <xdr:sp macro="" textlink="">
      <xdr:nvSpPr>
        <xdr:cNvPr id="368" name="TextBox 367">
          <a:hlinkClick xmlns:r="http://schemas.openxmlformats.org/officeDocument/2006/relationships" r:id="rId20"/>
          <a:extLst>
            <a:ext uri="{FF2B5EF4-FFF2-40B4-BE49-F238E27FC236}">
              <a16:creationId xmlns:a16="http://schemas.microsoft.com/office/drawing/2014/main" id="{00000000-0008-0000-0200-000070010000}"/>
            </a:ext>
          </a:extLst>
        </xdr:cNvPr>
        <xdr:cNvSpPr txBox="1"/>
      </xdr:nvSpPr>
      <xdr:spPr>
        <a:xfrm>
          <a:off x="8975449" y="83944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S80</a:t>
          </a:r>
        </a:p>
      </xdr:txBody>
    </xdr:sp>
    <xdr:clientData/>
  </xdr:oneCellAnchor>
  <xdr:twoCellAnchor>
    <xdr:from>
      <xdr:col>15</xdr:col>
      <xdr:colOff>282419</xdr:colOff>
      <xdr:row>7</xdr:row>
      <xdr:rowOff>30340</xdr:rowOff>
    </xdr:from>
    <xdr:to>
      <xdr:col>15</xdr:col>
      <xdr:colOff>282419</xdr:colOff>
      <xdr:row>208</xdr:row>
      <xdr:rowOff>153866</xdr:rowOff>
    </xdr:to>
    <xdr:cxnSp macro="">
      <xdr:nvCxnSpPr>
        <xdr:cNvPr id="369" name="Straight Arrow Connector 368">
          <a:extLst>
            <a:ext uri="{FF2B5EF4-FFF2-40B4-BE49-F238E27FC236}">
              <a16:creationId xmlns:a16="http://schemas.microsoft.com/office/drawing/2014/main" id="{00000000-0008-0000-0200-000071010000}"/>
            </a:ext>
          </a:extLst>
        </xdr:cNvPr>
        <xdr:cNvCxnSpPr/>
      </xdr:nvCxnSpPr>
      <xdr:spPr>
        <a:xfrm flipV="1">
          <a:off x="9404438" y="1393148"/>
          <a:ext cx="0" cy="39864756"/>
        </a:xfrm>
        <a:prstGeom prst="straightConnector1">
          <a:avLst/>
        </a:prstGeom>
        <a:ln w="38100">
          <a:solidFill>
            <a:srgbClr val="FFFF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408144</xdr:colOff>
      <xdr:row>58</xdr:row>
      <xdr:rowOff>99862</xdr:rowOff>
    </xdr:from>
    <xdr:ext cx="1057275" cy="419101"/>
    <xdr:sp macro="" textlink="">
      <xdr:nvSpPr>
        <xdr:cNvPr id="372" name="TextBox 371">
          <a:hlinkClick xmlns:r="http://schemas.openxmlformats.org/officeDocument/2006/relationships" r:id="rId21"/>
          <a:extLst>
            <a:ext uri="{FF2B5EF4-FFF2-40B4-BE49-F238E27FC236}">
              <a16:creationId xmlns:a16="http://schemas.microsoft.com/office/drawing/2014/main" id="{00000000-0008-0000-0200-000074010000}"/>
            </a:ext>
          </a:extLst>
        </xdr:cNvPr>
        <xdr:cNvSpPr txBox="1"/>
      </xdr:nvSpPr>
      <xdr:spPr>
        <a:xfrm>
          <a:off x="21860101" y="1155471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Z4a_CLK</a:t>
          </a:r>
        </a:p>
      </xdr:txBody>
    </xdr:sp>
    <xdr:clientData/>
  </xdr:oneCellAnchor>
  <xdr:twoCellAnchor>
    <xdr:from>
      <xdr:col>36</xdr:col>
      <xdr:colOff>299316</xdr:colOff>
      <xdr:row>61</xdr:row>
      <xdr:rowOff>20570</xdr:rowOff>
    </xdr:from>
    <xdr:to>
      <xdr:col>36</xdr:col>
      <xdr:colOff>299316</xdr:colOff>
      <xdr:row>65</xdr:row>
      <xdr:rowOff>6569</xdr:rowOff>
    </xdr:to>
    <xdr:cxnSp macro="">
      <xdr:nvCxnSpPr>
        <xdr:cNvPr id="374" name="Straight Arrow Connector 373">
          <a:extLst>
            <a:ext uri="{FF2B5EF4-FFF2-40B4-BE49-F238E27FC236}">
              <a16:creationId xmlns:a16="http://schemas.microsoft.com/office/drawing/2014/main" id="{00000000-0008-0000-0200-000076010000}"/>
            </a:ext>
          </a:extLst>
        </xdr:cNvPr>
        <xdr:cNvCxnSpPr/>
      </xdr:nvCxnSpPr>
      <xdr:spPr>
        <a:xfrm flipV="1">
          <a:off x="22292213" y="12146880"/>
          <a:ext cx="0" cy="800551"/>
        </a:xfrm>
        <a:prstGeom prst="straightConnector1">
          <a:avLst/>
        </a:prstGeom>
        <a:ln w="38100">
          <a:solidFill>
            <a:srgbClr val="C0F8F8"/>
          </a:solidFill>
          <a:prstDash val="sysDash"/>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280926</xdr:colOff>
      <xdr:row>64</xdr:row>
      <xdr:rowOff>199248</xdr:rowOff>
    </xdr:from>
    <xdr:to>
      <xdr:col>38</xdr:col>
      <xdr:colOff>387569</xdr:colOff>
      <xdr:row>64</xdr:row>
      <xdr:rowOff>199248</xdr:rowOff>
    </xdr:to>
    <xdr:cxnSp macro="">
      <xdr:nvCxnSpPr>
        <xdr:cNvPr id="377" name="Straight Arrow Connector 376">
          <a:extLst>
            <a:ext uri="{FF2B5EF4-FFF2-40B4-BE49-F238E27FC236}">
              <a16:creationId xmlns:a16="http://schemas.microsoft.com/office/drawing/2014/main" id="{00000000-0008-0000-0200-000079010000}"/>
            </a:ext>
          </a:extLst>
        </xdr:cNvPr>
        <xdr:cNvCxnSpPr/>
      </xdr:nvCxnSpPr>
      <xdr:spPr>
        <a:xfrm flipH="1">
          <a:off x="22273823" y="12929903"/>
          <a:ext cx="1328470" cy="0"/>
        </a:xfrm>
        <a:prstGeom prst="straightConnector1">
          <a:avLst/>
        </a:prstGeom>
        <a:ln w="38100">
          <a:solidFill>
            <a:srgbClr val="C0F8F8"/>
          </a:solidFill>
          <a:prstDash val="sysDash"/>
          <a:headEnd type="arrow"/>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399290</xdr:colOff>
      <xdr:row>58</xdr:row>
      <xdr:rowOff>124709</xdr:rowOff>
    </xdr:from>
    <xdr:ext cx="1057275" cy="419101"/>
    <xdr:sp macro="" textlink="">
      <xdr:nvSpPr>
        <xdr:cNvPr id="382" name="TextBox 381">
          <a:hlinkClick xmlns:r="http://schemas.openxmlformats.org/officeDocument/2006/relationships" r:id="rId22"/>
          <a:extLst>
            <a:ext uri="{FF2B5EF4-FFF2-40B4-BE49-F238E27FC236}">
              <a16:creationId xmlns:a16="http://schemas.microsoft.com/office/drawing/2014/main" id="{00000000-0008-0000-0200-00007E010000}"/>
            </a:ext>
          </a:extLst>
        </xdr:cNvPr>
        <xdr:cNvSpPr txBox="1"/>
      </xdr:nvSpPr>
      <xdr:spPr>
        <a:xfrm>
          <a:off x="22392187" y="1162039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Z4b_CLK</a:t>
          </a:r>
        </a:p>
      </xdr:txBody>
    </xdr:sp>
    <xdr:clientData/>
  </xdr:oneCellAnchor>
  <xdr:twoCellAnchor>
    <xdr:from>
      <xdr:col>37</xdr:col>
      <xdr:colOff>274355</xdr:colOff>
      <xdr:row>61</xdr:row>
      <xdr:rowOff>28454</xdr:rowOff>
    </xdr:from>
    <xdr:to>
      <xdr:col>37</xdr:col>
      <xdr:colOff>274355</xdr:colOff>
      <xdr:row>63</xdr:row>
      <xdr:rowOff>6569</xdr:rowOff>
    </xdr:to>
    <xdr:cxnSp macro="">
      <xdr:nvCxnSpPr>
        <xdr:cNvPr id="386" name="Straight Arrow Connector 385">
          <a:extLst>
            <a:ext uri="{FF2B5EF4-FFF2-40B4-BE49-F238E27FC236}">
              <a16:creationId xmlns:a16="http://schemas.microsoft.com/office/drawing/2014/main" id="{00000000-0008-0000-0200-000082010000}"/>
            </a:ext>
          </a:extLst>
        </xdr:cNvPr>
        <xdr:cNvCxnSpPr/>
      </xdr:nvCxnSpPr>
      <xdr:spPr>
        <a:xfrm flipV="1">
          <a:off x="22878165" y="12154764"/>
          <a:ext cx="0" cy="385391"/>
        </a:xfrm>
        <a:prstGeom prst="straightConnector1">
          <a:avLst/>
        </a:prstGeom>
        <a:ln w="38100">
          <a:solidFill>
            <a:schemeClr val="accent3">
              <a:lumMod val="50000"/>
            </a:schemeClr>
          </a:solidFill>
          <a:prstDash val="sysDash"/>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288810</xdr:colOff>
      <xdr:row>62</xdr:row>
      <xdr:rowOff>187424</xdr:rowOff>
    </xdr:from>
    <xdr:to>
      <xdr:col>38</xdr:col>
      <xdr:colOff>387569</xdr:colOff>
      <xdr:row>62</xdr:row>
      <xdr:rowOff>187424</xdr:rowOff>
    </xdr:to>
    <xdr:cxnSp macro="">
      <xdr:nvCxnSpPr>
        <xdr:cNvPr id="387" name="Straight Arrow Connector 386">
          <a:extLst>
            <a:ext uri="{FF2B5EF4-FFF2-40B4-BE49-F238E27FC236}">
              <a16:creationId xmlns:a16="http://schemas.microsoft.com/office/drawing/2014/main" id="{00000000-0008-0000-0200-000083010000}"/>
            </a:ext>
          </a:extLst>
        </xdr:cNvPr>
        <xdr:cNvCxnSpPr/>
      </xdr:nvCxnSpPr>
      <xdr:spPr>
        <a:xfrm flipH="1">
          <a:off x="22892620" y="12523941"/>
          <a:ext cx="709673" cy="0"/>
        </a:xfrm>
        <a:prstGeom prst="straightConnector1">
          <a:avLst/>
        </a:prstGeom>
        <a:ln w="38100">
          <a:solidFill>
            <a:schemeClr val="accent3">
              <a:lumMod val="50000"/>
            </a:schemeClr>
          </a:solidFill>
          <a:prstDash val="sysDash"/>
          <a:headEnd type="arrow"/>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379583</xdr:colOff>
      <xdr:row>65</xdr:row>
      <xdr:rowOff>72158</xdr:rowOff>
    </xdr:from>
    <xdr:ext cx="1057275" cy="419101"/>
    <xdr:sp macro="" textlink="">
      <xdr:nvSpPr>
        <xdr:cNvPr id="389" name="TextBox 388">
          <a:hlinkClick xmlns:r="http://schemas.openxmlformats.org/officeDocument/2006/relationships" r:id="rId23"/>
          <a:extLst>
            <a:ext uri="{FF2B5EF4-FFF2-40B4-BE49-F238E27FC236}">
              <a16:creationId xmlns:a16="http://schemas.microsoft.com/office/drawing/2014/main" id="{00000000-0008-0000-0200-000085010000}"/>
            </a:ext>
          </a:extLst>
        </xdr:cNvPr>
        <xdr:cNvSpPr txBox="1"/>
      </xdr:nvSpPr>
      <xdr:spPr>
        <a:xfrm>
          <a:off x="21761566" y="1301302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HSM</a:t>
          </a:r>
          <a:r>
            <a:rPr lang="en-US" sz="1000" b="1" baseline="0"/>
            <a:t>_</a:t>
          </a:r>
          <a:r>
            <a:rPr lang="en-US" sz="1000" b="1"/>
            <a:t>CORE_CLK</a:t>
          </a:r>
        </a:p>
      </xdr:txBody>
    </xdr:sp>
    <xdr:clientData/>
  </xdr:oneCellAnchor>
  <xdr:twoCellAnchor>
    <xdr:from>
      <xdr:col>37</xdr:col>
      <xdr:colOff>21021</xdr:colOff>
      <xdr:row>67</xdr:row>
      <xdr:rowOff>108905</xdr:rowOff>
    </xdr:from>
    <xdr:to>
      <xdr:col>38</xdr:col>
      <xdr:colOff>374431</xdr:colOff>
      <xdr:row>67</xdr:row>
      <xdr:rowOff>108905</xdr:rowOff>
    </xdr:to>
    <xdr:cxnSp macro="">
      <xdr:nvCxnSpPr>
        <xdr:cNvPr id="392" name="Straight Arrow Connector 391">
          <a:extLst>
            <a:ext uri="{FF2B5EF4-FFF2-40B4-BE49-F238E27FC236}">
              <a16:creationId xmlns:a16="http://schemas.microsoft.com/office/drawing/2014/main" id="{00000000-0008-0000-0200-000088010000}"/>
            </a:ext>
          </a:extLst>
        </xdr:cNvPr>
        <xdr:cNvCxnSpPr/>
      </xdr:nvCxnSpPr>
      <xdr:spPr>
        <a:xfrm>
          <a:off x="22624831" y="13443905"/>
          <a:ext cx="9643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341361</xdr:colOff>
      <xdr:row>65</xdr:row>
      <xdr:rowOff>141441</xdr:rowOff>
    </xdr:from>
    <xdr:to>
      <xdr:col>38</xdr:col>
      <xdr:colOff>400707</xdr:colOff>
      <xdr:row>65</xdr:row>
      <xdr:rowOff>141441</xdr:rowOff>
    </xdr:to>
    <xdr:cxnSp macro="">
      <xdr:nvCxnSpPr>
        <xdr:cNvPr id="413" name="Straight Arrow Connector 412">
          <a:extLst>
            <a:ext uri="{FF2B5EF4-FFF2-40B4-BE49-F238E27FC236}">
              <a16:creationId xmlns:a16="http://schemas.microsoft.com/office/drawing/2014/main" id="{00000000-0008-0000-0200-00009D010000}"/>
            </a:ext>
          </a:extLst>
        </xdr:cNvPr>
        <xdr:cNvCxnSpPr/>
      </xdr:nvCxnSpPr>
      <xdr:spPr>
        <a:xfrm flipH="1">
          <a:off x="21723344" y="13082303"/>
          <a:ext cx="1892087" cy="0"/>
        </a:xfrm>
        <a:prstGeom prst="straightConnector1">
          <a:avLst/>
        </a:prstGeom>
        <a:ln w="38100">
          <a:solidFill>
            <a:schemeClr val="tx2">
              <a:lumMod val="20000"/>
              <a:lumOff val="80000"/>
            </a:schemeClr>
          </a:solidFill>
          <a:prstDash val="sysDash"/>
          <a:headEnd type="arrow"/>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359621</xdr:colOff>
      <xdr:row>112</xdr:row>
      <xdr:rowOff>163756</xdr:rowOff>
    </xdr:from>
    <xdr:to>
      <xdr:col>37</xdr:col>
      <xdr:colOff>180495</xdr:colOff>
      <xdr:row>116</xdr:row>
      <xdr:rowOff>181416</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21695621" y="22173833"/>
          <a:ext cx="1040074" cy="814829"/>
          <a:chOff x="21612277" y="22624897"/>
          <a:chExt cx="1035312" cy="779660"/>
        </a:xfrm>
      </xdr:grpSpPr>
      <xdr:sp macro="" textlink="">
        <xdr:nvSpPr>
          <xdr:cNvPr id="378" name="Rectangle 377">
            <a:extLst>
              <a:ext uri="{FF2B5EF4-FFF2-40B4-BE49-F238E27FC236}">
                <a16:creationId xmlns:a16="http://schemas.microsoft.com/office/drawing/2014/main" id="{00000000-0008-0000-0200-00007A01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DMA</a:t>
            </a:r>
          </a:p>
        </xdr:txBody>
      </xdr:sp>
      <xdr:sp macro="" textlink="">
        <xdr:nvSpPr>
          <xdr:cNvPr id="379" name="TextBox 378">
            <a:extLst>
              <a:ext uri="{FF2B5EF4-FFF2-40B4-BE49-F238E27FC236}">
                <a16:creationId xmlns:a16="http://schemas.microsoft.com/office/drawing/2014/main" id="{00000000-0008-0000-0200-00007B01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sp macro="" textlink="">
        <xdr:nvSpPr>
          <xdr:cNvPr id="380" name="TextBox 379">
            <a:extLst>
              <a:ext uri="{FF2B5EF4-FFF2-40B4-BE49-F238E27FC236}">
                <a16:creationId xmlns:a16="http://schemas.microsoft.com/office/drawing/2014/main" id="{00000000-0008-0000-0200-00007C01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Memory CLK</a:t>
            </a:r>
          </a:p>
        </xdr:txBody>
      </xdr:sp>
    </xdr:grpSp>
    <xdr:clientData/>
  </xdr:twoCellAnchor>
  <xdr:twoCellAnchor>
    <xdr:from>
      <xdr:col>12</xdr:col>
      <xdr:colOff>300404</xdr:colOff>
      <xdr:row>113</xdr:row>
      <xdr:rowOff>66025</xdr:rowOff>
    </xdr:from>
    <xdr:to>
      <xdr:col>35</xdr:col>
      <xdr:colOff>365585</xdr:colOff>
      <xdr:row>113</xdr:row>
      <xdr:rowOff>66025</xdr:rowOff>
    </xdr:to>
    <xdr:cxnSp macro="">
      <xdr:nvCxnSpPr>
        <xdr:cNvPr id="381" name="Straight Arrow Connector 380">
          <a:extLst>
            <a:ext uri="{FF2B5EF4-FFF2-40B4-BE49-F238E27FC236}">
              <a16:creationId xmlns:a16="http://schemas.microsoft.com/office/drawing/2014/main" id="{00000000-0008-0000-0200-00007D010000}"/>
            </a:ext>
          </a:extLst>
        </xdr:cNvPr>
        <xdr:cNvCxnSpPr>
          <a:endCxn id="379" idx="1"/>
        </xdr:cNvCxnSpPr>
      </xdr:nvCxnSpPr>
      <xdr:spPr>
        <a:xfrm>
          <a:off x="7598019" y="22801467"/>
          <a:ext cx="14052278"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483219</xdr:colOff>
      <xdr:row>116</xdr:row>
      <xdr:rowOff>88647</xdr:rowOff>
    </xdr:from>
    <xdr:to>
      <xdr:col>35</xdr:col>
      <xdr:colOff>359621</xdr:colOff>
      <xdr:row>116</xdr:row>
      <xdr:rowOff>88647</xdr:rowOff>
    </xdr:to>
    <xdr:cxnSp macro="">
      <xdr:nvCxnSpPr>
        <xdr:cNvPr id="383" name="Straight Arrow Connector 382">
          <a:extLst>
            <a:ext uri="{FF2B5EF4-FFF2-40B4-BE49-F238E27FC236}">
              <a16:creationId xmlns:a16="http://schemas.microsoft.com/office/drawing/2014/main" id="{00000000-0008-0000-0200-00007F010000}"/>
            </a:ext>
          </a:extLst>
        </xdr:cNvPr>
        <xdr:cNvCxnSpPr>
          <a:endCxn id="380" idx="1"/>
        </xdr:cNvCxnSpPr>
      </xdr:nvCxnSpPr>
      <xdr:spPr>
        <a:xfrm>
          <a:off x="21178024" y="23283184"/>
          <a:ext cx="485073"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483577</xdr:colOff>
      <xdr:row>113</xdr:row>
      <xdr:rowOff>65942</xdr:rowOff>
    </xdr:from>
    <xdr:to>
      <xdr:col>34</xdr:col>
      <xdr:colOff>483578</xdr:colOff>
      <xdr:row>116</xdr:row>
      <xdr:rowOff>102577</xdr:rowOff>
    </xdr:to>
    <xdr:cxnSp macro="">
      <xdr:nvCxnSpPr>
        <xdr:cNvPr id="388" name="Straight Arrow Connector 387">
          <a:extLst>
            <a:ext uri="{FF2B5EF4-FFF2-40B4-BE49-F238E27FC236}">
              <a16:creationId xmlns:a16="http://schemas.microsoft.com/office/drawing/2014/main" id="{00000000-0008-0000-0200-000084010000}"/>
            </a:ext>
          </a:extLst>
        </xdr:cNvPr>
        <xdr:cNvCxnSpPr/>
      </xdr:nvCxnSpPr>
      <xdr:spPr>
        <a:xfrm flipV="1">
          <a:off x="21160154" y="22801384"/>
          <a:ext cx="1" cy="608135"/>
        </a:xfrm>
        <a:prstGeom prst="straightConnector1">
          <a:avLst/>
        </a:prstGeom>
        <a:ln w="19050">
          <a:solidFill>
            <a:schemeClr val="accent6">
              <a:lumMod val="5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298165</xdr:colOff>
      <xdr:row>120</xdr:row>
      <xdr:rowOff>15697</xdr:rowOff>
    </xdr:from>
    <xdr:to>
      <xdr:col>34</xdr:col>
      <xdr:colOff>499241</xdr:colOff>
      <xdr:row>120</xdr:row>
      <xdr:rowOff>15697</xdr:rowOff>
    </xdr:to>
    <xdr:cxnSp macro="">
      <xdr:nvCxnSpPr>
        <xdr:cNvPr id="425" name="Straight Arrow Connector 424">
          <a:extLst>
            <a:ext uri="{FF2B5EF4-FFF2-40B4-BE49-F238E27FC236}">
              <a16:creationId xmlns:a16="http://schemas.microsoft.com/office/drawing/2014/main" id="{00000000-0008-0000-0200-0000A9010000}"/>
            </a:ext>
          </a:extLst>
        </xdr:cNvPr>
        <xdr:cNvCxnSpPr/>
      </xdr:nvCxnSpPr>
      <xdr:spPr>
        <a:xfrm>
          <a:off x="14349182" y="24754421"/>
          <a:ext cx="6921128"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39414</xdr:colOff>
      <xdr:row>125</xdr:row>
      <xdr:rowOff>165477</xdr:rowOff>
    </xdr:from>
    <xdr:to>
      <xdr:col>39</xdr:col>
      <xdr:colOff>413367</xdr:colOff>
      <xdr:row>125</xdr:row>
      <xdr:rowOff>178957</xdr:rowOff>
    </xdr:to>
    <xdr:cxnSp macro="">
      <xdr:nvCxnSpPr>
        <xdr:cNvPr id="426" name="Straight Arrow Connector 425">
          <a:extLst>
            <a:ext uri="{FF2B5EF4-FFF2-40B4-BE49-F238E27FC236}">
              <a16:creationId xmlns:a16="http://schemas.microsoft.com/office/drawing/2014/main" id="{00000000-0008-0000-0200-0000AA010000}"/>
            </a:ext>
          </a:extLst>
        </xdr:cNvPr>
        <xdr:cNvCxnSpPr>
          <a:endCxn id="421" idx="1"/>
        </xdr:cNvCxnSpPr>
      </xdr:nvCxnSpPr>
      <xdr:spPr>
        <a:xfrm>
          <a:off x="23254138" y="25928960"/>
          <a:ext cx="984867" cy="1348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35811</xdr:colOff>
      <xdr:row>120</xdr:row>
      <xdr:rowOff>6569</xdr:rowOff>
    </xdr:from>
    <xdr:to>
      <xdr:col>38</xdr:col>
      <xdr:colOff>35811</xdr:colOff>
      <xdr:row>125</xdr:row>
      <xdr:rowOff>177362</xdr:rowOff>
    </xdr:to>
    <xdr:cxnSp macro="">
      <xdr:nvCxnSpPr>
        <xdr:cNvPr id="427" name="Straight Arrow Connector 426">
          <a:extLst>
            <a:ext uri="{FF2B5EF4-FFF2-40B4-BE49-F238E27FC236}">
              <a16:creationId xmlns:a16="http://schemas.microsoft.com/office/drawing/2014/main" id="{00000000-0008-0000-0200-0000AB010000}"/>
            </a:ext>
          </a:extLst>
        </xdr:cNvPr>
        <xdr:cNvCxnSpPr/>
      </xdr:nvCxnSpPr>
      <xdr:spPr>
        <a:xfrm flipV="1">
          <a:off x="23250535" y="24745293"/>
          <a:ext cx="0" cy="119555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297650</xdr:colOff>
      <xdr:row>132</xdr:row>
      <xdr:rowOff>86955</xdr:rowOff>
    </xdr:from>
    <xdr:to>
      <xdr:col>35</xdr:col>
      <xdr:colOff>538655</xdr:colOff>
      <xdr:row>132</xdr:row>
      <xdr:rowOff>86955</xdr:rowOff>
    </xdr:to>
    <xdr:cxnSp macro="">
      <xdr:nvCxnSpPr>
        <xdr:cNvPr id="428" name="Straight Arrow Connector 427">
          <a:extLst>
            <a:ext uri="{FF2B5EF4-FFF2-40B4-BE49-F238E27FC236}">
              <a16:creationId xmlns:a16="http://schemas.microsoft.com/office/drawing/2014/main" id="{00000000-0008-0000-0200-0000AC010000}"/>
            </a:ext>
          </a:extLst>
        </xdr:cNvPr>
        <xdr:cNvCxnSpPr/>
      </xdr:nvCxnSpPr>
      <xdr:spPr>
        <a:xfrm>
          <a:off x="8850443" y="27321886"/>
          <a:ext cx="13070195" cy="0"/>
        </a:xfrm>
        <a:prstGeom prst="straightConnector1">
          <a:avLst/>
        </a:prstGeom>
        <a:ln w="19050">
          <a:solidFill>
            <a:schemeClr val="accent6">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276301</xdr:colOff>
      <xdr:row>125</xdr:row>
      <xdr:rowOff>72164</xdr:rowOff>
    </xdr:from>
    <xdr:to>
      <xdr:col>42</xdr:col>
      <xdr:colOff>587029</xdr:colOff>
      <xdr:row>125</xdr:row>
      <xdr:rowOff>75180</xdr:rowOff>
    </xdr:to>
    <xdr:cxnSp macro="">
      <xdr:nvCxnSpPr>
        <xdr:cNvPr id="430" name="Straight Arrow Connector 429">
          <a:extLst>
            <a:ext uri="{FF2B5EF4-FFF2-40B4-BE49-F238E27FC236}">
              <a16:creationId xmlns:a16="http://schemas.microsoft.com/office/drawing/2014/main" id="{00000000-0008-0000-0200-0000AE010000}"/>
            </a:ext>
          </a:extLst>
        </xdr:cNvPr>
        <xdr:cNvCxnSpPr>
          <a:endCxn id="429" idx="3"/>
        </xdr:cNvCxnSpPr>
      </xdr:nvCxnSpPr>
      <xdr:spPr>
        <a:xfrm flipH="1">
          <a:off x="25405736" y="24953121"/>
          <a:ext cx="923641" cy="3016"/>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409072</xdr:colOff>
      <xdr:row>124</xdr:row>
      <xdr:rowOff>114783</xdr:rowOff>
    </xdr:from>
    <xdr:ext cx="1057275" cy="419101"/>
    <xdr:sp macro="" textlink="">
      <xdr:nvSpPr>
        <xdr:cNvPr id="431" name="TextBox 430">
          <a:extLst>
            <a:ext uri="{FF2B5EF4-FFF2-40B4-BE49-F238E27FC236}">
              <a16:creationId xmlns:a16="http://schemas.microsoft.com/office/drawing/2014/main" id="{00000000-0008-0000-0200-0000AF010000}"/>
            </a:ext>
          </a:extLst>
        </xdr:cNvPr>
        <xdr:cNvSpPr txBox="1"/>
      </xdr:nvSpPr>
      <xdr:spPr>
        <a:xfrm>
          <a:off x="26764333" y="2478867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ULPI Clock</a:t>
          </a:r>
        </a:p>
      </xdr:txBody>
    </xdr:sp>
    <xdr:clientData/>
  </xdr:oneCellAnchor>
  <xdr:twoCellAnchor>
    <xdr:from>
      <xdr:col>46</xdr:col>
      <xdr:colOff>374326</xdr:colOff>
      <xdr:row>134</xdr:row>
      <xdr:rowOff>154373</xdr:rowOff>
    </xdr:from>
    <xdr:to>
      <xdr:col>48</xdr:col>
      <xdr:colOff>206536</xdr:colOff>
      <xdr:row>138</xdr:row>
      <xdr:rowOff>203665</xdr:rowOff>
    </xdr:to>
    <xdr:grpSp>
      <xdr:nvGrpSpPr>
        <xdr:cNvPr id="451" name="Group 450">
          <a:extLst>
            <a:ext uri="{FF2B5EF4-FFF2-40B4-BE49-F238E27FC236}">
              <a16:creationId xmlns:a16="http://schemas.microsoft.com/office/drawing/2014/main" id="{00000000-0008-0000-0200-0000C3010000}"/>
            </a:ext>
          </a:extLst>
        </xdr:cNvPr>
        <xdr:cNvGrpSpPr/>
      </xdr:nvGrpSpPr>
      <xdr:grpSpPr>
        <a:xfrm>
          <a:off x="28415926" y="26525435"/>
          <a:ext cx="1051410" cy="838841"/>
          <a:chOff x="21770914" y="23947083"/>
          <a:chExt cx="1054118" cy="785015"/>
        </a:xfrm>
      </xdr:grpSpPr>
      <xdr:grpSp>
        <xdr:nvGrpSpPr>
          <xdr:cNvPr id="452" name="Group 451">
            <a:extLst>
              <a:ext uri="{FF2B5EF4-FFF2-40B4-BE49-F238E27FC236}">
                <a16:creationId xmlns:a16="http://schemas.microsoft.com/office/drawing/2014/main" id="{00000000-0008-0000-0200-0000C4010000}"/>
              </a:ext>
            </a:extLst>
          </xdr:cNvPr>
          <xdr:cNvGrpSpPr/>
        </xdr:nvGrpSpPr>
        <xdr:grpSpPr>
          <a:xfrm>
            <a:off x="21782331" y="23964432"/>
            <a:ext cx="1042701" cy="767666"/>
            <a:chOff x="21612277" y="22624897"/>
            <a:chExt cx="1035312" cy="767666"/>
          </a:xfrm>
        </xdr:grpSpPr>
        <xdr:sp macro="" textlink="">
          <xdr:nvSpPr>
            <xdr:cNvPr id="454" name="Rectangle 453">
              <a:extLst>
                <a:ext uri="{FF2B5EF4-FFF2-40B4-BE49-F238E27FC236}">
                  <a16:creationId xmlns:a16="http://schemas.microsoft.com/office/drawing/2014/main" id="{00000000-0008-0000-0200-0000C601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FLASH</a:t>
              </a:r>
            </a:p>
          </xdr:txBody>
        </xdr:sp>
        <xdr:sp macro="" textlink="">
          <xdr:nvSpPr>
            <xdr:cNvPr id="455" name="TextBox 454">
              <a:extLst>
                <a:ext uri="{FF2B5EF4-FFF2-40B4-BE49-F238E27FC236}">
                  <a16:creationId xmlns:a16="http://schemas.microsoft.com/office/drawing/2014/main" id="{00000000-0008-0000-0200-0000C7010000}"/>
                </a:ext>
              </a:extLst>
            </xdr:cNvPr>
            <xdr:cNvSpPr txBox="1"/>
          </xdr:nvSpPr>
          <xdr:spPr>
            <a:xfrm>
              <a:off x="21612277" y="23153356"/>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453" name="TextBox 452">
            <a:extLst>
              <a:ext uri="{FF2B5EF4-FFF2-40B4-BE49-F238E27FC236}">
                <a16:creationId xmlns:a16="http://schemas.microsoft.com/office/drawing/2014/main" id="{00000000-0008-0000-0200-0000C501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39</xdr:col>
      <xdr:colOff>406800</xdr:colOff>
      <xdr:row>124</xdr:row>
      <xdr:rowOff>159814</xdr:rowOff>
    </xdr:from>
    <xdr:to>
      <xdr:col>41</xdr:col>
      <xdr:colOff>276301</xdr:colOff>
      <xdr:row>128</xdr:row>
      <xdr:rowOff>184043</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24181200" y="24543814"/>
          <a:ext cx="1088701" cy="815537"/>
          <a:chOff x="21833912" y="24833705"/>
          <a:chExt cx="1095327" cy="827642"/>
        </a:xfrm>
      </xdr:grpSpPr>
      <xdr:grpSp>
        <xdr:nvGrpSpPr>
          <xdr:cNvPr id="104" name="Group 103">
            <a:extLst>
              <a:ext uri="{FF2B5EF4-FFF2-40B4-BE49-F238E27FC236}">
                <a16:creationId xmlns:a16="http://schemas.microsoft.com/office/drawing/2014/main" id="{00000000-0008-0000-0200-000068000000}"/>
              </a:ext>
            </a:extLst>
          </xdr:cNvPr>
          <xdr:cNvGrpSpPr/>
        </xdr:nvGrpSpPr>
        <xdr:grpSpPr>
          <a:xfrm>
            <a:off x="21833912" y="24833705"/>
            <a:ext cx="1095327" cy="827642"/>
            <a:chOff x="21634611" y="24990298"/>
            <a:chExt cx="1083939" cy="815995"/>
          </a:xfrm>
        </xdr:grpSpPr>
        <xdr:grpSp>
          <xdr:nvGrpSpPr>
            <xdr:cNvPr id="417" name="Group 416">
              <a:extLst>
                <a:ext uri="{FF2B5EF4-FFF2-40B4-BE49-F238E27FC236}">
                  <a16:creationId xmlns:a16="http://schemas.microsoft.com/office/drawing/2014/main" id="{00000000-0008-0000-0200-0000A1010000}"/>
                </a:ext>
              </a:extLst>
            </xdr:cNvPr>
            <xdr:cNvGrpSpPr/>
          </xdr:nvGrpSpPr>
          <xdr:grpSpPr>
            <a:xfrm>
              <a:off x="21634611" y="24990298"/>
              <a:ext cx="1035312" cy="815995"/>
              <a:chOff x="21782331" y="23964432"/>
              <a:chExt cx="1042701" cy="779660"/>
            </a:xfrm>
          </xdr:grpSpPr>
          <xdr:grpSp>
            <xdr:nvGrpSpPr>
              <xdr:cNvPr id="418" name="Group 417">
                <a:extLst>
                  <a:ext uri="{FF2B5EF4-FFF2-40B4-BE49-F238E27FC236}">
                    <a16:creationId xmlns:a16="http://schemas.microsoft.com/office/drawing/2014/main" id="{00000000-0008-0000-0200-0000A2010000}"/>
                  </a:ext>
                </a:extLst>
              </xdr:cNvPr>
              <xdr:cNvGrpSpPr/>
            </xdr:nvGrpSpPr>
            <xdr:grpSpPr>
              <a:xfrm>
                <a:off x="21782331" y="23964432"/>
                <a:ext cx="1042701" cy="779660"/>
                <a:chOff x="21612277" y="22624897"/>
                <a:chExt cx="1035312" cy="779660"/>
              </a:xfrm>
            </xdr:grpSpPr>
            <xdr:sp macro="" textlink="">
              <xdr:nvSpPr>
                <xdr:cNvPr id="422" name="Rectangle 421">
                  <a:extLst>
                    <a:ext uri="{FF2B5EF4-FFF2-40B4-BE49-F238E27FC236}">
                      <a16:creationId xmlns:a16="http://schemas.microsoft.com/office/drawing/2014/main" id="{00000000-0008-0000-0200-0000A601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USB</a:t>
                  </a:r>
                </a:p>
              </xdr:txBody>
            </xdr:sp>
            <xdr:sp macro="" textlink="">
              <xdr:nvSpPr>
                <xdr:cNvPr id="423" name="TextBox 422">
                  <a:extLst>
                    <a:ext uri="{FF2B5EF4-FFF2-40B4-BE49-F238E27FC236}">
                      <a16:creationId xmlns:a16="http://schemas.microsoft.com/office/drawing/2014/main" id="{00000000-0008-0000-0200-0000A701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sp macro="" textlink="">
              <xdr:nvSpPr>
                <xdr:cNvPr id="424" name="TextBox 423">
                  <a:extLst>
                    <a:ext uri="{FF2B5EF4-FFF2-40B4-BE49-F238E27FC236}">
                      <a16:creationId xmlns:a16="http://schemas.microsoft.com/office/drawing/2014/main" id="{00000000-0008-0000-0200-0000A801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Memory CLK</a:t>
                  </a:r>
                </a:p>
              </xdr:txBody>
            </xdr:sp>
          </xdr:grpSp>
          <xdr:sp macro="" textlink="">
            <xdr:nvSpPr>
              <xdr:cNvPr id="421" name="TextBox 420">
                <a:extLst>
                  <a:ext uri="{FF2B5EF4-FFF2-40B4-BE49-F238E27FC236}">
                    <a16:creationId xmlns:a16="http://schemas.microsoft.com/office/drawing/2014/main" id="{00000000-0008-0000-0200-0000A5010000}"/>
                  </a:ext>
                </a:extLst>
              </xdr:cNvPr>
              <xdr:cNvSpPr txBox="1"/>
            </xdr:nvSpPr>
            <xdr:spPr>
              <a:xfrm>
                <a:off x="21788900" y="24069536"/>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sp macro="" textlink="">
          <xdr:nvSpPr>
            <xdr:cNvPr id="429" name="TextBox 428">
              <a:extLst>
                <a:ext uri="{FF2B5EF4-FFF2-40B4-BE49-F238E27FC236}">
                  <a16:creationId xmlns:a16="http://schemas.microsoft.com/office/drawing/2014/main" id="{00000000-0008-0000-0200-0000AD010000}"/>
                </a:ext>
              </a:extLst>
            </xdr:cNvPr>
            <xdr:cNvSpPr txBox="1"/>
          </xdr:nvSpPr>
          <xdr:spPr>
            <a:xfrm>
              <a:off x="21989253" y="25009309"/>
              <a:ext cx="729297" cy="203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CLK</a:t>
              </a:r>
            </a:p>
          </xdr:txBody>
        </xdr:sp>
      </xdr:grpSp>
      <xdr:sp macro="" textlink="">
        <xdr:nvSpPr>
          <xdr:cNvPr id="432" name="TextBox 431">
            <a:extLst>
              <a:ext uri="{FF2B5EF4-FFF2-40B4-BE49-F238E27FC236}">
                <a16:creationId xmlns:a16="http://schemas.microsoft.com/office/drawing/2014/main" id="{00000000-0008-0000-0200-0000B0010000}"/>
              </a:ext>
            </a:extLst>
          </xdr:cNvPr>
          <xdr:cNvSpPr txBox="1"/>
        </xdr:nvSpPr>
        <xdr:spPr>
          <a:xfrm>
            <a:off x="21835740" y="25052204"/>
            <a:ext cx="735802" cy="1911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19</xdr:col>
      <xdr:colOff>321879</xdr:colOff>
      <xdr:row>125</xdr:row>
      <xdr:rowOff>155307</xdr:rowOff>
    </xdr:from>
    <xdr:to>
      <xdr:col>33</xdr:col>
      <xdr:colOff>538655</xdr:colOff>
      <xdr:row>125</xdr:row>
      <xdr:rowOff>155307</xdr:rowOff>
    </xdr:to>
    <xdr:cxnSp macro="">
      <xdr:nvCxnSpPr>
        <xdr:cNvPr id="433" name="Straight Arrow Connector 432">
          <a:extLst>
            <a:ext uri="{FF2B5EF4-FFF2-40B4-BE49-F238E27FC236}">
              <a16:creationId xmlns:a16="http://schemas.microsoft.com/office/drawing/2014/main" id="{00000000-0008-0000-0200-0000B1010000}"/>
            </a:ext>
          </a:extLst>
        </xdr:cNvPr>
        <xdr:cNvCxnSpPr/>
      </xdr:nvCxnSpPr>
      <xdr:spPr>
        <a:xfrm>
          <a:off x="11929241" y="25918790"/>
          <a:ext cx="8769569"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305206</xdr:colOff>
      <xdr:row>129</xdr:row>
      <xdr:rowOff>132571</xdr:rowOff>
    </xdr:from>
    <xdr:to>
      <xdr:col>33</xdr:col>
      <xdr:colOff>558362</xdr:colOff>
      <xdr:row>129</xdr:row>
      <xdr:rowOff>132571</xdr:rowOff>
    </xdr:to>
    <xdr:cxnSp macro="">
      <xdr:nvCxnSpPr>
        <xdr:cNvPr id="435" name="Straight Arrow Connector 434">
          <a:extLst>
            <a:ext uri="{FF2B5EF4-FFF2-40B4-BE49-F238E27FC236}">
              <a16:creationId xmlns:a16="http://schemas.microsoft.com/office/drawing/2014/main" id="{00000000-0008-0000-0200-0000B3010000}"/>
            </a:ext>
          </a:extLst>
        </xdr:cNvPr>
        <xdr:cNvCxnSpPr/>
      </xdr:nvCxnSpPr>
      <xdr:spPr>
        <a:xfrm>
          <a:off x="16799878" y="26736881"/>
          <a:ext cx="3918639"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295604</xdr:colOff>
      <xdr:row>135</xdr:row>
      <xdr:rowOff>57082</xdr:rowOff>
    </xdr:from>
    <xdr:to>
      <xdr:col>36</xdr:col>
      <xdr:colOff>394137</xdr:colOff>
      <xdr:row>135</xdr:row>
      <xdr:rowOff>57082</xdr:rowOff>
    </xdr:to>
    <xdr:cxnSp macro="">
      <xdr:nvCxnSpPr>
        <xdr:cNvPr id="446" name="Straight Arrow Connector 445">
          <a:extLst>
            <a:ext uri="{FF2B5EF4-FFF2-40B4-BE49-F238E27FC236}">
              <a16:creationId xmlns:a16="http://schemas.microsoft.com/office/drawing/2014/main" id="{00000000-0008-0000-0200-0000BE010000}"/>
            </a:ext>
          </a:extLst>
        </xdr:cNvPr>
        <xdr:cNvCxnSpPr/>
      </xdr:nvCxnSpPr>
      <xdr:spPr>
        <a:xfrm>
          <a:off x="14346621" y="27909496"/>
          <a:ext cx="804041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308742</xdr:colOff>
      <xdr:row>138</xdr:row>
      <xdr:rowOff>115786</xdr:rowOff>
    </xdr:from>
    <xdr:to>
      <xdr:col>36</xdr:col>
      <xdr:colOff>420413</xdr:colOff>
      <xdr:row>138</xdr:row>
      <xdr:rowOff>115786</xdr:rowOff>
    </xdr:to>
    <xdr:cxnSp macro="">
      <xdr:nvCxnSpPr>
        <xdr:cNvPr id="456" name="Straight Arrow Connector 455">
          <a:extLst>
            <a:ext uri="{FF2B5EF4-FFF2-40B4-BE49-F238E27FC236}">
              <a16:creationId xmlns:a16="http://schemas.microsoft.com/office/drawing/2014/main" id="{00000000-0008-0000-0200-0000C8010000}"/>
            </a:ext>
          </a:extLst>
        </xdr:cNvPr>
        <xdr:cNvCxnSpPr/>
      </xdr:nvCxnSpPr>
      <xdr:spPr>
        <a:xfrm>
          <a:off x="20468897" y="28565976"/>
          <a:ext cx="1944413"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378943</xdr:colOff>
      <xdr:row>142</xdr:row>
      <xdr:rowOff>167420</xdr:rowOff>
    </xdr:from>
    <xdr:to>
      <xdr:col>4</xdr:col>
      <xdr:colOff>211123</xdr:colOff>
      <xdr:row>146</xdr:row>
      <xdr:rowOff>176750</xdr:rowOff>
    </xdr:to>
    <xdr:grpSp>
      <xdr:nvGrpSpPr>
        <xdr:cNvPr id="457" name="Group 456">
          <a:extLst>
            <a:ext uri="{FF2B5EF4-FFF2-40B4-BE49-F238E27FC236}">
              <a16:creationId xmlns:a16="http://schemas.microsoft.com/office/drawing/2014/main" id="{00000000-0008-0000-0200-0000C9010000}"/>
            </a:ext>
          </a:extLst>
        </xdr:cNvPr>
        <xdr:cNvGrpSpPr/>
      </xdr:nvGrpSpPr>
      <xdr:grpSpPr>
        <a:xfrm>
          <a:off x="1598143" y="28126958"/>
          <a:ext cx="1051380" cy="800638"/>
          <a:chOff x="1604006" y="26098866"/>
          <a:chExt cx="1048449" cy="771330"/>
        </a:xfrm>
      </xdr:grpSpPr>
      <xdr:sp macro="" textlink="">
        <xdr:nvSpPr>
          <xdr:cNvPr id="458" name="Rectangle 457">
            <a:extLst>
              <a:ext uri="{FF2B5EF4-FFF2-40B4-BE49-F238E27FC236}">
                <a16:creationId xmlns:a16="http://schemas.microsoft.com/office/drawing/2014/main" id="{00000000-0008-0000-0200-0000CA01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MC_ME</a:t>
            </a:r>
            <a:endParaRPr lang="en-US" sz="1100"/>
          </a:p>
        </xdr:txBody>
      </xdr:sp>
      <xdr:sp macro="" textlink="">
        <xdr:nvSpPr>
          <xdr:cNvPr id="459" name="TextBox 458">
            <a:extLst>
              <a:ext uri="{FF2B5EF4-FFF2-40B4-BE49-F238E27FC236}">
                <a16:creationId xmlns:a16="http://schemas.microsoft.com/office/drawing/2014/main" id="{00000000-0008-0000-0200-0000CB01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sp macro="" textlink="">
        <xdr:nvSpPr>
          <xdr:cNvPr id="460" name="TextBox 459">
            <a:extLst>
              <a:ext uri="{FF2B5EF4-FFF2-40B4-BE49-F238E27FC236}">
                <a16:creationId xmlns:a16="http://schemas.microsoft.com/office/drawing/2014/main" id="{00000000-0008-0000-0200-0000CC010000}"/>
              </a:ext>
            </a:extLst>
          </xdr:cNvPr>
          <xdr:cNvSpPr txBox="1"/>
        </xdr:nvSpPr>
        <xdr:spPr>
          <a:xfrm>
            <a:off x="1932250" y="26676228"/>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4</xdr:col>
      <xdr:colOff>179295</xdr:colOff>
      <xdr:row>143</xdr:row>
      <xdr:rowOff>67236</xdr:rowOff>
    </xdr:from>
    <xdr:to>
      <xdr:col>23</xdr:col>
      <xdr:colOff>315058</xdr:colOff>
      <xdr:row>143</xdr:row>
      <xdr:rowOff>67236</xdr:rowOff>
    </xdr:to>
    <xdr:cxnSp macro="">
      <xdr:nvCxnSpPr>
        <xdr:cNvPr id="461" name="Straight Arrow Connector 460">
          <a:extLst>
            <a:ext uri="{FF2B5EF4-FFF2-40B4-BE49-F238E27FC236}">
              <a16:creationId xmlns:a16="http://schemas.microsoft.com/office/drawing/2014/main" id="{00000000-0008-0000-0200-0000CD010000}"/>
            </a:ext>
          </a:extLst>
        </xdr:cNvPr>
        <xdr:cNvCxnSpPr/>
      </xdr:nvCxnSpPr>
      <xdr:spPr>
        <a:xfrm flipH="1">
          <a:off x="2611833" y="28788774"/>
          <a:ext cx="11690321"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211123</xdr:colOff>
      <xdr:row>146</xdr:row>
      <xdr:rowOff>74172</xdr:rowOff>
    </xdr:from>
    <xdr:to>
      <xdr:col>6</xdr:col>
      <xdr:colOff>117230</xdr:colOff>
      <xdr:row>146</xdr:row>
      <xdr:rowOff>74172</xdr:rowOff>
    </xdr:to>
    <xdr:cxnSp macro="">
      <xdr:nvCxnSpPr>
        <xdr:cNvPr id="462" name="Straight Arrow Connector 461">
          <a:extLst>
            <a:ext uri="{FF2B5EF4-FFF2-40B4-BE49-F238E27FC236}">
              <a16:creationId xmlns:a16="http://schemas.microsoft.com/office/drawing/2014/main" id="{00000000-0008-0000-0200-0000CE010000}"/>
            </a:ext>
          </a:extLst>
        </xdr:cNvPr>
        <xdr:cNvCxnSpPr>
          <a:endCxn id="460" idx="3"/>
        </xdr:cNvCxnSpPr>
      </xdr:nvCxnSpPr>
      <xdr:spPr>
        <a:xfrm flipH="1">
          <a:off x="2643661" y="29367210"/>
          <a:ext cx="1122377"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124557</xdr:colOff>
      <xdr:row>143</xdr:row>
      <xdr:rowOff>73270</xdr:rowOff>
    </xdr:from>
    <xdr:to>
      <xdr:col>6</xdr:col>
      <xdr:colOff>124557</xdr:colOff>
      <xdr:row>146</xdr:row>
      <xdr:rowOff>93416</xdr:rowOff>
    </xdr:to>
    <xdr:cxnSp macro="">
      <xdr:nvCxnSpPr>
        <xdr:cNvPr id="463" name="Straight Arrow Connector 462">
          <a:extLst>
            <a:ext uri="{FF2B5EF4-FFF2-40B4-BE49-F238E27FC236}">
              <a16:creationId xmlns:a16="http://schemas.microsoft.com/office/drawing/2014/main" id="{00000000-0008-0000-0200-0000CF010000}"/>
            </a:ext>
          </a:extLst>
        </xdr:cNvPr>
        <xdr:cNvCxnSpPr/>
      </xdr:nvCxnSpPr>
      <xdr:spPr>
        <a:xfrm flipV="1">
          <a:off x="3773365" y="28794808"/>
          <a:ext cx="0" cy="591646"/>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373533</xdr:colOff>
      <xdr:row>158</xdr:row>
      <xdr:rowOff>168589</xdr:rowOff>
    </xdr:from>
    <xdr:to>
      <xdr:col>4</xdr:col>
      <xdr:colOff>205713</xdr:colOff>
      <xdr:row>162</xdr:row>
      <xdr:rowOff>177919</xdr:rowOff>
    </xdr:to>
    <xdr:grpSp>
      <xdr:nvGrpSpPr>
        <xdr:cNvPr id="476" name="Group 475">
          <a:extLst>
            <a:ext uri="{FF2B5EF4-FFF2-40B4-BE49-F238E27FC236}">
              <a16:creationId xmlns:a16="http://schemas.microsoft.com/office/drawing/2014/main" id="{00000000-0008-0000-0200-0000DC010000}"/>
            </a:ext>
          </a:extLst>
        </xdr:cNvPr>
        <xdr:cNvGrpSpPr/>
      </xdr:nvGrpSpPr>
      <xdr:grpSpPr>
        <a:xfrm>
          <a:off x="1592733" y="31199574"/>
          <a:ext cx="1051380" cy="736160"/>
          <a:chOff x="1604006" y="26098866"/>
          <a:chExt cx="1048449" cy="771330"/>
        </a:xfrm>
      </xdr:grpSpPr>
      <xdr:sp macro="" textlink="">
        <xdr:nvSpPr>
          <xdr:cNvPr id="477" name="Rectangle 476">
            <a:extLst>
              <a:ext uri="{FF2B5EF4-FFF2-40B4-BE49-F238E27FC236}">
                <a16:creationId xmlns:a16="http://schemas.microsoft.com/office/drawing/2014/main" id="{00000000-0008-0000-0200-0000DD01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MC_CGM</a:t>
            </a:r>
            <a:endParaRPr lang="en-US" sz="1100"/>
          </a:p>
        </xdr:txBody>
      </xdr:sp>
      <xdr:sp macro="" textlink="">
        <xdr:nvSpPr>
          <xdr:cNvPr id="479" name="TextBox 478">
            <a:extLst>
              <a:ext uri="{FF2B5EF4-FFF2-40B4-BE49-F238E27FC236}">
                <a16:creationId xmlns:a16="http://schemas.microsoft.com/office/drawing/2014/main" id="{00000000-0008-0000-0200-0000DF010000}"/>
              </a:ext>
            </a:extLst>
          </xdr:cNvPr>
          <xdr:cNvSpPr txBox="1"/>
        </xdr:nvSpPr>
        <xdr:spPr>
          <a:xfrm>
            <a:off x="1932250" y="26676228"/>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4</xdr:col>
      <xdr:colOff>205713</xdr:colOff>
      <xdr:row>162</xdr:row>
      <xdr:rowOff>72810</xdr:rowOff>
    </xdr:from>
    <xdr:to>
      <xdr:col>25</xdr:col>
      <xdr:colOff>306965</xdr:colOff>
      <xdr:row>162</xdr:row>
      <xdr:rowOff>75341</xdr:rowOff>
    </xdr:to>
    <xdr:cxnSp macro="">
      <xdr:nvCxnSpPr>
        <xdr:cNvPr id="481" name="Straight Arrow Connector 480">
          <a:extLst>
            <a:ext uri="{FF2B5EF4-FFF2-40B4-BE49-F238E27FC236}">
              <a16:creationId xmlns:a16="http://schemas.microsoft.com/office/drawing/2014/main" id="{00000000-0008-0000-0200-0000E1010000}"/>
            </a:ext>
          </a:extLst>
        </xdr:cNvPr>
        <xdr:cNvCxnSpPr>
          <a:endCxn id="479" idx="3"/>
        </xdr:cNvCxnSpPr>
      </xdr:nvCxnSpPr>
      <xdr:spPr>
        <a:xfrm flipH="1">
          <a:off x="2649368" y="32260741"/>
          <a:ext cx="12930442" cy="2531"/>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346697</xdr:colOff>
      <xdr:row>154</xdr:row>
      <xdr:rowOff>100511</xdr:rowOff>
    </xdr:from>
    <xdr:to>
      <xdr:col>37</xdr:col>
      <xdr:colOff>178908</xdr:colOff>
      <xdr:row>158</xdr:row>
      <xdr:rowOff>189278</xdr:rowOff>
    </xdr:to>
    <xdr:grpSp>
      <xdr:nvGrpSpPr>
        <xdr:cNvPr id="517" name="Group 516">
          <a:extLst>
            <a:ext uri="{FF2B5EF4-FFF2-40B4-BE49-F238E27FC236}">
              <a16:creationId xmlns:a16="http://schemas.microsoft.com/office/drawing/2014/main" id="{00000000-0008-0000-0200-000005020000}"/>
            </a:ext>
          </a:extLst>
        </xdr:cNvPr>
        <xdr:cNvGrpSpPr/>
      </xdr:nvGrpSpPr>
      <xdr:grpSpPr>
        <a:xfrm>
          <a:off x="21682697" y="30404665"/>
          <a:ext cx="1051411" cy="807978"/>
          <a:chOff x="21770914" y="23947083"/>
          <a:chExt cx="1054118" cy="797009"/>
        </a:xfrm>
      </xdr:grpSpPr>
      <xdr:grpSp>
        <xdr:nvGrpSpPr>
          <xdr:cNvPr id="518" name="Group 517">
            <a:extLst>
              <a:ext uri="{FF2B5EF4-FFF2-40B4-BE49-F238E27FC236}">
                <a16:creationId xmlns:a16="http://schemas.microsoft.com/office/drawing/2014/main" id="{00000000-0008-0000-0200-000006020000}"/>
              </a:ext>
            </a:extLst>
          </xdr:cNvPr>
          <xdr:cNvGrpSpPr/>
        </xdr:nvGrpSpPr>
        <xdr:grpSpPr>
          <a:xfrm>
            <a:off x="21782331" y="23964432"/>
            <a:ext cx="1042701" cy="779660"/>
            <a:chOff x="21612277" y="22624897"/>
            <a:chExt cx="1035312" cy="779660"/>
          </a:xfrm>
        </xdr:grpSpPr>
        <xdr:sp macro="" textlink="">
          <xdr:nvSpPr>
            <xdr:cNvPr id="520" name="Rectangle 519">
              <a:extLst>
                <a:ext uri="{FF2B5EF4-FFF2-40B4-BE49-F238E27FC236}">
                  <a16:creationId xmlns:a16="http://schemas.microsoft.com/office/drawing/2014/main" id="{00000000-0008-0000-0200-00000802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PLLDIG</a:t>
              </a:r>
            </a:p>
          </xdr:txBody>
        </xdr:sp>
        <xdr:sp macro="" textlink="">
          <xdr:nvSpPr>
            <xdr:cNvPr id="521" name="TextBox 520">
              <a:extLst>
                <a:ext uri="{FF2B5EF4-FFF2-40B4-BE49-F238E27FC236}">
                  <a16:creationId xmlns:a16="http://schemas.microsoft.com/office/drawing/2014/main" id="{00000000-0008-0000-0200-00000902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519" name="TextBox 518">
            <a:extLst>
              <a:ext uri="{FF2B5EF4-FFF2-40B4-BE49-F238E27FC236}">
                <a16:creationId xmlns:a16="http://schemas.microsoft.com/office/drawing/2014/main" id="{00000000-0008-0000-0200-00000702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23</xdr:col>
      <xdr:colOff>302006</xdr:colOff>
      <xdr:row>155</xdr:row>
      <xdr:rowOff>9037</xdr:rowOff>
    </xdr:from>
    <xdr:to>
      <xdr:col>35</xdr:col>
      <xdr:colOff>346697</xdr:colOff>
      <xdr:row>155</xdr:row>
      <xdr:rowOff>17283</xdr:rowOff>
    </xdr:to>
    <xdr:cxnSp macro="">
      <xdr:nvCxnSpPr>
        <xdr:cNvPr id="522" name="Straight Arrow Connector 521">
          <a:extLst>
            <a:ext uri="{FF2B5EF4-FFF2-40B4-BE49-F238E27FC236}">
              <a16:creationId xmlns:a16="http://schemas.microsoft.com/office/drawing/2014/main" id="{00000000-0008-0000-0200-00000A020000}"/>
            </a:ext>
          </a:extLst>
        </xdr:cNvPr>
        <xdr:cNvCxnSpPr>
          <a:endCxn id="519" idx="1"/>
        </xdr:cNvCxnSpPr>
      </xdr:nvCxnSpPr>
      <xdr:spPr>
        <a:xfrm flipV="1">
          <a:off x="14353023" y="30863468"/>
          <a:ext cx="7375657" cy="8246"/>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299542</xdr:colOff>
      <xdr:row>158</xdr:row>
      <xdr:rowOff>90252</xdr:rowOff>
    </xdr:from>
    <xdr:to>
      <xdr:col>35</xdr:col>
      <xdr:colOff>358113</xdr:colOff>
      <xdr:row>158</xdr:row>
      <xdr:rowOff>90252</xdr:rowOff>
    </xdr:to>
    <xdr:cxnSp macro="">
      <xdr:nvCxnSpPr>
        <xdr:cNvPr id="523" name="Straight Arrow Connector 522">
          <a:extLst>
            <a:ext uri="{FF2B5EF4-FFF2-40B4-BE49-F238E27FC236}">
              <a16:creationId xmlns:a16="http://schemas.microsoft.com/office/drawing/2014/main" id="{00000000-0008-0000-0200-00000B020000}"/>
            </a:ext>
          </a:extLst>
        </xdr:cNvPr>
        <xdr:cNvCxnSpPr>
          <a:endCxn id="521" idx="1"/>
        </xdr:cNvCxnSpPr>
      </xdr:nvCxnSpPr>
      <xdr:spPr>
        <a:xfrm>
          <a:off x="21070611" y="31516183"/>
          <a:ext cx="669485"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305578</xdr:colOff>
      <xdr:row>155</xdr:row>
      <xdr:rowOff>23262</xdr:rowOff>
    </xdr:from>
    <xdr:to>
      <xdr:col>34</xdr:col>
      <xdr:colOff>305578</xdr:colOff>
      <xdr:row>158</xdr:row>
      <xdr:rowOff>94698</xdr:rowOff>
    </xdr:to>
    <xdr:cxnSp macro="">
      <xdr:nvCxnSpPr>
        <xdr:cNvPr id="524" name="Straight Arrow Connector 523">
          <a:extLst>
            <a:ext uri="{FF2B5EF4-FFF2-40B4-BE49-F238E27FC236}">
              <a16:creationId xmlns:a16="http://schemas.microsoft.com/office/drawing/2014/main" id="{00000000-0008-0000-0200-00000C020000}"/>
            </a:ext>
          </a:extLst>
        </xdr:cNvPr>
        <xdr:cNvCxnSpPr/>
      </xdr:nvCxnSpPr>
      <xdr:spPr>
        <a:xfrm flipV="1">
          <a:off x="21076647" y="30877693"/>
          <a:ext cx="0" cy="642936"/>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342754</xdr:colOff>
      <xdr:row>162</xdr:row>
      <xdr:rowOff>96576</xdr:rowOff>
    </xdr:from>
    <xdr:to>
      <xdr:col>37</xdr:col>
      <xdr:colOff>174965</xdr:colOff>
      <xdr:row>166</xdr:row>
      <xdr:rowOff>185343</xdr:rowOff>
    </xdr:to>
    <xdr:grpSp>
      <xdr:nvGrpSpPr>
        <xdr:cNvPr id="533" name="Group 532">
          <a:extLst>
            <a:ext uri="{FF2B5EF4-FFF2-40B4-BE49-F238E27FC236}">
              <a16:creationId xmlns:a16="http://schemas.microsoft.com/office/drawing/2014/main" id="{00000000-0008-0000-0200-000015020000}"/>
            </a:ext>
          </a:extLst>
        </xdr:cNvPr>
        <xdr:cNvGrpSpPr/>
      </xdr:nvGrpSpPr>
      <xdr:grpSpPr>
        <a:xfrm>
          <a:off x="21678754" y="31854391"/>
          <a:ext cx="1051411" cy="815598"/>
          <a:chOff x="21770914" y="23947083"/>
          <a:chExt cx="1054118" cy="797009"/>
        </a:xfrm>
      </xdr:grpSpPr>
      <xdr:grpSp>
        <xdr:nvGrpSpPr>
          <xdr:cNvPr id="534" name="Group 533">
            <a:extLst>
              <a:ext uri="{FF2B5EF4-FFF2-40B4-BE49-F238E27FC236}">
                <a16:creationId xmlns:a16="http://schemas.microsoft.com/office/drawing/2014/main" id="{00000000-0008-0000-0200-000016020000}"/>
              </a:ext>
            </a:extLst>
          </xdr:cNvPr>
          <xdr:cNvGrpSpPr/>
        </xdr:nvGrpSpPr>
        <xdr:grpSpPr>
          <a:xfrm>
            <a:off x="21782331" y="23964432"/>
            <a:ext cx="1042701" cy="779660"/>
            <a:chOff x="21612277" y="22624897"/>
            <a:chExt cx="1035312" cy="779660"/>
          </a:xfrm>
        </xdr:grpSpPr>
        <xdr:sp macro="" textlink="">
          <xdr:nvSpPr>
            <xdr:cNvPr id="536" name="Rectangle 535">
              <a:extLst>
                <a:ext uri="{FF2B5EF4-FFF2-40B4-BE49-F238E27FC236}">
                  <a16:creationId xmlns:a16="http://schemas.microsoft.com/office/drawing/2014/main" id="{00000000-0008-0000-0200-00001802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PASS</a:t>
              </a:r>
            </a:p>
          </xdr:txBody>
        </xdr:sp>
        <xdr:sp macro="" textlink="">
          <xdr:nvSpPr>
            <xdr:cNvPr id="537" name="TextBox 536">
              <a:extLst>
                <a:ext uri="{FF2B5EF4-FFF2-40B4-BE49-F238E27FC236}">
                  <a16:creationId xmlns:a16="http://schemas.microsoft.com/office/drawing/2014/main" id="{00000000-0008-0000-0200-00001902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535" name="TextBox 534">
            <a:extLst>
              <a:ext uri="{FF2B5EF4-FFF2-40B4-BE49-F238E27FC236}">
                <a16:creationId xmlns:a16="http://schemas.microsoft.com/office/drawing/2014/main" id="{00000000-0008-0000-0200-00001702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23</xdr:col>
      <xdr:colOff>298063</xdr:colOff>
      <xdr:row>163</xdr:row>
      <xdr:rowOff>5102</xdr:rowOff>
    </xdr:from>
    <xdr:to>
      <xdr:col>35</xdr:col>
      <xdr:colOff>342754</xdr:colOff>
      <xdr:row>163</xdr:row>
      <xdr:rowOff>13348</xdr:rowOff>
    </xdr:to>
    <xdr:cxnSp macro="">
      <xdr:nvCxnSpPr>
        <xdr:cNvPr id="538" name="Straight Arrow Connector 537">
          <a:extLst>
            <a:ext uri="{FF2B5EF4-FFF2-40B4-BE49-F238E27FC236}">
              <a16:creationId xmlns:a16="http://schemas.microsoft.com/office/drawing/2014/main" id="{00000000-0008-0000-0200-00001A020000}"/>
            </a:ext>
          </a:extLst>
        </xdr:cNvPr>
        <xdr:cNvCxnSpPr>
          <a:endCxn id="535" idx="1"/>
        </xdr:cNvCxnSpPr>
      </xdr:nvCxnSpPr>
      <xdr:spPr>
        <a:xfrm flipV="1">
          <a:off x="14349080" y="33434568"/>
          <a:ext cx="7375657" cy="8246"/>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295599</xdr:colOff>
      <xdr:row>166</xdr:row>
      <xdr:rowOff>86317</xdr:rowOff>
    </xdr:from>
    <xdr:to>
      <xdr:col>35</xdr:col>
      <xdr:colOff>354170</xdr:colOff>
      <xdr:row>166</xdr:row>
      <xdr:rowOff>86317</xdr:rowOff>
    </xdr:to>
    <xdr:cxnSp macro="">
      <xdr:nvCxnSpPr>
        <xdr:cNvPr id="539" name="Straight Arrow Connector 538">
          <a:extLst>
            <a:ext uri="{FF2B5EF4-FFF2-40B4-BE49-F238E27FC236}">
              <a16:creationId xmlns:a16="http://schemas.microsoft.com/office/drawing/2014/main" id="{00000000-0008-0000-0200-00001B020000}"/>
            </a:ext>
          </a:extLst>
        </xdr:cNvPr>
        <xdr:cNvCxnSpPr>
          <a:endCxn id="537" idx="1"/>
        </xdr:cNvCxnSpPr>
      </xdr:nvCxnSpPr>
      <xdr:spPr>
        <a:xfrm>
          <a:off x="21066668" y="34087283"/>
          <a:ext cx="669485"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301635</xdr:colOff>
      <xdr:row>163</xdr:row>
      <xdr:rowOff>19327</xdr:rowOff>
    </xdr:from>
    <xdr:to>
      <xdr:col>34</xdr:col>
      <xdr:colOff>301635</xdr:colOff>
      <xdr:row>166</xdr:row>
      <xdr:rowOff>90763</xdr:rowOff>
    </xdr:to>
    <xdr:cxnSp macro="">
      <xdr:nvCxnSpPr>
        <xdr:cNvPr id="540" name="Straight Arrow Connector 539">
          <a:extLst>
            <a:ext uri="{FF2B5EF4-FFF2-40B4-BE49-F238E27FC236}">
              <a16:creationId xmlns:a16="http://schemas.microsoft.com/office/drawing/2014/main" id="{00000000-0008-0000-0200-00001C020000}"/>
            </a:ext>
          </a:extLst>
        </xdr:cNvPr>
        <xdr:cNvCxnSpPr/>
      </xdr:nvCxnSpPr>
      <xdr:spPr>
        <a:xfrm flipV="1">
          <a:off x="21072704" y="33448793"/>
          <a:ext cx="0" cy="642936"/>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369591</xdr:colOff>
      <xdr:row>168</xdr:row>
      <xdr:rowOff>171225</xdr:rowOff>
    </xdr:from>
    <xdr:to>
      <xdr:col>4</xdr:col>
      <xdr:colOff>166416</xdr:colOff>
      <xdr:row>172</xdr:row>
      <xdr:rowOff>180555</xdr:rowOff>
    </xdr:to>
    <xdr:grpSp>
      <xdr:nvGrpSpPr>
        <xdr:cNvPr id="541" name="Group 540">
          <a:extLst>
            <a:ext uri="{FF2B5EF4-FFF2-40B4-BE49-F238E27FC236}">
              <a16:creationId xmlns:a16="http://schemas.microsoft.com/office/drawing/2014/main" id="{00000000-0008-0000-0200-00001D020000}"/>
            </a:ext>
          </a:extLst>
        </xdr:cNvPr>
        <xdr:cNvGrpSpPr/>
      </xdr:nvGrpSpPr>
      <xdr:grpSpPr>
        <a:xfrm>
          <a:off x="1588791" y="33019287"/>
          <a:ext cx="1016025" cy="788914"/>
          <a:chOff x="1604006" y="26098866"/>
          <a:chExt cx="1013280" cy="771330"/>
        </a:xfrm>
      </xdr:grpSpPr>
      <xdr:sp macro="" textlink="">
        <xdr:nvSpPr>
          <xdr:cNvPr id="542" name="Rectangle 541">
            <a:extLst>
              <a:ext uri="{FF2B5EF4-FFF2-40B4-BE49-F238E27FC236}">
                <a16:creationId xmlns:a16="http://schemas.microsoft.com/office/drawing/2014/main" id="{00000000-0008-0000-0200-00001E02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STCU</a:t>
            </a:r>
            <a:endParaRPr lang="en-US" sz="1100"/>
          </a:p>
        </xdr:txBody>
      </xdr:sp>
      <xdr:sp macro="" textlink="">
        <xdr:nvSpPr>
          <xdr:cNvPr id="543" name="TextBox 542">
            <a:extLst>
              <a:ext uri="{FF2B5EF4-FFF2-40B4-BE49-F238E27FC236}">
                <a16:creationId xmlns:a16="http://schemas.microsoft.com/office/drawing/2014/main" id="{00000000-0008-0000-0200-00001F02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166416</xdr:colOff>
      <xdr:row>169</xdr:row>
      <xdr:rowOff>79442</xdr:rowOff>
    </xdr:from>
    <xdr:to>
      <xdr:col>23</xdr:col>
      <xdr:colOff>302173</xdr:colOff>
      <xdr:row>169</xdr:row>
      <xdr:rowOff>79442</xdr:rowOff>
    </xdr:to>
    <xdr:cxnSp macro="">
      <xdr:nvCxnSpPr>
        <xdr:cNvPr id="545" name="Straight Arrow Connector 544">
          <a:extLst>
            <a:ext uri="{FF2B5EF4-FFF2-40B4-BE49-F238E27FC236}">
              <a16:creationId xmlns:a16="http://schemas.microsoft.com/office/drawing/2014/main" id="{00000000-0008-0000-0200-000021020000}"/>
            </a:ext>
          </a:extLst>
        </xdr:cNvPr>
        <xdr:cNvCxnSpPr>
          <a:endCxn id="543" idx="3"/>
        </xdr:cNvCxnSpPr>
      </xdr:nvCxnSpPr>
      <xdr:spPr>
        <a:xfrm flipH="1">
          <a:off x="2610071" y="33600873"/>
          <a:ext cx="11743119"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372217</xdr:colOff>
      <xdr:row>175</xdr:row>
      <xdr:rowOff>28075</xdr:rowOff>
    </xdr:from>
    <xdr:to>
      <xdr:col>4</xdr:col>
      <xdr:colOff>169042</xdr:colOff>
      <xdr:row>179</xdr:row>
      <xdr:rowOff>37405</xdr:rowOff>
    </xdr:to>
    <xdr:grpSp>
      <xdr:nvGrpSpPr>
        <xdr:cNvPr id="552" name="Group 551">
          <a:extLst>
            <a:ext uri="{FF2B5EF4-FFF2-40B4-BE49-F238E27FC236}">
              <a16:creationId xmlns:a16="http://schemas.microsoft.com/office/drawing/2014/main" id="{00000000-0008-0000-0200-000028020000}"/>
            </a:ext>
          </a:extLst>
        </xdr:cNvPr>
        <xdr:cNvGrpSpPr/>
      </xdr:nvGrpSpPr>
      <xdr:grpSpPr>
        <a:xfrm>
          <a:off x="1591417" y="34241875"/>
          <a:ext cx="1016025" cy="800638"/>
          <a:chOff x="1604006" y="26098866"/>
          <a:chExt cx="1013280" cy="771330"/>
        </a:xfrm>
      </xdr:grpSpPr>
      <xdr:sp macro="" textlink="">
        <xdr:nvSpPr>
          <xdr:cNvPr id="553" name="Rectangle 552">
            <a:extLst>
              <a:ext uri="{FF2B5EF4-FFF2-40B4-BE49-F238E27FC236}">
                <a16:creationId xmlns:a16="http://schemas.microsoft.com/office/drawing/2014/main" id="{00000000-0008-0000-0200-00002902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TDM</a:t>
            </a:r>
            <a:endParaRPr lang="en-US" sz="1100"/>
          </a:p>
        </xdr:txBody>
      </xdr:sp>
      <xdr:sp macro="" textlink="">
        <xdr:nvSpPr>
          <xdr:cNvPr id="554" name="TextBox 553">
            <a:extLst>
              <a:ext uri="{FF2B5EF4-FFF2-40B4-BE49-F238E27FC236}">
                <a16:creationId xmlns:a16="http://schemas.microsoft.com/office/drawing/2014/main" id="{00000000-0008-0000-0200-00002A02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9</xdr:col>
      <xdr:colOff>19707</xdr:colOff>
      <xdr:row>175</xdr:row>
      <xdr:rowOff>126792</xdr:rowOff>
    </xdr:from>
    <xdr:to>
      <xdr:col>23</xdr:col>
      <xdr:colOff>304800</xdr:colOff>
      <xdr:row>175</xdr:row>
      <xdr:rowOff>126792</xdr:rowOff>
    </xdr:to>
    <xdr:cxnSp macro="">
      <xdr:nvCxnSpPr>
        <xdr:cNvPr id="555" name="Straight Arrow Connector 554">
          <a:extLst>
            <a:ext uri="{FF2B5EF4-FFF2-40B4-BE49-F238E27FC236}">
              <a16:creationId xmlns:a16="http://schemas.microsoft.com/office/drawing/2014/main" id="{00000000-0008-0000-0200-00002B020000}"/>
            </a:ext>
          </a:extLst>
        </xdr:cNvPr>
        <xdr:cNvCxnSpPr/>
      </xdr:nvCxnSpPr>
      <xdr:spPr>
        <a:xfrm flipH="1">
          <a:off x="5517931" y="35599206"/>
          <a:ext cx="8837886"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373530</xdr:colOff>
      <xdr:row>181</xdr:row>
      <xdr:rowOff>139298</xdr:rowOff>
    </xdr:from>
    <xdr:to>
      <xdr:col>4</xdr:col>
      <xdr:colOff>170355</xdr:colOff>
      <xdr:row>185</xdr:row>
      <xdr:rowOff>148628</xdr:rowOff>
    </xdr:to>
    <xdr:grpSp>
      <xdr:nvGrpSpPr>
        <xdr:cNvPr id="556" name="Group 555">
          <a:extLst>
            <a:ext uri="{FF2B5EF4-FFF2-40B4-BE49-F238E27FC236}">
              <a16:creationId xmlns:a16="http://schemas.microsoft.com/office/drawing/2014/main" id="{00000000-0008-0000-0200-00002C020000}"/>
            </a:ext>
          </a:extLst>
        </xdr:cNvPr>
        <xdr:cNvGrpSpPr/>
      </xdr:nvGrpSpPr>
      <xdr:grpSpPr>
        <a:xfrm>
          <a:off x="1592730" y="35507821"/>
          <a:ext cx="1016025" cy="765469"/>
          <a:chOff x="1604006" y="26098866"/>
          <a:chExt cx="1013280" cy="771330"/>
        </a:xfrm>
      </xdr:grpSpPr>
      <xdr:sp macro="" textlink="">
        <xdr:nvSpPr>
          <xdr:cNvPr id="557" name="Rectangle 556">
            <a:extLst>
              <a:ext uri="{FF2B5EF4-FFF2-40B4-BE49-F238E27FC236}">
                <a16:creationId xmlns:a16="http://schemas.microsoft.com/office/drawing/2014/main" id="{00000000-0008-0000-0200-00002D02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FCCU</a:t>
            </a:r>
            <a:endParaRPr lang="en-US" sz="1100"/>
          </a:p>
        </xdr:txBody>
      </xdr:sp>
      <xdr:sp macro="" textlink="">
        <xdr:nvSpPr>
          <xdr:cNvPr id="558" name="TextBox 557">
            <a:extLst>
              <a:ext uri="{FF2B5EF4-FFF2-40B4-BE49-F238E27FC236}">
                <a16:creationId xmlns:a16="http://schemas.microsoft.com/office/drawing/2014/main" id="{00000000-0008-0000-0200-00002E02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4</xdr:col>
      <xdr:colOff>170355</xdr:colOff>
      <xdr:row>182</xdr:row>
      <xdr:rowOff>47515</xdr:rowOff>
    </xdr:from>
    <xdr:to>
      <xdr:col>23</xdr:col>
      <xdr:colOff>306112</xdr:colOff>
      <xdr:row>182</xdr:row>
      <xdr:rowOff>47515</xdr:rowOff>
    </xdr:to>
    <xdr:cxnSp macro="">
      <xdr:nvCxnSpPr>
        <xdr:cNvPr id="559" name="Straight Arrow Connector 558">
          <a:extLst>
            <a:ext uri="{FF2B5EF4-FFF2-40B4-BE49-F238E27FC236}">
              <a16:creationId xmlns:a16="http://schemas.microsoft.com/office/drawing/2014/main" id="{00000000-0008-0000-0200-00002F020000}"/>
            </a:ext>
          </a:extLst>
        </xdr:cNvPr>
        <xdr:cNvCxnSpPr>
          <a:endCxn id="558" idx="3"/>
        </xdr:cNvCxnSpPr>
      </xdr:nvCxnSpPr>
      <xdr:spPr>
        <a:xfrm flipH="1">
          <a:off x="2602893" y="36059342"/>
          <a:ext cx="11690315"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47</xdr:col>
      <xdr:colOff>142112</xdr:colOff>
      <xdr:row>16</xdr:row>
      <xdr:rowOff>115401</xdr:rowOff>
    </xdr:from>
    <xdr:to>
      <xdr:col>48</xdr:col>
      <xdr:colOff>541015</xdr:colOff>
      <xdr:row>20</xdr:row>
      <xdr:rowOff>71244</xdr:rowOff>
    </xdr:to>
    <xdr:grpSp>
      <xdr:nvGrpSpPr>
        <xdr:cNvPr id="568" name="Group 567">
          <a:extLst>
            <a:ext uri="{FF2B5EF4-FFF2-40B4-BE49-F238E27FC236}">
              <a16:creationId xmlns:a16="http://schemas.microsoft.com/office/drawing/2014/main" id="{00000000-0008-0000-0200-000038020000}"/>
            </a:ext>
          </a:extLst>
        </xdr:cNvPr>
        <xdr:cNvGrpSpPr/>
      </xdr:nvGrpSpPr>
      <xdr:grpSpPr>
        <a:xfrm>
          <a:off x="28793312" y="3210293"/>
          <a:ext cx="1008503" cy="753013"/>
          <a:chOff x="24227669" y="3012059"/>
          <a:chExt cx="1009817" cy="766024"/>
        </a:xfrm>
      </xdr:grpSpPr>
      <xdr:sp macro="" textlink="">
        <xdr:nvSpPr>
          <xdr:cNvPr id="385" name="Rectangle 384">
            <a:extLst>
              <a:ext uri="{FF2B5EF4-FFF2-40B4-BE49-F238E27FC236}">
                <a16:creationId xmlns:a16="http://schemas.microsoft.com/office/drawing/2014/main" id="{00000000-0008-0000-0200-000081010000}"/>
              </a:ext>
            </a:extLst>
          </xdr:cNvPr>
          <xdr:cNvSpPr/>
        </xdr:nvSpPr>
        <xdr:spPr>
          <a:xfrm>
            <a:off x="24231693" y="3012059"/>
            <a:ext cx="1005793" cy="766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p>
        </xdr:txBody>
      </xdr:sp>
      <xdr:sp macro="" textlink="">
        <xdr:nvSpPr>
          <xdr:cNvPr id="567" name="TextBox 566">
            <a:extLst>
              <a:ext uri="{FF2B5EF4-FFF2-40B4-BE49-F238E27FC236}">
                <a16:creationId xmlns:a16="http://schemas.microsoft.com/office/drawing/2014/main" id="{00000000-0008-0000-0200-000037020000}"/>
              </a:ext>
            </a:extLst>
          </xdr:cNvPr>
          <xdr:cNvSpPr txBox="1"/>
        </xdr:nvSpPr>
        <xdr:spPr>
          <a:xfrm>
            <a:off x="24227669" y="3043262"/>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Clock</a:t>
            </a:r>
          </a:p>
        </xdr:txBody>
      </xdr:sp>
    </xdr:grpSp>
    <xdr:clientData/>
  </xdr:twoCellAnchor>
  <xdr:twoCellAnchor>
    <xdr:from>
      <xdr:col>39</xdr:col>
      <xdr:colOff>356049</xdr:colOff>
      <xdr:row>22</xdr:row>
      <xdr:rowOff>165950</xdr:rowOff>
    </xdr:from>
    <xdr:to>
      <xdr:col>41</xdr:col>
      <xdr:colOff>170970</xdr:colOff>
      <xdr:row>27</xdr:row>
      <xdr:rowOff>3097</xdr:rowOff>
    </xdr:to>
    <xdr:grpSp>
      <xdr:nvGrpSpPr>
        <xdr:cNvPr id="586" name="Group 585">
          <a:extLst>
            <a:ext uri="{FF2B5EF4-FFF2-40B4-BE49-F238E27FC236}">
              <a16:creationId xmlns:a16="http://schemas.microsoft.com/office/drawing/2014/main" id="{00000000-0008-0000-0200-00004A020000}"/>
            </a:ext>
          </a:extLst>
        </xdr:cNvPr>
        <xdr:cNvGrpSpPr/>
      </xdr:nvGrpSpPr>
      <xdr:grpSpPr>
        <a:xfrm>
          <a:off x="24130449" y="4456596"/>
          <a:ext cx="1034121" cy="810163"/>
          <a:chOff x="24181687" y="4922643"/>
          <a:chExt cx="1036749" cy="767666"/>
        </a:xfrm>
      </xdr:grpSpPr>
      <xdr:sp macro="" textlink="">
        <xdr:nvSpPr>
          <xdr:cNvPr id="230" name="Rectangle 229">
            <a:extLst>
              <a:ext uri="{FF2B5EF4-FFF2-40B4-BE49-F238E27FC236}">
                <a16:creationId xmlns:a16="http://schemas.microsoft.com/office/drawing/2014/main" id="{00000000-0008-0000-0200-0000E6000000}"/>
              </a:ext>
            </a:extLst>
          </xdr:cNvPr>
          <xdr:cNvSpPr/>
        </xdr:nvSpPr>
        <xdr:spPr>
          <a:xfrm>
            <a:off x="24212643" y="4922643"/>
            <a:ext cx="100579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eMIOS0:1</a:t>
            </a:r>
          </a:p>
        </xdr:txBody>
      </xdr:sp>
      <xdr:sp macro="" textlink="">
        <xdr:nvSpPr>
          <xdr:cNvPr id="584" name="TextBox 583">
            <a:extLst>
              <a:ext uri="{FF2B5EF4-FFF2-40B4-BE49-F238E27FC236}">
                <a16:creationId xmlns:a16="http://schemas.microsoft.com/office/drawing/2014/main" id="{00000000-0008-0000-0200-000048020000}"/>
              </a:ext>
            </a:extLst>
          </xdr:cNvPr>
          <xdr:cNvSpPr txBox="1"/>
        </xdr:nvSpPr>
        <xdr:spPr>
          <a:xfrm>
            <a:off x="24181687" y="4945962"/>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Clock</a:t>
            </a:r>
          </a:p>
        </xdr:txBody>
      </xdr:sp>
      <xdr:sp macro="" textlink="">
        <xdr:nvSpPr>
          <xdr:cNvPr id="585" name="TextBox 584">
            <a:extLst>
              <a:ext uri="{FF2B5EF4-FFF2-40B4-BE49-F238E27FC236}">
                <a16:creationId xmlns:a16="http://schemas.microsoft.com/office/drawing/2014/main" id="{00000000-0008-0000-0200-000049020000}"/>
              </a:ext>
            </a:extLst>
          </xdr:cNvPr>
          <xdr:cNvSpPr txBox="1"/>
        </xdr:nvSpPr>
        <xdr:spPr>
          <a:xfrm>
            <a:off x="24183000" y="5479362"/>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38</xdr:col>
      <xdr:colOff>164224</xdr:colOff>
      <xdr:row>26</xdr:row>
      <xdr:rowOff>82981</xdr:rowOff>
    </xdr:from>
    <xdr:to>
      <xdr:col>39</xdr:col>
      <xdr:colOff>357362</xdr:colOff>
      <xdr:row>26</xdr:row>
      <xdr:rowOff>82981</xdr:rowOff>
    </xdr:to>
    <xdr:cxnSp macro="">
      <xdr:nvCxnSpPr>
        <xdr:cNvPr id="588" name="Straight Arrow Connector 587">
          <a:extLst>
            <a:ext uri="{FF2B5EF4-FFF2-40B4-BE49-F238E27FC236}">
              <a16:creationId xmlns:a16="http://schemas.microsoft.com/office/drawing/2014/main" id="{00000000-0008-0000-0200-00004C020000}"/>
            </a:ext>
          </a:extLst>
        </xdr:cNvPr>
        <xdr:cNvCxnSpPr>
          <a:endCxn id="585" idx="1"/>
        </xdr:cNvCxnSpPr>
      </xdr:nvCxnSpPr>
      <xdr:spPr>
        <a:xfrm>
          <a:off x="23273339" y="5145885"/>
          <a:ext cx="80127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167050</xdr:colOff>
      <xdr:row>23</xdr:row>
      <xdr:rowOff>94565</xdr:rowOff>
    </xdr:from>
    <xdr:to>
      <xdr:col>38</xdr:col>
      <xdr:colOff>167050</xdr:colOff>
      <xdr:row>26</xdr:row>
      <xdr:rowOff>75843</xdr:rowOff>
    </xdr:to>
    <xdr:cxnSp macro="">
      <xdr:nvCxnSpPr>
        <xdr:cNvPr id="592" name="Straight Arrow Connector 591">
          <a:extLst>
            <a:ext uri="{FF2B5EF4-FFF2-40B4-BE49-F238E27FC236}">
              <a16:creationId xmlns:a16="http://schemas.microsoft.com/office/drawing/2014/main" id="{00000000-0008-0000-0200-000050020000}"/>
            </a:ext>
          </a:extLst>
        </xdr:cNvPr>
        <xdr:cNvCxnSpPr/>
      </xdr:nvCxnSpPr>
      <xdr:spPr>
        <a:xfrm flipV="1">
          <a:off x="23276165" y="4585969"/>
          <a:ext cx="0" cy="55277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363788</xdr:colOff>
      <xdr:row>169</xdr:row>
      <xdr:rowOff>104462</xdr:rowOff>
    </xdr:from>
    <xdr:to>
      <xdr:col>41</xdr:col>
      <xdr:colOff>195998</xdr:colOff>
      <xdr:row>174</xdr:row>
      <xdr:rowOff>2729</xdr:rowOff>
    </xdr:to>
    <xdr:grpSp>
      <xdr:nvGrpSpPr>
        <xdr:cNvPr id="593" name="Group 592">
          <a:extLst>
            <a:ext uri="{FF2B5EF4-FFF2-40B4-BE49-F238E27FC236}">
              <a16:creationId xmlns:a16="http://schemas.microsoft.com/office/drawing/2014/main" id="{00000000-0008-0000-0200-000051020000}"/>
            </a:ext>
          </a:extLst>
        </xdr:cNvPr>
        <xdr:cNvGrpSpPr/>
      </xdr:nvGrpSpPr>
      <xdr:grpSpPr>
        <a:xfrm>
          <a:off x="24138188" y="33145954"/>
          <a:ext cx="1051410" cy="877144"/>
          <a:chOff x="21770914" y="23947083"/>
          <a:chExt cx="1054118" cy="797009"/>
        </a:xfrm>
      </xdr:grpSpPr>
      <xdr:grpSp>
        <xdr:nvGrpSpPr>
          <xdr:cNvPr id="594" name="Group 593">
            <a:extLst>
              <a:ext uri="{FF2B5EF4-FFF2-40B4-BE49-F238E27FC236}">
                <a16:creationId xmlns:a16="http://schemas.microsoft.com/office/drawing/2014/main" id="{00000000-0008-0000-0200-000052020000}"/>
              </a:ext>
            </a:extLst>
          </xdr:cNvPr>
          <xdr:cNvGrpSpPr/>
        </xdr:nvGrpSpPr>
        <xdr:grpSpPr>
          <a:xfrm>
            <a:off x="21782331" y="23964432"/>
            <a:ext cx="1042701" cy="779660"/>
            <a:chOff x="21612277" y="22624897"/>
            <a:chExt cx="1035312" cy="779660"/>
          </a:xfrm>
        </xdr:grpSpPr>
        <xdr:sp macro="" textlink="">
          <xdr:nvSpPr>
            <xdr:cNvPr id="596" name="Rectangle 595">
              <a:extLst>
                <a:ext uri="{FF2B5EF4-FFF2-40B4-BE49-F238E27FC236}">
                  <a16:creationId xmlns:a16="http://schemas.microsoft.com/office/drawing/2014/main" id="{00000000-0008-0000-0200-00005402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I</a:t>
              </a:r>
              <a:r>
                <a:rPr lang="en-US" sz="1100" baseline="30000"/>
                <a:t>2</a:t>
              </a:r>
              <a:r>
                <a:rPr lang="en-US" sz="1100"/>
                <a:t>C</a:t>
              </a:r>
            </a:p>
          </xdr:txBody>
        </xdr:sp>
        <xdr:sp macro="" textlink="">
          <xdr:nvSpPr>
            <xdr:cNvPr id="597" name="TextBox 596">
              <a:extLst>
                <a:ext uri="{FF2B5EF4-FFF2-40B4-BE49-F238E27FC236}">
                  <a16:creationId xmlns:a16="http://schemas.microsoft.com/office/drawing/2014/main" id="{00000000-0008-0000-0200-00005502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595" name="TextBox 594">
            <a:extLst>
              <a:ext uri="{FF2B5EF4-FFF2-40B4-BE49-F238E27FC236}">
                <a16:creationId xmlns:a16="http://schemas.microsoft.com/office/drawing/2014/main" id="{00000000-0008-0000-0200-00005302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17</xdr:col>
      <xdr:colOff>315311</xdr:colOff>
      <xdr:row>170</xdr:row>
      <xdr:rowOff>12988</xdr:rowOff>
    </xdr:from>
    <xdr:to>
      <xdr:col>35</xdr:col>
      <xdr:colOff>532086</xdr:colOff>
      <xdr:row>170</xdr:row>
      <xdr:rowOff>12988</xdr:rowOff>
    </xdr:to>
    <xdr:cxnSp macro="">
      <xdr:nvCxnSpPr>
        <xdr:cNvPr id="598" name="Straight Arrow Connector 597">
          <a:extLst>
            <a:ext uri="{FF2B5EF4-FFF2-40B4-BE49-F238E27FC236}">
              <a16:creationId xmlns:a16="http://schemas.microsoft.com/office/drawing/2014/main" id="{00000000-0008-0000-0200-000056020000}"/>
            </a:ext>
          </a:extLst>
        </xdr:cNvPr>
        <xdr:cNvCxnSpPr/>
      </xdr:nvCxnSpPr>
      <xdr:spPr>
        <a:xfrm>
          <a:off x="10700845" y="34775954"/>
          <a:ext cx="11213224"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335030</xdr:colOff>
      <xdr:row>173</xdr:row>
      <xdr:rowOff>94203</xdr:rowOff>
    </xdr:from>
    <xdr:to>
      <xdr:col>39</xdr:col>
      <xdr:colOff>375204</xdr:colOff>
      <xdr:row>173</xdr:row>
      <xdr:rowOff>94203</xdr:rowOff>
    </xdr:to>
    <xdr:cxnSp macro="">
      <xdr:nvCxnSpPr>
        <xdr:cNvPr id="603" name="Straight Arrow Connector 602">
          <a:extLst>
            <a:ext uri="{FF2B5EF4-FFF2-40B4-BE49-F238E27FC236}">
              <a16:creationId xmlns:a16="http://schemas.microsoft.com/office/drawing/2014/main" id="{00000000-0008-0000-0200-00005B020000}"/>
            </a:ext>
          </a:extLst>
        </xdr:cNvPr>
        <xdr:cNvCxnSpPr>
          <a:endCxn id="597" idx="1"/>
        </xdr:cNvCxnSpPr>
      </xdr:nvCxnSpPr>
      <xdr:spPr>
        <a:xfrm>
          <a:off x="23549754" y="35428669"/>
          <a:ext cx="65108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335806</xdr:colOff>
      <xdr:row>170</xdr:row>
      <xdr:rowOff>27212</xdr:rowOff>
    </xdr:from>
    <xdr:to>
      <xdr:col>38</xdr:col>
      <xdr:colOff>335806</xdr:colOff>
      <xdr:row>173</xdr:row>
      <xdr:rowOff>98648</xdr:rowOff>
    </xdr:to>
    <xdr:cxnSp macro="">
      <xdr:nvCxnSpPr>
        <xdr:cNvPr id="608" name="Straight Arrow Connector 607">
          <a:extLst>
            <a:ext uri="{FF2B5EF4-FFF2-40B4-BE49-F238E27FC236}">
              <a16:creationId xmlns:a16="http://schemas.microsoft.com/office/drawing/2014/main" id="{00000000-0008-0000-0200-000060020000}"/>
            </a:ext>
          </a:extLst>
        </xdr:cNvPr>
        <xdr:cNvCxnSpPr/>
      </xdr:nvCxnSpPr>
      <xdr:spPr>
        <a:xfrm flipV="1">
          <a:off x="23550530" y="34790178"/>
          <a:ext cx="0" cy="642936"/>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353538</xdr:colOff>
      <xdr:row>174</xdr:row>
      <xdr:rowOff>101370</xdr:rowOff>
    </xdr:from>
    <xdr:to>
      <xdr:col>44</xdr:col>
      <xdr:colOff>185757</xdr:colOff>
      <xdr:row>178</xdr:row>
      <xdr:rowOff>177334</xdr:rowOff>
    </xdr:to>
    <xdr:grpSp>
      <xdr:nvGrpSpPr>
        <xdr:cNvPr id="609" name="Group 608">
          <a:extLst>
            <a:ext uri="{FF2B5EF4-FFF2-40B4-BE49-F238E27FC236}">
              <a16:creationId xmlns:a16="http://schemas.microsoft.com/office/drawing/2014/main" id="{00000000-0008-0000-0200-000061020000}"/>
            </a:ext>
          </a:extLst>
        </xdr:cNvPr>
        <xdr:cNvGrpSpPr/>
      </xdr:nvGrpSpPr>
      <xdr:grpSpPr>
        <a:xfrm>
          <a:off x="25956738" y="34121739"/>
          <a:ext cx="1051419" cy="867272"/>
          <a:chOff x="21770914" y="23947083"/>
          <a:chExt cx="1054127" cy="785015"/>
        </a:xfrm>
      </xdr:grpSpPr>
      <xdr:sp macro="" textlink="">
        <xdr:nvSpPr>
          <xdr:cNvPr id="612" name="Rectangle 611">
            <a:extLst>
              <a:ext uri="{FF2B5EF4-FFF2-40B4-BE49-F238E27FC236}">
                <a16:creationId xmlns:a16="http://schemas.microsoft.com/office/drawing/2014/main" id="{00000000-0008-0000-0200-000064020000}"/>
              </a:ext>
            </a:extLst>
          </xdr:cNvPr>
          <xdr:cNvSpPr/>
        </xdr:nvSpPr>
        <xdr:spPr>
          <a:xfrm>
            <a:off x="21819512" y="23964432"/>
            <a:ext cx="1005529"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CRC</a:t>
            </a:r>
          </a:p>
        </xdr:txBody>
      </xdr:sp>
      <xdr:sp macro="" textlink="">
        <xdr:nvSpPr>
          <xdr:cNvPr id="611" name="TextBox 610">
            <a:extLst>
              <a:ext uri="{FF2B5EF4-FFF2-40B4-BE49-F238E27FC236}">
                <a16:creationId xmlns:a16="http://schemas.microsoft.com/office/drawing/2014/main" id="{00000000-0008-0000-0200-00006302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23</xdr:col>
      <xdr:colOff>308742</xdr:colOff>
      <xdr:row>175</xdr:row>
      <xdr:rowOff>9896</xdr:rowOff>
    </xdr:from>
    <xdr:to>
      <xdr:col>35</xdr:col>
      <xdr:colOff>558362</xdr:colOff>
      <xdr:row>175</xdr:row>
      <xdr:rowOff>9896</xdr:rowOff>
    </xdr:to>
    <xdr:cxnSp macro="">
      <xdr:nvCxnSpPr>
        <xdr:cNvPr id="614" name="Straight Arrow Connector 613">
          <a:extLst>
            <a:ext uri="{FF2B5EF4-FFF2-40B4-BE49-F238E27FC236}">
              <a16:creationId xmlns:a16="http://schemas.microsoft.com/office/drawing/2014/main" id="{00000000-0008-0000-0200-000066020000}"/>
            </a:ext>
          </a:extLst>
        </xdr:cNvPr>
        <xdr:cNvCxnSpPr/>
      </xdr:nvCxnSpPr>
      <xdr:spPr>
        <a:xfrm>
          <a:off x="14359759" y="35791051"/>
          <a:ext cx="7580586"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444608</xdr:colOff>
      <xdr:row>69</xdr:row>
      <xdr:rowOff>1000</xdr:rowOff>
    </xdr:from>
    <xdr:to>
      <xdr:col>4</xdr:col>
      <xdr:colOff>254902</xdr:colOff>
      <xdr:row>73</xdr:row>
      <xdr:rowOff>1905</xdr:rowOff>
    </xdr:to>
    <xdr:grpSp>
      <xdr:nvGrpSpPr>
        <xdr:cNvPr id="631" name="Group 630">
          <a:extLst>
            <a:ext uri="{FF2B5EF4-FFF2-40B4-BE49-F238E27FC236}">
              <a16:creationId xmlns:a16="http://schemas.microsoft.com/office/drawing/2014/main" id="{00000000-0008-0000-0200-000077020000}"/>
            </a:ext>
          </a:extLst>
        </xdr:cNvPr>
        <xdr:cNvGrpSpPr/>
      </xdr:nvGrpSpPr>
      <xdr:grpSpPr>
        <a:xfrm>
          <a:off x="1663808" y="13541154"/>
          <a:ext cx="1029494" cy="774628"/>
          <a:chOff x="1659046" y="13788438"/>
          <a:chExt cx="1024731" cy="774811"/>
        </a:xfrm>
      </xdr:grpSpPr>
      <xdr:grpSp>
        <xdr:nvGrpSpPr>
          <xdr:cNvPr id="225" name="Group 224">
            <a:extLst>
              <a:ext uri="{FF2B5EF4-FFF2-40B4-BE49-F238E27FC236}">
                <a16:creationId xmlns:a16="http://schemas.microsoft.com/office/drawing/2014/main" id="{00000000-0008-0000-0200-0000E1000000}"/>
              </a:ext>
            </a:extLst>
          </xdr:cNvPr>
          <xdr:cNvGrpSpPr/>
        </xdr:nvGrpSpPr>
        <xdr:grpSpPr>
          <a:xfrm>
            <a:off x="1659046" y="13788438"/>
            <a:ext cx="1024731" cy="774811"/>
            <a:chOff x="1659047" y="13437212"/>
            <a:chExt cx="1024757" cy="762420"/>
          </a:xfrm>
        </xdr:grpSpPr>
        <xdr:grpSp>
          <xdr:nvGrpSpPr>
            <xdr:cNvPr id="222" name="Group 221">
              <a:extLst>
                <a:ext uri="{FF2B5EF4-FFF2-40B4-BE49-F238E27FC236}">
                  <a16:creationId xmlns:a16="http://schemas.microsoft.com/office/drawing/2014/main" id="{00000000-0008-0000-0200-0000DE000000}"/>
                </a:ext>
              </a:extLst>
            </xdr:cNvPr>
            <xdr:cNvGrpSpPr/>
          </xdr:nvGrpSpPr>
          <xdr:grpSpPr>
            <a:xfrm>
              <a:off x="1659047" y="13437212"/>
              <a:ext cx="999946" cy="751314"/>
              <a:chOff x="1663809" y="13412209"/>
              <a:chExt cx="1004709" cy="751314"/>
            </a:xfrm>
          </xdr:grpSpPr>
          <xdr:sp macro="" textlink="">
            <xdr:nvSpPr>
              <xdr:cNvPr id="209" name="Rectangle 208">
                <a:extLst>
                  <a:ext uri="{FF2B5EF4-FFF2-40B4-BE49-F238E27FC236}">
                    <a16:creationId xmlns:a16="http://schemas.microsoft.com/office/drawing/2014/main" id="{00000000-0008-0000-0200-0000D1000000}"/>
                  </a:ext>
                </a:extLst>
              </xdr:cNvPr>
              <xdr:cNvSpPr/>
            </xdr:nvSpPr>
            <xdr:spPr>
              <a:xfrm>
                <a:off x="1663809" y="13412209"/>
                <a:ext cx="1004709" cy="7513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SAI0</a:t>
                </a:r>
                <a:endParaRPr lang="en-US" sz="1100"/>
              </a:p>
            </xdr:txBody>
          </xdr:sp>
          <xdr:sp macro="" textlink="">
            <xdr:nvSpPr>
              <xdr:cNvPr id="221" name="TextBox 220">
                <a:extLst>
                  <a:ext uri="{FF2B5EF4-FFF2-40B4-BE49-F238E27FC236}">
                    <a16:creationId xmlns:a16="http://schemas.microsoft.com/office/drawing/2014/main" id="{00000000-0008-0000-0200-0000DD000000}"/>
                  </a:ext>
                </a:extLst>
              </xdr:cNvPr>
              <xdr:cNvSpPr txBox="1"/>
            </xdr:nvSpPr>
            <xdr:spPr>
              <a:xfrm>
                <a:off x="2034551" y="13421733"/>
                <a:ext cx="622897"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sp macro="" textlink="">
          <xdr:nvSpPr>
            <xdr:cNvPr id="223" name="TextBox 222">
              <a:extLst>
                <a:ext uri="{FF2B5EF4-FFF2-40B4-BE49-F238E27FC236}">
                  <a16:creationId xmlns:a16="http://schemas.microsoft.com/office/drawing/2014/main" id="{00000000-0008-0000-0200-0000DF000000}"/>
                </a:ext>
              </a:extLst>
            </xdr:cNvPr>
            <xdr:cNvSpPr txBox="1"/>
          </xdr:nvSpPr>
          <xdr:spPr>
            <a:xfrm>
              <a:off x="2063860" y="14016368"/>
              <a:ext cx="619944"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BCLK</a:t>
              </a:r>
            </a:p>
          </xdr:txBody>
        </xdr:sp>
        <xdr:sp macro="" textlink="">
          <xdr:nvSpPr>
            <xdr:cNvPr id="224" name="TextBox 223">
              <a:extLst>
                <a:ext uri="{FF2B5EF4-FFF2-40B4-BE49-F238E27FC236}">
                  <a16:creationId xmlns:a16="http://schemas.microsoft.com/office/drawing/2014/main" id="{00000000-0008-0000-0200-0000E0000000}"/>
                </a:ext>
              </a:extLst>
            </xdr:cNvPr>
            <xdr:cNvSpPr txBox="1"/>
          </xdr:nvSpPr>
          <xdr:spPr>
            <a:xfrm>
              <a:off x="2041343" y="13721430"/>
              <a:ext cx="619944"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MCLK</a:t>
              </a:r>
            </a:p>
          </xdr:txBody>
        </xdr:sp>
      </xdr:grpSp>
      <xdr:sp macro="" textlink="">
        <xdr:nvSpPr>
          <xdr:cNvPr id="621" name="TextBox 620">
            <a:extLst>
              <a:ext uri="{FF2B5EF4-FFF2-40B4-BE49-F238E27FC236}">
                <a16:creationId xmlns:a16="http://schemas.microsoft.com/office/drawing/2014/main" id="{00000000-0008-0000-0200-00006D020000}"/>
              </a:ext>
            </a:extLst>
          </xdr:cNvPr>
          <xdr:cNvSpPr txBox="1"/>
        </xdr:nvSpPr>
        <xdr:spPr>
          <a:xfrm>
            <a:off x="1940720" y="13901547"/>
            <a:ext cx="707350" cy="186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4</xdr:col>
      <xdr:colOff>219195</xdr:colOff>
      <xdr:row>70</xdr:row>
      <xdr:rowOff>4825</xdr:rowOff>
    </xdr:from>
    <xdr:to>
      <xdr:col>5</xdr:col>
      <xdr:colOff>369093</xdr:colOff>
      <xdr:row>70</xdr:row>
      <xdr:rowOff>4825</xdr:rowOff>
    </xdr:to>
    <xdr:cxnSp macro="">
      <xdr:nvCxnSpPr>
        <xdr:cNvPr id="622" name="Straight Arrow Connector 621">
          <a:extLst>
            <a:ext uri="{FF2B5EF4-FFF2-40B4-BE49-F238E27FC236}">
              <a16:creationId xmlns:a16="http://schemas.microsoft.com/office/drawing/2014/main" id="{00000000-0008-0000-0200-00006E020000}"/>
            </a:ext>
          </a:extLst>
        </xdr:cNvPr>
        <xdr:cNvCxnSpPr>
          <a:endCxn id="621" idx="3"/>
        </xdr:cNvCxnSpPr>
      </xdr:nvCxnSpPr>
      <xdr:spPr>
        <a:xfrm flipH="1">
          <a:off x="2648070" y="13994669"/>
          <a:ext cx="757117"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363509</xdr:colOff>
      <xdr:row>69</xdr:row>
      <xdr:rowOff>98822</xdr:rowOff>
    </xdr:from>
    <xdr:to>
      <xdr:col>5</xdr:col>
      <xdr:colOff>363509</xdr:colOff>
      <xdr:row>70</xdr:row>
      <xdr:rowOff>0</xdr:rowOff>
    </xdr:to>
    <xdr:cxnSp macro="">
      <xdr:nvCxnSpPr>
        <xdr:cNvPr id="626" name="Straight Arrow Connector 625">
          <a:extLst>
            <a:ext uri="{FF2B5EF4-FFF2-40B4-BE49-F238E27FC236}">
              <a16:creationId xmlns:a16="http://schemas.microsoft.com/office/drawing/2014/main" id="{00000000-0008-0000-0200-000072020000}"/>
            </a:ext>
          </a:extLst>
        </xdr:cNvPr>
        <xdr:cNvCxnSpPr/>
      </xdr:nvCxnSpPr>
      <xdr:spPr>
        <a:xfrm flipV="1">
          <a:off x="3399603" y="13886260"/>
          <a:ext cx="0" cy="103584"/>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128546</xdr:colOff>
      <xdr:row>128</xdr:row>
      <xdr:rowOff>98822</xdr:rowOff>
    </xdr:from>
    <xdr:to>
      <xdr:col>4</xdr:col>
      <xdr:colOff>240287</xdr:colOff>
      <xdr:row>129</xdr:row>
      <xdr:rowOff>86249</xdr:rowOff>
    </xdr:to>
    <xdr:sp macro="" textlink="">
      <xdr:nvSpPr>
        <xdr:cNvPr id="637" name="TextBox 636">
          <a:extLst>
            <a:ext uri="{FF2B5EF4-FFF2-40B4-BE49-F238E27FC236}">
              <a16:creationId xmlns:a16="http://schemas.microsoft.com/office/drawing/2014/main" id="{00000000-0008-0000-0200-00007D020000}"/>
            </a:ext>
          </a:extLst>
        </xdr:cNvPr>
        <xdr:cNvSpPr txBox="1"/>
      </xdr:nvSpPr>
      <xdr:spPr>
        <a:xfrm>
          <a:off x="1950202" y="25762744"/>
          <a:ext cx="718960" cy="18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clientData/>
  </xdr:twoCellAnchor>
  <xdr:twoCellAnchor>
    <xdr:from>
      <xdr:col>3</xdr:col>
      <xdr:colOff>144024</xdr:colOff>
      <xdr:row>130</xdr:row>
      <xdr:rowOff>25004</xdr:rowOff>
    </xdr:from>
    <xdr:to>
      <xdr:col>4</xdr:col>
      <xdr:colOff>255765</xdr:colOff>
      <xdr:row>131</xdr:row>
      <xdr:rowOff>24337</xdr:rowOff>
    </xdr:to>
    <xdr:sp macro="" textlink="">
      <xdr:nvSpPr>
        <xdr:cNvPr id="638" name="TextBox 637">
          <a:extLst>
            <a:ext uri="{FF2B5EF4-FFF2-40B4-BE49-F238E27FC236}">
              <a16:creationId xmlns:a16="http://schemas.microsoft.com/office/drawing/2014/main" id="{00000000-0008-0000-0200-00007E020000}"/>
            </a:ext>
          </a:extLst>
        </xdr:cNvPr>
        <xdr:cNvSpPr txBox="1"/>
      </xdr:nvSpPr>
      <xdr:spPr>
        <a:xfrm>
          <a:off x="1965680" y="26081832"/>
          <a:ext cx="718960" cy="1898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CLK</a:t>
          </a:r>
        </a:p>
      </xdr:txBody>
    </xdr:sp>
    <xdr:clientData/>
  </xdr:twoCellAnchor>
  <xdr:twoCellAnchor>
    <xdr:from>
      <xdr:col>4</xdr:col>
      <xdr:colOff>255765</xdr:colOff>
      <xdr:row>130</xdr:row>
      <xdr:rowOff>119921</xdr:rowOff>
    </xdr:from>
    <xdr:to>
      <xdr:col>5</xdr:col>
      <xdr:colOff>164522</xdr:colOff>
      <xdr:row>130</xdr:row>
      <xdr:rowOff>119921</xdr:rowOff>
    </xdr:to>
    <xdr:cxnSp macro="">
      <xdr:nvCxnSpPr>
        <xdr:cNvPr id="639" name="Straight Arrow Connector 638">
          <a:extLst>
            <a:ext uri="{FF2B5EF4-FFF2-40B4-BE49-F238E27FC236}">
              <a16:creationId xmlns:a16="http://schemas.microsoft.com/office/drawing/2014/main" id="{00000000-0008-0000-0200-00007F020000}"/>
            </a:ext>
          </a:extLst>
        </xdr:cNvPr>
        <xdr:cNvCxnSpPr>
          <a:endCxn id="638" idx="3"/>
        </xdr:cNvCxnSpPr>
      </xdr:nvCxnSpPr>
      <xdr:spPr>
        <a:xfrm flipH="1">
          <a:off x="2697629" y="26062557"/>
          <a:ext cx="51922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240287</xdr:colOff>
      <xdr:row>128</xdr:row>
      <xdr:rowOff>193739</xdr:rowOff>
    </xdr:from>
    <xdr:to>
      <xdr:col>5</xdr:col>
      <xdr:colOff>178593</xdr:colOff>
      <xdr:row>128</xdr:row>
      <xdr:rowOff>193739</xdr:rowOff>
    </xdr:to>
    <xdr:cxnSp macro="">
      <xdr:nvCxnSpPr>
        <xdr:cNvPr id="642" name="Straight Arrow Connector 641">
          <a:extLst>
            <a:ext uri="{FF2B5EF4-FFF2-40B4-BE49-F238E27FC236}">
              <a16:creationId xmlns:a16="http://schemas.microsoft.com/office/drawing/2014/main" id="{00000000-0008-0000-0200-000082020000}"/>
            </a:ext>
          </a:extLst>
        </xdr:cNvPr>
        <xdr:cNvCxnSpPr>
          <a:endCxn id="637" idx="3"/>
        </xdr:cNvCxnSpPr>
      </xdr:nvCxnSpPr>
      <xdr:spPr>
        <a:xfrm flipH="1">
          <a:off x="2669162" y="25857661"/>
          <a:ext cx="5455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172641</xdr:colOff>
      <xdr:row>128</xdr:row>
      <xdr:rowOff>190499</xdr:rowOff>
    </xdr:from>
    <xdr:to>
      <xdr:col>5</xdr:col>
      <xdr:colOff>172641</xdr:colOff>
      <xdr:row>131</xdr:row>
      <xdr:rowOff>77391</xdr:rowOff>
    </xdr:to>
    <xdr:cxnSp macro="">
      <xdr:nvCxnSpPr>
        <xdr:cNvPr id="646" name="Straight Arrow Connector 645">
          <a:extLst>
            <a:ext uri="{FF2B5EF4-FFF2-40B4-BE49-F238E27FC236}">
              <a16:creationId xmlns:a16="http://schemas.microsoft.com/office/drawing/2014/main" id="{00000000-0008-0000-0200-000086020000}"/>
            </a:ext>
          </a:extLst>
        </xdr:cNvPr>
        <xdr:cNvCxnSpPr/>
      </xdr:nvCxnSpPr>
      <xdr:spPr>
        <a:xfrm flipV="1">
          <a:off x="3208735" y="25854421"/>
          <a:ext cx="0" cy="47029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337038</xdr:colOff>
      <xdr:row>179</xdr:row>
      <xdr:rowOff>168519</xdr:rowOff>
    </xdr:from>
    <xdr:to>
      <xdr:col>37</xdr:col>
      <xdr:colOff>172652</xdr:colOff>
      <xdr:row>184</xdr:row>
      <xdr:rowOff>2516</xdr:rowOff>
    </xdr:to>
    <xdr:grpSp>
      <xdr:nvGrpSpPr>
        <xdr:cNvPr id="662" name="Group 661">
          <a:extLst>
            <a:ext uri="{FF2B5EF4-FFF2-40B4-BE49-F238E27FC236}">
              <a16:creationId xmlns:a16="http://schemas.microsoft.com/office/drawing/2014/main" id="{00000000-0008-0000-0200-000096020000}"/>
            </a:ext>
          </a:extLst>
        </xdr:cNvPr>
        <xdr:cNvGrpSpPr/>
      </xdr:nvGrpSpPr>
      <xdr:grpSpPr>
        <a:xfrm>
          <a:off x="21673038" y="35173627"/>
          <a:ext cx="1054814" cy="754258"/>
          <a:chOff x="24162576" y="1967445"/>
          <a:chExt cx="1056546" cy="778503"/>
        </a:xfrm>
      </xdr:grpSpPr>
      <xdr:grpSp>
        <xdr:nvGrpSpPr>
          <xdr:cNvPr id="663" name="Group 662">
            <a:extLst>
              <a:ext uri="{FF2B5EF4-FFF2-40B4-BE49-F238E27FC236}">
                <a16:creationId xmlns:a16="http://schemas.microsoft.com/office/drawing/2014/main" id="{00000000-0008-0000-0200-000097020000}"/>
              </a:ext>
            </a:extLst>
          </xdr:cNvPr>
          <xdr:cNvGrpSpPr/>
        </xdr:nvGrpSpPr>
        <xdr:grpSpPr>
          <a:xfrm>
            <a:off x="24162576" y="1967445"/>
            <a:ext cx="1056546" cy="778503"/>
            <a:chOff x="24162576" y="1967445"/>
            <a:chExt cx="1056546" cy="778503"/>
          </a:xfrm>
        </xdr:grpSpPr>
        <xdr:sp macro="" textlink="">
          <xdr:nvSpPr>
            <xdr:cNvPr id="665" name="Rectangle 664">
              <a:extLst>
                <a:ext uri="{FF2B5EF4-FFF2-40B4-BE49-F238E27FC236}">
                  <a16:creationId xmlns:a16="http://schemas.microsoft.com/office/drawing/2014/main" id="{00000000-0008-0000-0200-000099020000}"/>
                </a:ext>
              </a:extLst>
            </xdr:cNvPr>
            <xdr:cNvSpPr/>
          </xdr:nvSpPr>
          <xdr:spPr>
            <a:xfrm>
              <a:off x="24214225" y="1967445"/>
              <a:ext cx="1004897" cy="7633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SWT1,2,HSM</a:t>
              </a:r>
              <a:endParaRPr lang="en-US" sz="1100"/>
            </a:p>
          </xdr:txBody>
        </xdr:sp>
        <xdr:sp macro="" textlink="">
          <xdr:nvSpPr>
            <xdr:cNvPr id="666" name="TextBox 665">
              <a:extLst>
                <a:ext uri="{FF2B5EF4-FFF2-40B4-BE49-F238E27FC236}">
                  <a16:creationId xmlns:a16="http://schemas.microsoft.com/office/drawing/2014/main" id="{00000000-0008-0000-0200-00009A020000}"/>
                </a:ext>
              </a:extLst>
            </xdr:cNvPr>
            <xdr:cNvSpPr txBox="1"/>
          </xdr:nvSpPr>
          <xdr:spPr>
            <a:xfrm>
              <a:off x="24162576" y="2560592"/>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Timer Clock</a:t>
              </a:r>
            </a:p>
          </xdr:txBody>
        </xdr:sp>
      </xdr:grpSp>
      <xdr:sp macro="" textlink="">
        <xdr:nvSpPr>
          <xdr:cNvPr id="664" name="TextBox 663">
            <a:extLst>
              <a:ext uri="{FF2B5EF4-FFF2-40B4-BE49-F238E27FC236}">
                <a16:creationId xmlns:a16="http://schemas.microsoft.com/office/drawing/2014/main" id="{00000000-0008-0000-0200-000098020000}"/>
              </a:ext>
            </a:extLst>
          </xdr:cNvPr>
          <xdr:cNvSpPr txBox="1"/>
        </xdr:nvSpPr>
        <xdr:spPr>
          <a:xfrm>
            <a:off x="24162576" y="1967445"/>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29</xdr:col>
      <xdr:colOff>293077</xdr:colOff>
      <xdr:row>183</xdr:row>
      <xdr:rowOff>99387</xdr:rowOff>
    </xdr:from>
    <xdr:to>
      <xdr:col>35</xdr:col>
      <xdr:colOff>337038</xdr:colOff>
      <xdr:row>183</xdr:row>
      <xdr:rowOff>99387</xdr:rowOff>
    </xdr:to>
    <xdr:cxnSp macro="">
      <xdr:nvCxnSpPr>
        <xdr:cNvPr id="667" name="Straight Arrow Connector 666">
          <a:extLst>
            <a:ext uri="{FF2B5EF4-FFF2-40B4-BE49-F238E27FC236}">
              <a16:creationId xmlns:a16="http://schemas.microsoft.com/office/drawing/2014/main" id="{00000000-0008-0000-0200-00009B020000}"/>
            </a:ext>
          </a:extLst>
        </xdr:cNvPr>
        <xdr:cNvCxnSpPr>
          <a:endCxn id="666" idx="1"/>
        </xdr:cNvCxnSpPr>
      </xdr:nvCxnSpPr>
      <xdr:spPr>
        <a:xfrm>
          <a:off x="17928981" y="36440925"/>
          <a:ext cx="3692769"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285750</xdr:colOff>
      <xdr:row>180</xdr:row>
      <xdr:rowOff>71649</xdr:rowOff>
    </xdr:from>
    <xdr:to>
      <xdr:col>35</xdr:col>
      <xdr:colOff>337038</xdr:colOff>
      <xdr:row>180</xdr:row>
      <xdr:rowOff>71649</xdr:rowOff>
    </xdr:to>
    <xdr:cxnSp macro="">
      <xdr:nvCxnSpPr>
        <xdr:cNvPr id="672" name="Straight Arrow Connector 671">
          <a:extLst>
            <a:ext uri="{FF2B5EF4-FFF2-40B4-BE49-F238E27FC236}">
              <a16:creationId xmlns:a16="http://schemas.microsoft.com/office/drawing/2014/main" id="{00000000-0008-0000-0200-0000A0020000}"/>
            </a:ext>
          </a:extLst>
        </xdr:cNvPr>
        <xdr:cNvCxnSpPr>
          <a:endCxn id="664" idx="1"/>
        </xdr:cNvCxnSpPr>
      </xdr:nvCxnSpPr>
      <xdr:spPr>
        <a:xfrm>
          <a:off x="9407769" y="35841687"/>
          <a:ext cx="12213981" cy="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356049</xdr:colOff>
      <xdr:row>30</xdr:row>
      <xdr:rowOff>192337</xdr:rowOff>
    </xdr:from>
    <xdr:to>
      <xdr:col>41</xdr:col>
      <xdr:colOff>190020</xdr:colOff>
      <xdr:row>34</xdr:row>
      <xdr:rowOff>150378</xdr:rowOff>
    </xdr:to>
    <xdr:grpSp>
      <xdr:nvGrpSpPr>
        <xdr:cNvPr id="679" name="Group 678">
          <a:extLst>
            <a:ext uri="{FF2B5EF4-FFF2-40B4-BE49-F238E27FC236}">
              <a16:creationId xmlns:a16="http://schemas.microsoft.com/office/drawing/2014/main" id="{00000000-0008-0000-0200-0000A7020000}"/>
            </a:ext>
          </a:extLst>
        </xdr:cNvPr>
        <xdr:cNvGrpSpPr/>
      </xdr:nvGrpSpPr>
      <xdr:grpSpPr>
        <a:xfrm>
          <a:off x="24130449" y="6012845"/>
          <a:ext cx="1053171" cy="755210"/>
          <a:chOff x="24073299" y="6112491"/>
          <a:chExt cx="1050240" cy="807964"/>
        </a:xfrm>
      </xdr:grpSpPr>
      <xdr:grpSp>
        <xdr:nvGrpSpPr>
          <xdr:cNvPr id="46" name="Group 45">
            <a:extLst>
              <a:ext uri="{FF2B5EF4-FFF2-40B4-BE49-F238E27FC236}">
                <a16:creationId xmlns:a16="http://schemas.microsoft.com/office/drawing/2014/main" id="{00000000-0008-0000-0200-00002E000000}"/>
              </a:ext>
            </a:extLst>
          </xdr:cNvPr>
          <xdr:cNvGrpSpPr/>
        </xdr:nvGrpSpPr>
        <xdr:grpSpPr>
          <a:xfrm>
            <a:off x="24073299" y="6112491"/>
            <a:ext cx="1050240" cy="807964"/>
            <a:chOff x="24037580" y="6112082"/>
            <a:chExt cx="1048409" cy="789134"/>
          </a:xfrm>
        </xdr:grpSpPr>
        <xdr:sp macro="" textlink="">
          <xdr:nvSpPr>
            <xdr:cNvPr id="235" name="Rectangle 234">
              <a:extLst>
                <a:ext uri="{FF2B5EF4-FFF2-40B4-BE49-F238E27FC236}">
                  <a16:creationId xmlns:a16="http://schemas.microsoft.com/office/drawing/2014/main" id="{00000000-0008-0000-0200-0000EB000000}"/>
                </a:ext>
              </a:extLst>
            </xdr:cNvPr>
            <xdr:cNvSpPr/>
          </xdr:nvSpPr>
          <xdr:spPr>
            <a:xfrm>
              <a:off x="24087586" y="6133550"/>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HSM</a:t>
              </a:r>
            </a:p>
          </xdr:txBody>
        </xdr:sp>
        <xdr:sp macro="" textlink="">
          <xdr:nvSpPr>
            <xdr:cNvPr id="236" name="TextBox 235">
              <a:extLst>
                <a:ext uri="{FF2B5EF4-FFF2-40B4-BE49-F238E27FC236}">
                  <a16:creationId xmlns:a16="http://schemas.microsoft.com/office/drawing/2014/main" id="{00000000-0008-0000-0200-0000EC000000}"/>
                </a:ext>
              </a:extLst>
            </xdr:cNvPr>
            <xdr:cNvSpPr txBox="1"/>
          </xdr:nvSpPr>
          <xdr:spPr>
            <a:xfrm>
              <a:off x="24039962" y="6112082"/>
              <a:ext cx="726876"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HSM_CORE_CLK</a:t>
              </a:r>
            </a:p>
          </xdr:txBody>
        </xdr:sp>
        <xdr:sp macro="" textlink="">
          <xdr:nvSpPr>
            <xdr:cNvPr id="239" name="TextBox 238">
              <a:extLst>
                <a:ext uri="{FF2B5EF4-FFF2-40B4-BE49-F238E27FC236}">
                  <a16:creationId xmlns:a16="http://schemas.microsoft.com/office/drawing/2014/main" id="{00000000-0008-0000-0200-0000EF000000}"/>
                </a:ext>
              </a:extLst>
            </xdr:cNvPr>
            <xdr:cNvSpPr txBox="1"/>
          </xdr:nvSpPr>
          <xdr:spPr>
            <a:xfrm>
              <a:off x="24037581" y="6367400"/>
              <a:ext cx="858389"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TRNG</a:t>
              </a:r>
            </a:p>
          </xdr:txBody>
        </xdr:sp>
        <xdr:sp macro="" textlink="">
          <xdr:nvSpPr>
            <xdr:cNvPr id="241" name="TextBox 240">
              <a:extLst>
                <a:ext uri="{FF2B5EF4-FFF2-40B4-BE49-F238E27FC236}">
                  <a16:creationId xmlns:a16="http://schemas.microsoft.com/office/drawing/2014/main" id="{00000000-0008-0000-0200-0000F1000000}"/>
                </a:ext>
              </a:extLst>
            </xdr:cNvPr>
            <xdr:cNvSpPr txBox="1"/>
          </xdr:nvSpPr>
          <xdr:spPr>
            <a:xfrm>
              <a:off x="24037580" y="6715766"/>
              <a:ext cx="667889"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HSM RTI_CMU</a:t>
              </a:r>
            </a:p>
          </xdr:txBody>
        </xdr:sp>
      </xdr:grpSp>
      <xdr:sp macro="" textlink="">
        <xdr:nvSpPr>
          <xdr:cNvPr id="678" name="TextBox 677">
            <a:extLst>
              <a:ext uri="{FF2B5EF4-FFF2-40B4-BE49-F238E27FC236}">
                <a16:creationId xmlns:a16="http://schemas.microsoft.com/office/drawing/2014/main" id="{00000000-0008-0000-0200-0000A6020000}"/>
              </a:ext>
            </a:extLst>
          </xdr:cNvPr>
          <xdr:cNvSpPr txBox="1"/>
        </xdr:nvSpPr>
        <xdr:spPr>
          <a:xfrm>
            <a:off x="24073299" y="6237048"/>
            <a:ext cx="728145" cy="187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12</xdr:col>
      <xdr:colOff>300404</xdr:colOff>
      <xdr:row>31</xdr:row>
      <xdr:rowOff>198232</xdr:rowOff>
    </xdr:from>
    <xdr:to>
      <xdr:col>39</xdr:col>
      <xdr:colOff>356049</xdr:colOff>
      <xdr:row>31</xdr:row>
      <xdr:rowOff>198232</xdr:rowOff>
    </xdr:to>
    <xdr:cxnSp macro="">
      <xdr:nvCxnSpPr>
        <xdr:cNvPr id="680" name="Straight Arrow Connector 679">
          <a:extLst>
            <a:ext uri="{FF2B5EF4-FFF2-40B4-BE49-F238E27FC236}">
              <a16:creationId xmlns:a16="http://schemas.microsoft.com/office/drawing/2014/main" id="{00000000-0008-0000-0200-0000A8020000}"/>
            </a:ext>
          </a:extLst>
        </xdr:cNvPr>
        <xdr:cNvCxnSpPr>
          <a:endCxn id="678" idx="1"/>
        </xdr:cNvCxnSpPr>
      </xdr:nvCxnSpPr>
      <xdr:spPr>
        <a:xfrm>
          <a:off x="7598019" y="6330867"/>
          <a:ext cx="16475280"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336343</xdr:colOff>
      <xdr:row>184</xdr:row>
      <xdr:rowOff>167055</xdr:rowOff>
    </xdr:from>
    <xdr:to>
      <xdr:col>41</xdr:col>
      <xdr:colOff>171956</xdr:colOff>
      <xdr:row>189</xdr:row>
      <xdr:rowOff>1052</xdr:rowOff>
    </xdr:to>
    <xdr:grpSp>
      <xdr:nvGrpSpPr>
        <xdr:cNvPr id="685" name="Group 684">
          <a:extLst>
            <a:ext uri="{FF2B5EF4-FFF2-40B4-BE49-F238E27FC236}">
              <a16:creationId xmlns:a16="http://schemas.microsoft.com/office/drawing/2014/main" id="{00000000-0008-0000-0200-0000AD020000}"/>
            </a:ext>
          </a:extLst>
        </xdr:cNvPr>
        <xdr:cNvGrpSpPr/>
      </xdr:nvGrpSpPr>
      <xdr:grpSpPr>
        <a:xfrm>
          <a:off x="24110743" y="36092424"/>
          <a:ext cx="1054813" cy="812874"/>
          <a:chOff x="24162576" y="1967445"/>
          <a:chExt cx="1056546" cy="778503"/>
        </a:xfrm>
      </xdr:grpSpPr>
      <xdr:grpSp>
        <xdr:nvGrpSpPr>
          <xdr:cNvPr id="686" name="Group 685">
            <a:extLst>
              <a:ext uri="{FF2B5EF4-FFF2-40B4-BE49-F238E27FC236}">
                <a16:creationId xmlns:a16="http://schemas.microsoft.com/office/drawing/2014/main" id="{00000000-0008-0000-0200-0000AE020000}"/>
              </a:ext>
            </a:extLst>
          </xdr:cNvPr>
          <xdr:cNvGrpSpPr/>
        </xdr:nvGrpSpPr>
        <xdr:grpSpPr>
          <a:xfrm>
            <a:off x="24162576" y="1967445"/>
            <a:ext cx="1056546" cy="778503"/>
            <a:chOff x="24162576" y="1967445"/>
            <a:chExt cx="1056546" cy="778503"/>
          </a:xfrm>
        </xdr:grpSpPr>
        <xdr:sp macro="" textlink="">
          <xdr:nvSpPr>
            <xdr:cNvPr id="688" name="Rectangle 687">
              <a:extLst>
                <a:ext uri="{FF2B5EF4-FFF2-40B4-BE49-F238E27FC236}">
                  <a16:creationId xmlns:a16="http://schemas.microsoft.com/office/drawing/2014/main" id="{00000000-0008-0000-0200-0000B0020000}"/>
                </a:ext>
              </a:extLst>
            </xdr:cNvPr>
            <xdr:cNvSpPr/>
          </xdr:nvSpPr>
          <xdr:spPr>
            <a:xfrm>
              <a:off x="24214225" y="1967445"/>
              <a:ext cx="1004897" cy="7633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DMAMUX0:1</a:t>
              </a:r>
              <a:endParaRPr lang="en-US" sz="1100"/>
            </a:p>
          </xdr:txBody>
        </xdr:sp>
        <xdr:sp macro="" textlink="">
          <xdr:nvSpPr>
            <xdr:cNvPr id="689" name="TextBox 688">
              <a:extLst>
                <a:ext uri="{FF2B5EF4-FFF2-40B4-BE49-F238E27FC236}">
                  <a16:creationId xmlns:a16="http://schemas.microsoft.com/office/drawing/2014/main" id="{00000000-0008-0000-0200-0000B1020000}"/>
                </a:ext>
              </a:extLst>
            </xdr:cNvPr>
            <xdr:cNvSpPr txBox="1"/>
          </xdr:nvSpPr>
          <xdr:spPr>
            <a:xfrm>
              <a:off x="24162576" y="2560592"/>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CLK</a:t>
              </a:r>
            </a:p>
          </xdr:txBody>
        </xdr:sp>
      </xdr:grpSp>
      <xdr:sp macro="" textlink="">
        <xdr:nvSpPr>
          <xdr:cNvPr id="687" name="TextBox 686">
            <a:extLst>
              <a:ext uri="{FF2B5EF4-FFF2-40B4-BE49-F238E27FC236}">
                <a16:creationId xmlns:a16="http://schemas.microsoft.com/office/drawing/2014/main" id="{00000000-0008-0000-0200-0000AF020000}"/>
              </a:ext>
            </a:extLst>
          </xdr:cNvPr>
          <xdr:cNvSpPr txBox="1"/>
        </xdr:nvSpPr>
        <xdr:spPr>
          <a:xfrm>
            <a:off x="24162576" y="1967445"/>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12</xdr:col>
      <xdr:colOff>315310</xdr:colOff>
      <xdr:row>185</xdr:row>
      <xdr:rowOff>70185</xdr:rowOff>
    </xdr:from>
    <xdr:to>
      <xdr:col>35</xdr:col>
      <xdr:colOff>505810</xdr:colOff>
      <xdr:row>185</xdr:row>
      <xdr:rowOff>70185</xdr:rowOff>
    </xdr:to>
    <xdr:cxnSp macro="">
      <xdr:nvCxnSpPr>
        <xdr:cNvPr id="690" name="Straight Arrow Connector 689">
          <a:extLst>
            <a:ext uri="{FF2B5EF4-FFF2-40B4-BE49-F238E27FC236}">
              <a16:creationId xmlns:a16="http://schemas.microsoft.com/office/drawing/2014/main" id="{00000000-0008-0000-0200-0000B2020000}"/>
            </a:ext>
          </a:extLst>
        </xdr:cNvPr>
        <xdr:cNvCxnSpPr/>
      </xdr:nvCxnSpPr>
      <xdr:spPr>
        <a:xfrm>
          <a:off x="7646276" y="37828599"/>
          <a:ext cx="14241517"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220579</xdr:colOff>
      <xdr:row>188</xdr:row>
      <xdr:rowOff>97923</xdr:rowOff>
    </xdr:from>
    <xdr:to>
      <xdr:col>39</xdr:col>
      <xdr:colOff>336343</xdr:colOff>
      <xdr:row>188</xdr:row>
      <xdr:rowOff>97923</xdr:rowOff>
    </xdr:to>
    <xdr:cxnSp macro="">
      <xdr:nvCxnSpPr>
        <xdr:cNvPr id="693" name="Straight Arrow Connector 692">
          <a:extLst>
            <a:ext uri="{FF2B5EF4-FFF2-40B4-BE49-F238E27FC236}">
              <a16:creationId xmlns:a16="http://schemas.microsoft.com/office/drawing/2014/main" id="{00000000-0008-0000-0200-0000B5020000}"/>
            </a:ext>
          </a:extLst>
        </xdr:cNvPr>
        <xdr:cNvCxnSpPr>
          <a:endCxn id="689" idx="1"/>
        </xdr:cNvCxnSpPr>
      </xdr:nvCxnSpPr>
      <xdr:spPr>
        <a:xfrm>
          <a:off x="23435303" y="38427837"/>
          <a:ext cx="72667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227905</xdr:colOff>
      <xdr:row>185</xdr:row>
      <xdr:rowOff>80598</xdr:rowOff>
    </xdr:from>
    <xdr:to>
      <xdr:col>38</xdr:col>
      <xdr:colOff>227905</xdr:colOff>
      <xdr:row>188</xdr:row>
      <xdr:rowOff>101330</xdr:rowOff>
    </xdr:to>
    <xdr:cxnSp macro="">
      <xdr:nvCxnSpPr>
        <xdr:cNvPr id="697" name="Straight Arrow Connector 696">
          <a:extLst>
            <a:ext uri="{FF2B5EF4-FFF2-40B4-BE49-F238E27FC236}">
              <a16:creationId xmlns:a16="http://schemas.microsoft.com/office/drawing/2014/main" id="{00000000-0008-0000-0200-0000B9020000}"/>
            </a:ext>
          </a:extLst>
        </xdr:cNvPr>
        <xdr:cNvCxnSpPr/>
      </xdr:nvCxnSpPr>
      <xdr:spPr>
        <a:xfrm flipV="1">
          <a:off x="23442629" y="37839012"/>
          <a:ext cx="0" cy="59223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396778</xdr:colOff>
      <xdr:row>194</xdr:row>
      <xdr:rowOff>164857</xdr:rowOff>
    </xdr:from>
    <xdr:to>
      <xdr:col>41</xdr:col>
      <xdr:colOff>232391</xdr:colOff>
      <xdr:row>198</xdr:row>
      <xdr:rowOff>174031</xdr:rowOff>
    </xdr:to>
    <xdr:grpSp>
      <xdr:nvGrpSpPr>
        <xdr:cNvPr id="738" name="Group 737">
          <a:extLst>
            <a:ext uri="{FF2B5EF4-FFF2-40B4-BE49-F238E27FC236}">
              <a16:creationId xmlns:a16="http://schemas.microsoft.com/office/drawing/2014/main" id="{00000000-0008-0000-0200-0000E2020000}"/>
            </a:ext>
          </a:extLst>
        </xdr:cNvPr>
        <xdr:cNvGrpSpPr/>
      </xdr:nvGrpSpPr>
      <xdr:grpSpPr>
        <a:xfrm>
          <a:off x="24171178" y="38059703"/>
          <a:ext cx="1054813" cy="794620"/>
          <a:chOff x="24162576" y="1967445"/>
          <a:chExt cx="1056546" cy="763336"/>
        </a:xfrm>
      </xdr:grpSpPr>
      <xdr:sp macro="" textlink="">
        <xdr:nvSpPr>
          <xdr:cNvPr id="739" name="Rectangle 738">
            <a:extLst>
              <a:ext uri="{FF2B5EF4-FFF2-40B4-BE49-F238E27FC236}">
                <a16:creationId xmlns:a16="http://schemas.microsoft.com/office/drawing/2014/main" id="{00000000-0008-0000-0200-0000E3020000}"/>
              </a:ext>
            </a:extLst>
          </xdr:cNvPr>
          <xdr:cNvSpPr/>
        </xdr:nvSpPr>
        <xdr:spPr>
          <a:xfrm>
            <a:off x="24214225" y="1967445"/>
            <a:ext cx="1004897" cy="7633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MEMU_0</a:t>
            </a:r>
            <a:endParaRPr lang="en-US" sz="1100"/>
          </a:p>
        </xdr:txBody>
      </xdr:sp>
      <xdr:sp macro="" textlink="">
        <xdr:nvSpPr>
          <xdr:cNvPr id="740" name="TextBox 739">
            <a:extLst>
              <a:ext uri="{FF2B5EF4-FFF2-40B4-BE49-F238E27FC236}">
                <a16:creationId xmlns:a16="http://schemas.microsoft.com/office/drawing/2014/main" id="{00000000-0008-0000-0200-0000E4020000}"/>
              </a:ext>
            </a:extLst>
          </xdr:cNvPr>
          <xdr:cNvSpPr txBox="1"/>
        </xdr:nvSpPr>
        <xdr:spPr>
          <a:xfrm>
            <a:off x="24162576" y="1967445"/>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19</xdr:col>
      <xdr:colOff>308741</xdr:colOff>
      <xdr:row>195</xdr:row>
      <xdr:rowOff>67987</xdr:rowOff>
    </xdr:from>
    <xdr:to>
      <xdr:col>35</xdr:col>
      <xdr:colOff>532086</xdr:colOff>
      <xdr:row>195</xdr:row>
      <xdr:rowOff>67987</xdr:rowOff>
    </xdr:to>
    <xdr:cxnSp macro="">
      <xdr:nvCxnSpPr>
        <xdr:cNvPr id="741" name="Straight Arrow Connector 740">
          <a:extLst>
            <a:ext uri="{FF2B5EF4-FFF2-40B4-BE49-F238E27FC236}">
              <a16:creationId xmlns:a16="http://schemas.microsoft.com/office/drawing/2014/main" id="{00000000-0008-0000-0200-0000E5020000}"/>
            </a:ext>
          </a:extLst>
        </xdr:cNvPr>
        <xdr:cNvCxnSpPr/>
      </xdr:nvCxnSpPr>
      <xdr:spPr>
        <a:xfrm>
          <a:off x="11916103" y="39797090"/>
          <a:ext cx="9997966"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11</xdr:col>
      <xdr:colOff>372978</xdr:colOff>
      <xdr:row>209</xdr:row>
      <xdr:rowOff>147244</xdr:rowOff>
    </xdr:from>
    <xdr:ext cx="1057275" cy="419101"/>
    <xdr:sp macro="" textlink="">
      <xdr:nvSpPr>
        <xdr:cNvPr id="774" name="TextBox 773">
          <a:hlinkClick xmlns:r="http://schemas.openxmlformats.org/officeDocument/2006/relationships" r:id="rId24"/>
          <a:extLst>
            <a:ext uri="{FF2B5EF4-FFF2-40B4-BE49-F238E27FC236}">
              <a16:creationId xmlns:a16="http://schemas.microsoft.com/office/drawing/2014/main" id="{00000000-0008-0000-0200-000006030000}"/>
            </a:ext>
          </a:extLst>
        </xdr:cNvPr>
        <xdr:cNvSpPr txBox="1"/>
      </xdr:nvSpPr>
      <xdr:spPr>
        <a:xfrm>
          <a:off x="7040478" y="4146842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FS80</a:t>
          </a:r>
        </a:p>
      </xdr:txBody>
    </xdr:sp>
    <xdr:clientData/>
  </xdr:oneCellAnchor>
  <xdr:oneCellAnchor>
    <xdr:from>
      <xdr:col>16</xdr:col>
      <xdr:colOff>371737</xdr:colOff>
      <xdr:row>209</xdr:row>
      <xdr:rowOff>138548</xdr:rowOff>
    </xdr:from>
    <xdr:ext cx="1057275" cy="419101"/>
    <xdr:sp macro="" textlink="">
      <xdr:nvSpPr>
        <xdr:cNvPr id="775" name="TextBox 774">
          <a:hlinkClick xmlns:r="http://schemas.openxmlformats.org/officeDocument/2006/relationships" r:id="rId2"/>
          <a:extLst>
            <a:ext uri="{FF2B5EF4-FFF2-40B4-BE49-F238E27FC236}">
              <a16:creationId xmlns:a16="http://schemas.microsoft.com/office/drawing/2014/main" id="{00000000-0008-0000-0200-000007030000}"/>
            </a:ext>
          </a:extLst>
        </xdr:cNvPr>
        <xdr:cNvSpPr txBox="1"/>
      </xdr:nvSpPr>
      <xdr:spPr>
        <a:xfrm>
          <a:off x="10069919" y="4145973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F40</a:t>
          </a:r>
        </a:p>
      </xdr:txBody>
    </xdr:sp>
    <xdr:clientData/>
  </xdr:oneCellAnchor>
  <xdr:oneCellAnchor>
    <xdr:from>
      <xdr:col>9</xdr:col>
      <xdr:colOff>381000</xdr:colOff>
      <xdr:row>209</xdr:row>
      <xdr:rowOff>147244</xdr:rowOff>
    </xdr:from>
    <xdr:ext cx="1057275" cy="419101"/>
    <xdr:sp macro="" textlink="">
      <xdr:nvSpPr>
        <xdr:cNvPr id="776" name="TextBox 775">
          <a:hlinkClick xmlns:r="http://schemas.openxmlformats.org/officeDocument/2006/relationships" r:id="rId3"/>
          <a:extLst>
            <a:ext uri="{FF2B5EF4-FFF2-40B4-BE49-F238E27FC236}">
              <a16:creationId xmlns:a16="http://schemas.microsoft.com/office/drawing/2014/main" id="{00000000-0008-0000-0200-000008030000}"/>
            </a:ext>
          </a:extLst>
        </xdr:cNvPr>
        <xdr:cNvSpPr txBox="1"/>
      </xdr:nvSpPr>
      <xdr:spPr>
        <a:xfrm>
          <a:off x="5836227" y="4146842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18</xdr:col>
      <xdr:colOff>364318</xdr:colOff>
      <xdr:row>209</xdr:row>
      <xdr:rowOff>158255</xdr:rowOff>
    </xdr:from>
    <xdr:ext cx="1057275" cy="419101"/>
    <xdr:sp macro="" textlink="">
      <xdr:nvSpPr>
        <xdr:cNvPr id="777" name="TextBox 776">
          <a:hlinkClick xmlns:r="http://schemas.openxmlformats.org/officeDocument/2006/relationships" r:id="rId5"/>
          <a:extLst>
            <a:ext uri="{FF2B5EF4-FFF2-40B4-BE49-F238E27FC236}">
              <a16:creationId xmlns:a16="http://schemas.microsoft.com/office/drawing/2014/main" id="{00000000-0008-0000-0200-000009030000}"/>
            </a:ext>
          </a:extLst>
        </xdr:cNvPr>
        <xdr:cNvSpPr txBox="1"/>
      </xdr:nvSpPr>
      <xdr:spPr>
        <a:xfrm>
          <a:off x="11274773" y="4147943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F80</a:t>
          </a:r>
        </a:p>
      </xdr:txBody>
    </xdr:sp>
    <xdr:clientData/>
  </xdr:oneCellAnchor>
  <xdr:oneCellAnchor>
    <xdr:from>
      <xdr:col>20</xdr:col>
      <xdr:colOff>378775</xdr:colOff>
      <xdr:row>209</xdr:row>
      <xdr:rowOff>159568</xdr:rowOff>
    </xdr:from>
    <xdr:ext cx="1057275" cy="419101"/>
    <xdr:sp macro="" textlink="">
      <xdr:nvSpPr>
        <xdr:cNvPr id="778" name="TextBox 777">
          <a:hlinkClick xmlns:r="http://schemas.openxmlformats.org/officeDocument/2006/relationships" r:id="rId6"/>
          <a:extLst>
            <a:ext uri="{FF2B5EF4-FFF2-40B4-BE49-F238E27FC236}">
              <a16:creationId xmlns:a16="http://schemas.microsoft.com/office/drawing/2014/main" id="{00000000-0008-0000-0200-00000A030000}"/>
            </a:ext>
          </a:extLst>
        </xdr:cNvPr>
        <xdr:cNvSpPr txBox="1"/>
      </xdr:nvSpPr>
      <xdr:spPr>
        <a:xfrm>
          <a:off x="12501502" y="4148075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F20</a:t>
          </a:r>
        </a:p>
      </xdr:txBody>
    </xdr:sp>
    <xdr:clientData/>
  </xdr:oneCellAnchor>
  <xdr:oneCellAnchor>
    <xdr:from>
      <xdr:col>13</xdr:col>
      <xdr:colOff>353928</xdr:colOff>
      <xdr:row>209</xdr:row>
      <xdr:rowOff>166294</xdr:rowOff>
    </xdr:from>
    <xdr:ext cx="1057275" cy="419101"/>
    <xdr:sp macro="" textlink="">
      <xdr:nvSpPr>
        <xdr:cNvPr id="779" name="TextBox 778">
          <a:hlinkClick xmlns:r="http://schemas.openxmlformats.org/officeDocument/2006/relationships" r:id="rId8"/>
          <a:extLst>
            <a:ext uri="{FF2B5EF4-FFF2-40B4-BE49-F238E27FC236}">
              <a16:creationId xmlns:a16="http://schemas.microsoft.com/office/drawing/2014/main" id="{00000000-0008-0000-0200-00000B030000}"/>
            </a:ext>
          </a:extLst>
        </xdr:cNvPr>
        <xdr:cNvSpPr txBox="1"/>
      </xdr:nvSpPr>
      <xdr:spPr>
        <a:xfrm>
          <a:off x="8233701" y="4148747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F160</a:t>
          </a:r>
        </a:p>
      </xdr:txBody>
    </xdr:sp>
    <xdr:clientData/>
  </xdr:oneCellAnchor>
  <xdr:oneCellAnchor>
    <xdr:from>
      <xdr:col>22</xdr:col>
      <xdr:colOff>375281</xdr:colOff>
      <xdr:row>209</xdr:row>
      <xdr:rowOff>165521</xdr:rowOff>
    </xdr:from>
    <xdr:ext cx="1057275" cy="419101"/>
    <xdr:sp macro="" textlink="">
      <xdr:nvSpPr>
        <xdr:cNvPr id="780" name="TextBox 779">
          <a:hlinkClick xmlns:r="http://schemas.openxmlformats.org/officeDocument/2006/relationships" r:id="rId25"/>
          <a:extLst>
            <a:ext uri="{FF2B5EF4-FFF2-40B4-BE49-F238E27FC236}">
              <a16:creationId xmlns:a16="http://schemas.microsoft.com/office/drawing/2014/main" id="{00000000-0008-0000-0200-00000C030000}"/>
            </a:ext>
          </a:extLst>
        </xdr:cNvPr>
        <xdr:cNvSpPr txBox="1"/>
      </xdr:nvSpPr>
      <xdr:spPr>
        <a:xfrm>
          <a:off x="13710281" y="4148670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oneCellAnchor>
    <xdr:from>
      <xdr:col>24</xdr:col>
      <xdr:colOff>377513</xdr:colOff>
      <xdr:row>209</xdr:row>
      <xdr:rowOff>146002</xdr:rowOff>
    </xdr:from>
    <xdr:ext cx="1057275" cy="419101"/>
    <xdr:sp macro="" textlink="">
      <xdr:nvSpPr>
        <xdr:cNvPr id="781" name="TextBox 780">
          <a:hlinkClick xmlns:r="http://schemas.openxmlformats.org/officeDocument/2006/relationships" r:id="rId13"/>
          <a:extLst>
            <a:ext uri="{FF2B5EF4-FFF2-40B4-BE49-F238E27FC236}">
              <a16:creationId xmlns:a16="http://schemas.microsoft.com/office/drawing/2014/main" id="{00000000-0008-0000-0200-00000D030000}"/>
            </a:ext>
          </a:extLst>
        </xdr:cNvPr>
        <xdr:cNvSpPr txBox="1"/>
      </xdr:nvSpPr>
      <xdr:spPr>
        <a:xfrm>
          <a:off x="14924786" y="4146718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a:t>
          </a:r>
        </a:p>
      </xdr:txBody>
    </xdr:sp>
    <xdr:clientData/>
  </xdr:oneCellAnchor>
  <xdr:oneCellAnchor>
    <xdr:from>
      <xdr:col>26</xdr:col>
      <xdr:colOff>380820</xdr:colOff>
      <xdr:row>209</xdr:row>
      <xdr:rowOff>158834</xdr:rowOff>
    </xdr:from>
    <xdr:ext cx="1057275" cy="419101"/>
    <xdr:sp macro="" textlink="">
      <xdr:nvSpPr>
        <xdr:cNvPr id="782" name="TextBox 781">
          <a:hlinkClick xmlns:r="http://schemas.openxmlformats.org/officeDocument/2006/relationships" r:id="rId14"/>
          <a:extLst>
            <a:ext uri="{FF2B5EF4-FFF2-40B4-BE49-F238E27FC236}">
              <a16:creationId xmlns:a16="http://schemas.microsoft.com/office/drawing/2014/main" id="{00000000-0008-0000-0200-00000E030000}"/>
            </a:ext>
          </a:extLst>
        </xdr:cNvPr>
        <xdr:cNvSpPr txBox="1"/>
      </xdr:nvSpPr>
      <xdr:spPr>
        <a:xfrm>
          <a:off x="16140365" y="4148001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SXOSC</a:t>
          </a:r>
        </a:p>
      </xdr:txBody>
    </xdr:sp>
    <xdr:clientData/>
  </xdr:oneCellAnchor>
  <xdr:oneCellAnchor>
    <xdr:from>
      <xdr:col>28</xdr:col>
      <xdr:colOff>367564</xdr:colOff>
      <xdr:row>209</xdr:row>
      <xdr:rowOff>144339</xdr:rowOff>
    </xdr:from>
    <xdr:ext cx="1057275" cy="419101"/>
    <xdr:sp macro="" textlink="">
      <xdr:nvSpPr>
        <xdr:cNvPr id="783" name="TextBox 782">
          <a:hlinkClick xmlns:r="http://schemas.openxmlformats.org/officeDocument/2006/relationships" r:id="rId15"/>
          <a:extLst>
            <a:ext uri="{FF2B5EF4-FFF2-40B4-BE49-F238E27FC236}">
              <a16:creationId xmlns:a16="http://schemas.microsoft.com/office/drawing/2014/main" id="{00000000-0008-0000-0200-00000F030000}"/>
            </a:ext>
          </a:extLst>
        </xdr:cNvPr>
        <xdr:cNvSpPr txBox="1"/>
      </xdr:nvSpPr>
      <xdr:spPr>
        <a:xfrm>
          <a:off x="17339382" y="4146552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a:t>
          </a:r>
        </a:p>
      </xdr:txBody>
    </xdr:sp>
    <xdr:clientData/>
  </xdr:oneCellAnchor>
  <xdr:oneCellAnchor>
    <xdr:from>
      <xdr:col>30</xdr:col>
      <xdr:colOff>372923</xdr:colOff>
      <xdr:row>209</xdr:row>
      <xdr:rowOff>176276</xdr:rowOff>
    </xdr:from>
    <xdr:ext cx="1057275" cy="419101"/>
    <xdr:sp macro="" textlink="">
      <xdr:nvSpPr>
        <xdr:cNvPr id="784" name="TextBox 783">
          <a:hlinkClick xmlns:r="http://schemas.openxmlformats.org/officeDocument/2006/relationships" r:id="rId16"/>
          <a:extLst>
            <a:ext uri="{FF2B5EF4-FFF2-40B4-BE49-F238E27FC236}">
              <a16:creationId xmlns:a16="http://schemas.microsoft.com/office/drawing/2014/main" id="{00000000-0008-0000-0200-000010030000}"/>
            </a:ext>
          </a:extLst>
        </xdr:cNvPr>
        <xdr:cNvSpPr txBox="1"/>
      </xdr:nvSpPr>
      <xdr:spPr>
        <a:xfrm>
          <a:off x="18557014" y="4149745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SIRC_DIV_CLK</a:t>
          </a:r>
        </a:p>
      </xdr:txBody>
    </xdr:sp>
    <xdr:clientData/>
  </xdr:oneCellAnchor>
  <xdr:oneCellAnchor>
    <xdr:from>
      <xdr:col>32</xdr:col>
      <xdr:colOff>368440</xdr:colOff>
      <xdr:row>209</xdr:row>
      <xdr:rowOff>162269</xdr:rowOff>
    </xdr:from>
    <xdr:ext cx="1057275" cy="419101"/>
    <xdr:sp macro="" textlink="">
      <xdr:nvSpPr>
        <xdr:cNvPr id="785" name="TextBox 784">
          <a:hlinkClick xmlns:r="http://schemas.openxmlformats.org/officeDocument/2006/relationships" r:id="rId17"/>
          <a:extLst>
            <a:ext uri="{FF2B5EF4-FFF2-40B4-BE49-F238E27FC236}">
              <a16:creationId xmlns:a16="http://schemas.microsoft.com/office/drawing/2014/main" id="{00000000-0008-0000-0200-000011030000}"/>
            </a:ext>
          </a:extLst>
        </xdr:cNvPr>
        <xdr:cNvSpPr txBox="1"/>
      </xdr:nvSpPr>
      <xdr:spPr>
        <a:xfrm>
          <a:off x="19764804" y="4148345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S160</a:t>
          </a:r>
        </a:p>
      </xdr:txBody>
    </xdr:sp>
    <xdr:clientData/>
  </xdr:oneCellAnchor>
  <xdr:oneCellAnchor>
    <xdr:from>
      <xdr:col>14</xdr:col>
      <xdr:colOff>377119</xdr:colOff>
      <xdr:row>209</xdr:row>
      <xdr:rowOff>158011</xdr:rowOff>
    </xdr:from>
    <xdr:ext cx="1057275" cy="419101"/>
    <xdr:sp macro="" textlink="">
      <xdr:nvSpPr>
        <xdr:cNvPr id="786" name="TextBox 785">
          <a:hlinkClick xmlns:r="http://schemas.openxmlformats.org/officeDocument/2006/relationships" r:id="rId20"/>
          <a:extLst>
            <a:ext uri="{FF2B5EF4-FFF2-40B4-BE49-F238E27FC236}">
              <a16:creationId xmlns:a16="http://schemas.microsoft.com/office/drawing/2014/main" id="{00000000-0008-0000-0200-000012030000}"/>
            </a:ext>
          </a:extLst>
        </xdr:cNvPr>
        <xdr:cNvSpPr txBox="1"/>
      </xdr:nvSpPr>
      <xdr:spPr>
        <a:xfrm>
          <a:off x="8863028" y="4147919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S80</a:t>
          </a:r>
        </a:p>
      </xdr:txBody>
    </xdr:sp>
    <xdr:clientData/>
  </xdr:oneCellAnchor>
  <xdr:twoCellAnchor>
    <xdr:from>
      <xdr:col>8</xdr:col>
      <xdr:colOff>362920</xdr:colOff>
      <xdr:row>10</xdr:row>
      <xdr:rowOff>492</xdr:rowOff>
    </xdr:from>
    <xdr:to>
      <xdr:col>10</xdr:col>
      <xdr:colOff>140003</xdr:colOff>
      <xdr:row>13</xdr:row>
      <xdr:rowOff>188384</xdr:rowOff>
    </xdr:to>
    <xdr:sp macro="" textlink="">
      <xdr:nvSpPr>
        <xdr:cNvPr id="587" name="Rectangle 586">
          <a:extLst>
            <a:ext uri="{FF2B5EF4-FFF2-40B4-BE49-F238E27FC236}">
              <a16:creationId xmlns:a16="http://schemas.microsoft.com/office/drawing/2014/main" id="{00000000-0008-0000-0200-00004B020000}"/>
            </a:ext>
          </a:extLst>
        </xdr:cNvPr>
        <xdr:cNvSpPr/>
      </xdr:nvSpPr>
      <xdr:spPr>
        <a:xfrm>
          <a:off x="5227997" y="1971434"/>
          <a:ext cx="993352" cy="8253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 Clock Selector</a:t>
          </a:r>
        </a:p>
        <a:p>
          <a:pPr algn="ctr"/>
          <a:r>
            <a:rPr lang="en-US" sz="700"/>
            <a:t>CANx_CTRL1[CLKSRC]</a:t>
          </a:r>
        </a:p>
      </xdr:txBody>
    </xdr:sp>
    <xdr:clientData/>
  </xdr:twoCellAnchor>
  <xdr:twoCellAnchor>
    <xdr:from>
      <xdr:col>10</xdr:col>
      <xdr:colOff>131885</xdr:colOff>
      <xdr:row>13</xdr:row>
      <xdr:rowOff>49579</xdr:rowOff>
    </xdr:from>
    <xdr:to>
      <xdr:col>10</xdr:col>
      <xdr:colOff>305684</xdr:colOff>
      <xdr:row>13</xdr:row>
      <xdr:rowOff>49579</xdr:rowOff>
    </xdr:to>
    <xdr:cxnSp macro="">
      <xdr:nvCxnSpPr>
        <xdr:cNvPr id="599" name="Straight Arrow Connector 598">
          <a:extLst>
            <a:ext uri="{FF2B5EF4-FFF2-40B4-BE49-F238E27FC236}">
              <a16:creationId xmlns:a16="http://schemas.microsoft.com/office/drawing/2014/main" id="{00000000-0008-0000-0200-000057020000}"/>
            </a:ext>
          </a:extLst>
        </xdr:cNvPr>
        <xdr:cNvCxnSpPr/>
      </xdr:nvCxnSpPr>
      <xdr:spPr>
        <a:xfrm flipH="1">
          <a:off x="6213231" y="2643310"/>
          <a:ext cx="173799"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564627</xdr:colOff>
      <xdr:row>14</xdr:row>
      <xdr:rowOff>188778</xdr:rowOff>
    </xdr:from>
    <xdr:ext cx="876300" cy="342900"/>
    <xdr:sp macro="" textlink="">
      <xdr:nvSpPr>
        <xdr:cNvPr id="600" name="TextBox 599">
          <a:extLst>
            <a:ext uri="{FF2B5EF4-FFF2-40B4-BE49-F238E27FC236}">
              <a16:creationId xmlns:a16="http://schemas.microsoft.com/office/drawing/2014/main" id="{00000000-0008-0000-0200-000058020000}"/>
            </a:ext>
          </a:extLst>
        </xdr:cNvPr>
        <xdr:cNvSpPr txBox="1"/>
      </xdr:nvSpPr>
      <xdr:spPr>
        <a:xfrm>
          <a:off x="5429704" y="2980336"/>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a:t>
          </a:r>
        </a:p>
        <a:p>
          <a:r>
            <a:rPr lang="en-US" sz="800"/>
            <a:t>1 - F40</a:t>
          </a:r>
        </a:p>
      </xdr:txBody>
    </xdr:sp>
    <xdr:clientData/>
  </xdr:oneCellAnchor>
  <xdr:twoCellAnchor>
    <xdr:from>
      <xdr:col>10</xdr:col>
      <xdr:colOff>131885</xdr:colOff>
      <xdr:row>11</xdr:row>
      <xdr:rowOff>7327</xdr:rowOff>
    </xdr:from>
    <xdr:to>
      <xdr:col>17</xdr:col>
      <xdr:colOff>315059</xdr:colOff>
      <xdr:row>11</xdr:row>
      <xdr:rowOff>7327</xdr:rowOff>
    </xdr:to>
    <xdr:cxnSp macro="">
      <xdr:nvCxnSpPr>
        <xdr:cNvPr id="565" name="Straight Arrow Connector 564">
          <a:extLst>
            <a:ext uri="{FF2B5EF4-FFF2-40B4-BE49-F238E27FC236}">
              <a16:creationId xmlns:a16="http://schemas.microsoft.com/office/drawing/2014/main" id="{00000000-0008-0000-0200-000035020000}"/>
            </a:ext>
          </a:extLst>
        </xdr:cNvPr>
        <xdr:cNvCxnSpPr/>
      </xdr:nvCxnSpPr>
      <xdr:spPr>
        <a:xfrm flipH="1">
          <a:off x="6213231" y="2190750"/>
          <a:ext cx="4440116"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22</xdr:col>
      <xdr:colOff>395651</xdr:colOff>
      <xdr:row>4</xdr:row>
      <xdr:rowOff>80595</xdr:rowOff>
    </xdr:from>
    <xdr:ext cx="1057275" cy="419101"/>
    <xdr:sp macro="" textlink="">
      <xdr:nvSpPr>
        <xdr:cNvPr id="544" name="TextBox 543">
          <a:hlinkClick xmlns:r="http://schemas.openxmlformats.org/officeDocument/2006/relationships" r:id="rId25"/>
          <a:extLst>
            <a:ext uri="{FF2B5EF4-FFF2-40B4-BE49-F238E27FC236}">
              <a16:creationId xmlns:a16="http://schemas.microsoft.com/office/drawing/2014/main" id="{00000000-0008-0000-0200-000020020000}"/>
            </a:ext>
          </a:extLst>
        </xdr:cNvPr>
        <xdr:cNvSpPr txBox="1"/>
      </xdr:nvSpPr>
      <xdr:spPr>
        <a:xfrm>
          <a:off x="13774613" y="84259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twoCellAnchor>
    <xdr:from>
      <xdr:col>23</xdr:col>
      <xdr:colOff>308665</xdr:colOff>
      <xdr:row>7</xdr:row>
      <xdr:rowOff>27372</xdr:rowOff>
    </xdr:from>
    <xdr:to>
      <xdr:col>23</xdr:col>
      <xdr:colOff>308665</xdr:colOff>
      <xdr:row>208</xdr:row>
      <xdr:rowOff>190500</xdr:rowOff>
    </xdr:to>
    <xdr:cxnSp macro="">
      <xdr:nvCxnSpPr>
        <xdr:cNvPr id="546" name="Straight Arrow Connector 545">
          <a:extLst>
            <a:ext uri="{FF2B5EF4-FFF2-40B4-BE49-F238E27FC236}">
              <a16:creationId xmlns:a16="http://schemas.microsoft.com/office/drawing/2014/main" id="{00000000-0008-0000-0200-000022020000}"/>
            </a:ext>
          </a:extLst>
        </xdr:cNvPr>
        <xdr:cNvCxnSpPr/>
      </xdr:nvCxnSpPr>
      <xdr:spPr>
        <a:xfrm>
          <a:off x="14359682" y="1387148"/>
          <a:ext cx="0" cy="40943266"/>
        </a:xfrm>
        <a:prstGeom prst="straightConnector1">
          <a:avLst/>
        </a:prstGeom>
        <a:ln w="19050">
          <a:solidFill>
            <a:schemeClr val="bg2">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417635</xdr:colOff>
      <xdr:row>18</xdr:row>
      <xdr:rowOff>109903</xdr:rowOff>
    </xdr:from>
    <xdr:to>
      <xdr:col>4</xdr:col>
      <xdr:colOff>190707</xdr:colOff>
      <xdr:row>22</xdr:row>
      <xdr:rowOff>174969</xdr:rowOff>
    </xdr:to>
    <xdr:sp macro="" textlink="">
      <xdr:nvSpPr>
        <xdr:cNvPr id="547" name="Rectangle 546">
          <a:extLst>
            <a:ext uri="{FF2B5EF4-FFF2-40B4-BE49-F238E27FC236}">
              <a16:creationId xmlns:a16="http://schemas.microsoft.com/office/drawing/2014/main" id="{00000000-0008-0000-0200-000023020000}"/>
            </a:ext>
          </a:extLst>
        </xdr:cNvPr>
        <xdr:cNvSpPr/>
      </xdr:nvSpPr>
      <xdr:spPr>
        <a:xfrm>
          <a:off x="1633904" y="3648807"/>
          <a:ext cx="989341" cy="8270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Z4a</a:t>
          </a:r>
        </a:p>
      </xdr:txBody>
    </xdr:sp>
    <xdr:clientData/>
  </xdr:twoCellAnchor>
  <xdr:twoCellAnchor>
    <xdr:from>
      <xdr:col>8</xdr:col>
      <xdr:colOff>124811</xdr:colOff>
      <xdr:row>20</xdr:row>
      <xdr:rowOff>111779</xdr:rowOff>
    </xdr:from>
    <xdr:to>
      <xdr:col>33</xdr:col>
      <xdr:colOff>307733</xdr:colOff>
      <xdr:row>20</xdr:row>
      <xdr:rowOff>111779</xdr:rowOff>
    </xdr:to>
    <xdr:cxnSp macro="">
      <xdr:nvCxnSpPr>
        <xdr:cNvPr id="564" name="Straight Arrow Connector 563">
          <a:extLst>
            <a:ext uri="{FF2B5EF4-FFF2-40B4-BE49-F238E27FC236}">
              <a16:creationId xmlns:a16="http://schemas.microsoft.com/office/drawing/2014/main" id="{00000000-0008-0000-0200-000034020000}"/>
            </a:ext>
          </a:extLst>
        </xdr:cNvPr>
        <xdr:cNvCxnSpPr/>
      </xdr:nvCxnSpPr>
      <xdr:spPr>
        <a:xfrm flipH="1">
          <a:off x="5012121" y="4086003"/>
          <a:ext cx="15455767"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388328</xdr:colOff>
      <xdr:row>122</xdr:row>
      <xdr:rowOff>182172</xdr:rowOff>
    </xdr:from>
    <xdr:to>
      <xdr:col>4</xdr:col>
      <xdr:colOff>161400</xdr:colOff>
      <xdr:row>126</xdr:row>
      <xdr:rowOff>203954</xdr:rowOff>
    </xdr:to>
    <xdr:sp macro="" textlink="">
      <xdr:nvSpPr>
        <xdr:cNvPr id="566" name="Rectangle 565">
          <a:extLst>
            <a:ext uri="{FF2B5EF4-FFF2-40B4-BE49-F238E27FC236}">
              <a16:creationId xmlns:a16="http://schemas.microsoft.com/office/drawing/2014/main" id="{00000000-0008-0000-0200-000036020000}"/>
            </a:ext>
          </a:extLst>
        </xdr:cNvPr>
        <xdr:cNvSpPr/>
      </xdr:nvSpPr>
      <xdr:spPr>
        <a:xfrm>
          <a:off x="1610156" y="24421655"/>
          <a:ext cx="994899" cy="82976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Z4b</a:t>
          </a:r>
        </a:p>
      </xdr:txBody>
    </xdr:sp>
    <xdr:clientData/>
  </xdr:twoCellAnchor>
  <xdr:twoCellAnchor>
    <xdr:from>
      <xdr:col>8</xdr:col>
      <xdr:colOff>170793</xdr:colOff>
      <xdr:row>124</xdr:row>
      <xdr:rowOff>149949</xdr:rowOff>
    </xdr:from>
    <xdr:to>
      <xdr:col>33</xdr:col>
      <xdr:colOff>315058</xdr:colOff>
      <xdr:row>124</xdr:row>
      <xdr:rowOff>149949</xdr:rowOff>
    </xdr:to>
    <xdr:cxnSp macro="">
      <xdr:nvCxnSpPr>
        <xdr:cNvPr id="569" name="Straight Arrow Connector 568">
          <a:extLst>
            <a:ext uri="{FF2B5EF4-FFF2-40B4-BE49-F238E27FC236}">
              <a16:creationId xmlns:a16="http://schemas.microsoft.com/office/drawing/2014/main" id="{00000000-0008-0000-0200-000039020000}"/>
            </a:ext>
          </a:extLst>
        </xdr:cNvPr>
        <xdr:cNvCxnSpPr/>
      </xdr:nvCxnSpPr>
      <xdr:spPr>
        <a:xfrm flipH="1">
          <a:off x="5058103" y="25630966"/>
          <a:ext cx="15417110"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352208</xdr:colOff>
      <xdr:row>10</xdr:row>
      <xdr:rowOff>168519</xdr:rowOff>
    </xdr:from>
    <xdr:to>
      <xdr:col>41</xdr:col>
      <xdr:colOff>172319</xdr:colOff>
      <xdr:row>14</xdr:row>
      <xdr:rowOff>190911</xdr:rowOff>
    </xdr:to>
    <xdr:grpSp>
      <xdr:nvGrpSpPr>
        <xdr:cNvPr id="570" name="Group 569">
          <a:extLst>
            <a:ext uri="{FF2B5EF4-FFF2-40B4-BE49-F238E27FC236}">
              <a16:creationId xmlns:a16="http://schemas.microsoft.com/office/drawing/2014/main" id="{00000000-0008-0000-0200-00003A020000}"/>
            </a:ext>
          </a:extLst>
        </xdr:cNvPr>
        <xdr:cNvGrpSpPr/>
      </xdr:nvGrpSpPr>
      <xdr:grpSpPr>
        <a:xfrm>
          <a:off x="24126608" y="2067657"/>
          <a:ext cx="1039311" cy="819562"/>
          <a:chOff x="21775668" y="23964432"/>
          <a:chExt cx="1049375" cy="767666"/>
        </a:xfrm>
      </xdr:grpSpPr>
      <xdr:grpSp>
        <xdr:nvGrpSpPr>
          <xdr:cNvPr id="574" name="Group 573">
            <a:extLst>
              <a:ext uri="{FF2B5EF4-FFF2-40B4-BE49-F238E27FC236}">
                <a16:creationId xmlns:a16="http://schemas.microsoft.com/office/drawing/2014/main" id="{00000000-0008-0000-0200-00003E020000}"/>
              </a:ext>
            </a:extLst>
          </xdr:cNvPr>
          <xdr:cNvGrpSpPr/>
        </xdr:nvGrpSpPr>
        <xdr:grpSpPr>
          <a:xfrm>
            <a:off x="21788337" y="23964432"/>
            <a:ext cx="1036706" cy="767666"/>
            <a:chOff x="21618230" y="22624897"/>
            <a:chExt cx="1029359" cy="767666"/>
          </a:xfrm>
        </xdr:grpSpPr>
        <xdr:sp macro="" textlink="">
          <xdr:nvSpPr>
            <xdr:cNvPr id="577" name="Rectangle 576">
              <a:extLst>
                <a:ext uri="{FF2B5EF4-FFF2-40B4-BE49-F238E27FC236}">
                  <a16:creationId xmlns:a16="http://schemas.microsoft.com/office/drawing/2014/main" id="{00000000-0008-0000-0200-00004102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PBRIDGE_B</a:t>
              </a:r>
            </a:p>
          </xdr:txBody>
        </xdr:sp>
        <xdr:sp macro="" textlink="">
          <xdr:nvSpPr>
            <xdr:cNvPr id="578" name="TextBox 577">
              <a:extLst>
                <a:ext uri="{FF2B5EF4-FFF2-40B4-BE49-F238E27FC236}">
                  <a16:creationId xmlns:a16="http://schemas.microsoft.com/office/drawing/2014/main" id="{00000000-0008-0000-0200-00004202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grpSp>
      <xdr:sp macro="" textlink="">
        <xdr:nvSpPr>
          <xdr:cNvPr id="575" name="TextBox 574">
            <a:extLst>
              <a:ext uri="{FF2B5EF4-FFF2-40B4-BE49-F238E27FC236}">
                <a16:creationId xmlns:a16="http://schemas.microsoft.com/office/drawing/2014/main" id="{00000000-0008-0000-0200-00003F020000}"/>
              </a:ext>
            </a:extLst>
          </xdr:cNvPr>
          <xdr:cNvSpPr txBox="1"/>
        </xdr:nvSpPr>
        <xdr:spPr>
          <a:xfrm>
            <a:off x="21775668" y="24517905"/>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12</xdr:col>
      <xdr:colOff>300404</xdr:colOff>
      <xdr:row>11</xdr:row>
      <xdr:rowOff>55257</xdr:rowOff>
    </xdr:from>
    <xdr:to>
      <xdr:col>39</xdr:col>
      <xdr:colOff>364720</xdr:colOff>
      <xdr:row>11</xdr:row>
      <xdr:rowOff>55257</xdr:rowOff>
    </xdr:to>
    <xdr:cxnSp macro="">
      <xdr:nvCxnSpPr>
        <xdr:cNvPr id="579" name="Straight Arrow Connector 578">
          <a:extLst>
            <a:ext uri="{FF2B5EF4-FFF2-40B4-BE49-F238E27FC236}">
              <a16:creationId xmlns:a16="http://schemas.microsoft.com/office/drawing/2014/main" id="{00000000-0008-0000-0200-000043020000}"/>
            </a:ext>
          </a:extLst>
        </xdr:cNvPr>
        <xdr:cNvCxnSpPr>
          <a:endCxn id="578" idx="1"/>
        </xdr:cNvCxnSpPr>
      </xdr:nvCxnSpPr>
      <xdr:spPr>
        <a:xfrm>
          <a:off x="7598019" y="2216699"/>
          <a:ext cx="16483951"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73270</xdr:colOff>
      <xdr:row>14</xdr:row>
      <xdr:rowOff>61048</xdr:rowOff>
    </xdr:from>
    <xdr:to>
      <xdr:col>39</xdr:col>
      <xdr:colOff>352208</xdr:colOff>
      <xdr:row>14</xdr:row>
      <xdr:rowOff>61048</xdr:rowOff>
    </xdr:to>
    <xdr:cxnSp macro="">
      <xdr:nvCxnSpPr>
        <xdr:cNvPr id="580" name="Straight Arrow Connector 579">
          <a:extLst>
            <a:ext uri="{FF2B5EF4-FFF2-40B4-BE49-F238E27FC236}">
              <a16:creationId xmlns:a16="http://schemas.microsoft.com/office/drawing/2014/main" id="{00000000-0008-0000-0200-000044020000}"/>
            </a:ext>
          </a:extLst>
        </xdr:cNvPr>
        <xdr:cNvCxnSpPr>
          <a:endCxn id="575" idx="1"/>
        </xdr:cNvCxnSpPr>
      </xdr:nvCxnSpPr>
      <xdr:spPr>
        <a:xfrm>
          <a:off x="23182385" y="2808644"/>
          <a:ext cx="887073"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84139</xdr:colOff>
      <xdr:row>11</xdr:row>
      <xdr:rowOff>65943</xdr:rowOff>
    </xdr:from>
    <xdr:to>
      <xdr:col>38</xdr:col>
      <xdr:colOff>84139</xdr:colOff>
      <xdr:row>14</xdr:row>
      <xdr:rowOff>46464</xdr:rowOff>
    </xdr:to>
    <xdr:cxnSp macro="">
      <xdr:nvCxnSpPr>
        <xdr:cNvPr id="581" name="Straight Arrow Connector 580">
          <a:extLst>
            <a:ext uri="{FF2B5EF4-FFF2-40B4-BE49-F238E27FC236}">
              <a16:creationId xmlns:a16="http://schemas.microsoft.com/office/drawing/2014/main" id="{00000000-0008-0000-0200-000045020000}"/>
            </a:ext>
          </a:extLst>
        </xdr:cNvPr>
        <xdr:cNvCxnSpPr/>
      </xdr:nvCxnSpPr>
      <xdr:spPr>
        <a:xfrm flipV="1">
          <a:off x="23213627" y="2226492"/>
          <a:ext cx="0" cy="570606"/>
        </a:xfrm>
        <a:prstGeom prst="straightConnector1">
          <a:avLst/>
        </a:prstGeom>
        <a:ln w="19050">
          <a:solidFill>
            <a:schemeClr val="accent2"/>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377433</xdr:colOff>
      <xdr:row>143</xdr:row>
      <xdr:rowOff>126120</xdr:rowOff>
    </xdr:from>
    <xdr:to>
      <xdr:col>39</xdr:col>
      <xdr:colOff>248633</xdr:colOff>
      <xdr:row>148</xdr:row>
      <xdr:rowOff>29581</xdr:rowOff>
    </xdr:to>
    <xdr:grpSp>
      <xdr:nvGrpSpPr>
        <xdr:cNvPr id="583" name="Group 582">
          <a:extLst>
            <a:ext uri="{FF2B5EF4-FFF2-40B4-BE49-F238E27FC236}">
              <a16:creationId xmlns:a16="http://schemas.microsoft.com/office/drawing/2014/main" id="{00000000-0008-0000-0200-000047020000}"/>
            </a:ext>
          </a:extLst>
        </xdr:cNvPr>
        <xdr:cNvGrpSpPr/>
      </xdr:nvGrpSpPr>
      <xdr:grpSpPr>
        <a:xfrm>
          <a:off x="22932633" y="28279089"/>
          <a:ext cx="1090400" cy="899923"/>
          <a:chOff x="10134600" y="5495925"/>
          <a:chExt cx="1092163" cy="819327"/>
        </a:xfrm>
      </xdr:grpSpPr>
      <xdr:grpSp>
        <xdr:nvGrpSpPr>
          <xdr:cNvPr id="589" name="Group 588">
            <a:extLst>
              <a:ext uri="{FF2B5EF4-FFF2-40B4-BE49-F238E27FC236}">
                <a16:creationId xmlns:a16="http://schemas.microsoft.com/office/drawing/2014/main" id="{00000000-0008-0000-0200-00004D020000}"/>
              </a:ext>
            </a:extLst>
          </xdr:cNvPr>
          <xdr:cNvGrpSpPr/>
        </xdr:nvGrpSpPr>
        <xdr:grpSpPr>
          <a:xfrm>
            <a:off x="10134600" y="5495925"/>
            <a:ext cx="1037143" cy="819327"/>
            <a:chOff x="21782331" y="23964432"/>
            <a:chExt cx="1042701" cy="779660"/>
          </a:xfrm>
        </xdr:grpSpPr>
        <xdr:grpSp>
          <xdr:nvGrpSpPr>
            <xdr:cNvPr id="591" name="Group 590">
              <a:extLst>
                <a:ext uri="{FF2B5EF4-FFF2-40B4-BE49-F238E27FC236}">
                  <a16:creationId xmlns:a16="http://schemas.microsoft.com/office/drawing/2014/main" id="{00000000-0008-0000-0200-00004F020000}"/>
                </a:ext>
              </a:extLst>
            </xdr:cNvPr>
            <xdr:cNvGrpSpPr/>
          </xdr:nvGrpSpPr>
          <xdr:grpSpPr>
            <a:xfrm>
              <a:off x="21782331" y="23964432"/>
              <a:ext cx="1042701" cy="779660"/>
              <a:chOff x="21612277" y="22624897"/>
              <a:chExt cx="1035312" cy="779660"/>
            </a:xfrm>
          </xdr:grpSpPr>
          <xdr:sp macro="" textlink="">
            <xdr:nvSpPr>
              <xdr:cNvPr id="605" name="Rectangle 604">
                <a:extLst>
                  <a:ext uri="{FF2B5EF4-FFF2-40B4-BE49-F238E27FC236}">
                    <a16:creationId xmlns:a16="http://schemas.microsoft.com/office/drawing/2014/main" id="{00000000-0008-0000-0200-00005D02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MLB</a:t>
                </a:r>
              </a:p>
            </xdr:txBody>
          </xdr:sp>
          <xdr:sp macro="" textlink="">
            <xdr:nvSpPr>
              <xdr:cNvPr id="606" name="TextBox 605">
                <a:extLst>
                  <a:ext uri="{FF2B5EF4-FFF2-40B4-BE49-F238E27FC236}">
                    <a16:creationId xmlns:a16="http://schemas.microsoft.com/office/drawing/2014/main" id="{00000000-0008-0000-0200-00005E02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sp macro="" textlink="">
            <xdr:nvSpPr>
              <xdr:cNvPr id="607" name="TextBox 606">
                <a:extLst>
                  <a:ext uri="{FF2B5EF4-FFF2-40B4-BE49-F238E27FC236}">
                    <a16:creationId xmlns:a16="http://schemas.microsoft.com/office/drawing/2014/main" id="{00000000-0008-0000-0200-00005F02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Memory CLK</a:t>
                </a:r>
              </a:p>
            </xdr:txBody>
          </xdr:sp>
        </xdr:grpSp>
        <xdr:sp macro="" textlink="">
          <xdr:nvSpPr>
            <xdr:cNvPr id="602" name="TextBox 601">
              <a:extLst>
                <a:ext uri="{FF2B5EF4-FFF2-40B4-BE49-F238E27FC236}">
                  <a16:creationId xmlns:a16="http://schemas.microsoft.com/office/drawing/2014/main" id="{00000000-0008-0000-0200-00005A020000}"/>
                </a:ext>
              </a:extLst>
            </xdr:cNvPr>
            <xdr:cNvSpPr txBox="1"/>
          </xdr:nvSpPr>
          <xdr:spPr>
            <a:xfrm>
              <a:off x="21788900" y="24107622"/>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590" name="TextBox 589">
            <a:extLst>
              <a:ext uri="{FF2B5EF4-FFF2-40B4-BE49-F238E27FC236}">
                <a16:creationId xmlns:a16="http://schemas.microsoft.com/office/drawing/2014/main" id="{00000000-0008-0000-0200-00004E020000}"/>
              </a:ext>
            </a:extLst>
          </xdr:cNvPr>
          <xdr:cNvSpPr txBox="1"/>
        </xdr:nvSpPr>
        <xdr:spPr>
          <a:xfrm>
            <a:off x="10496550" y="5553075"/>
            <a:ext cx="730213" cy="207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CLK</a:t>
            </a:r>
          </a:p>
        </xdr:txBody>
      </xdr:sp>
    </xdr:grpSp>
    <xdr:clientData/>
  </xdr:twoCellAnchor>
  <xdr:oneCellAnchor>
    <xdr:from>
      <xdr:col>40</xdr:col>
      <xdr:colOff>407998</xdr:colOff>
      <xdr:row>143</xdr:row>
      <xdr:rowOff>82829</xdr:rowOff>
    </xdr:from>
    <xdr:ext cx="1057275" cy="419101"/>
    <xdr:sp macro="" textlink="">
      <xdr:nvSpPr>
        <xdr:cNvPr id="610" name="TextBox 609">
          <a:extLst>
            <a:ext uri="{FF2B5EF4-FFF2-40B4-BE49-F238E27FC236}">
              <a16:creationId xmlns:a16="http://schemas.microsoft.com/office/drawing/2014/main" id="{00000000-0008-0000-0200-000062020000}"/>
            </a:ext>
          </a:extLst>
        </xdr:cNvPr>
        <xdr:cNvSpPr txBox="1"/>
      </xdr:nvSpPr>
      <xdr:spPr>
        <a:xfrm>
          <a:off x="24924520" y="2838450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MLB_CLK</a:t>
          </a:r>
        </a:p>
      </xdr:txBody>
    </xdr:sp>
    <xdr:clientData/>
  </xdr:oneCellAnchor>
  <xdr:twoCellAnchor>
    <xdr:from>
      <xdr:col>39</xdr:col>
      <xdr:colOff>248633</xdr:colOff>
      <xdr:row>144</xdr:row>
      <xdr:rowOff>103606</xdr:rowOff>
    </xdr:from>
    <xdr:to>
      <xdr:col>39</xdr:col>
      <xdr:colOff>604345</xdr:colOff>
      <xdr:row>144</xdr:row>
      <xdr:rowOff>105163</xdr:rowOff>
    </xdr:to>
    <xdr:cxnSp macro="">
      <xdr:nvCxnSpPr>
        <xdr:cNvPr id="613" name="Straight Arrow Connector 612">
          <a:extLst>
            <a:ext uri="{FF2B5EF4-FFF2-40B4-BE49-F238E27FC236}">
              <a16:creationId xmlns:a16="http://schemas.microsoft.com/office/drawing/2014/main" id="{00000000-0008-0000-0200-000065020000}"/>
            </a:ext>
          </a:extLst>
        </xdr:cNvPr>
        <xdr:cNvCxnSpPr>
          <a:endCxn id="590" idx="3"/>
        </xdr:cNvCxnSpPr>
      </xdr:nvCxnSpPr>
      <xdr:spPr>
        <a:xfrm flipH="1" flipV="1">
          <a:off x="24074271" y="29749347"/>
          <a:ext cx="355712" cy="1557"/>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308741</xdr:colOff>
      <xdr:row>144</xdr:row>
      <xdr:rowOff>37470</xdr:rowOff>
    </xdr:from>
    <xdr:to>
      <xdr:col>33</xdr:col>
      <xdr:colOff>545224</xdr:colOff>
      <xdr:row>144</xdr:row>
      <xdr:rowOff>37471</xdr:rowOff>
    </xdr:to>
    <xdr:cxnSp macro="">
      <xdr:nvCxnSpPr>
        <xdr:cNvPr id="615" name="Straight Arrow Connector 614">
          <a:extLst>
            <a:ext uri="{FF2B5EF4-FFF2-40B4-BE49-F238E27FC236}">
              <a16:creationId xmlns:a16="http://schemas.microsoft.com/office/drawing/2014/main" id="{00000000-0008-0000-0200-000067020000}"/>
            </a:ext>
          </a:extLst>
        </xdr:cNvPr>
        <xdr:cNvCxnSpPr/>
      </xdr:nvCxnSpPr>
      <xdr:spPr>
        <a:xfrm flipV="1">
          <a:off x="11916103" y="29683211"/>
          <a:ext cx="8789276" cy="1"/>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315311</xdr:colOff>
      <xdr:row>145</xdr:row>
      <xdr:rowOff>1772</xdr:rowOff>
    </xdr:from>
    <xdr:to>
      <xdr:col>33</xdr:col>
      <xdr:colOff>538655</xdr:colOff>
      <xdr:row>145</xdr:row>
      <xdr:rowOff>1772</xdr:rowOff>
    </xdr:to>
    <xdr:cxnSp macro="">
      <xdr:nvCxnSpPr>
        <xdr:cNvPr id="616" name="Straight Arrow Connector 615">
          <a:extLst>
            <a:ext uri="{FF2B5EF4-FFF2-40B4-BE49-F238E27FC236}">
              <a16:creationId xmlns:a16="http://schemas.microsoft.com/office/drawing/2014/main" id="{00000000-0008-0000-0200-000068020000}"/>
            </a:ext>
          </a:extLst>
        </xdr:cNvPr>
        <xdr:cNvCxnSpPr/>
      </xdr:nvCxnSpPr>
      <xdr:spPr>
        <a:xfrm>
          <a:off x="10700845" y="29857720"/>
          <a:ext cx="9997965"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306456</xdr:colOff>
      <xdr:row>148</xdr:row>
      <xdr:rowOff>80925</xdr:rowOff>
    </xdr:from>
    <xdr:to>
      <xdr:col>33</xdr:col>
      <xdr:colOff>532086</xdr:colOff>
      <xdr:row>148</xdr:row>
      <xdr:rowOff>80925</xdr:rowOff>
    </xdr:to>
    <xdr:cxnSp macro="">
      <xdr:nvCxnSpPr>
        <xdr:cNvPr id="618" name="Straight Arrow Connector 617">
          <a:extLst>
            <a:ext uri="{FF2B5EF4-FFF2-40B4-BE49-F238E27FC236}">
              <a16:creationId xmlns:a16="http://schemas.microsoft.com/office/drawing/2014/main" id="{00000000-0008-0000-0200-00006A020000}"/>
            </a:ext>
          </a:extLst>
        </xdr:cNvPr>
        <xdr:cNvCxnSpPr/>
      </xdr:nvCxnSpPr>
      <xdr:spPr>
        <a:xfrm>
          <a:off x="8859249" y="30574063"/>
          <a:ext cx="11832992" cy="0"/>
        </a:xfrm>
        <a:prstGeom prst="straightConnector1">
          <a:avLst/>
        </a:prstGeom>
        <a:ln w="19050">
          <a:solidFill>
            <a:schemeClr val="accent6">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339587</xdr:colOff>
      <xdr:row>201</xdr:row>
      <xdr:rowOff>5412</xdr:rowOff>
    </xdr:from>
    <xdr:to>
      <xdr:col>35</xdr:col>
      <xdr:colOff>376122</xdr:colOff>
      <xdr:row>201</xdr:row>
      <xdr:rowOff>5412</xdr:rowOff>
    </xdr:to>
    <xdr:cxnSp macro="">
      <xdr:nvCxnSpPr>
        <xdr:cNvPr id="633" name="Straight Arrow Connector 632">
          <a:extLst>
            <a:ext uri="{FF2B5EF4-FFF2-40B4-BE49-F238E27FC236}">
              <a16:creationId xmlns:a16="http://schemas.microsoft.com/office/drawing/2014/main" id="{00000000-0008-0000-0200-000079020000}"/>
            </a:ext>
          </a:extLst>
        </xdr:cNvPr>
        <xdr:cNvCxnSpPr/>
      </xdr:nvCxnSpPr>
      <xdr:spPr>
        <a:xfrm>
          <a:off x="20565717" y="39389216"/>
          <a:ext cx="1262362"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48153</xdr:colOff>
      <xdr:row>201</xdr:row>
      <xdr:rowOff>132087</xdr:rowOff>
    </xdr:from>
    <xdr:to>
      <xdr:col>35</xdr:col>
      <xdr:colOff>373230</xdr:colOff>
      <xdr:row>201</xdr:row>
      <xdr:rowOff>132087</xdr:rowOff>
    </xdr:to>
    <xdr:cxnSp macro="">
      <xdr:nvCxnSpPr>
        <xdr:cNvPr id="634" name="Straight Arrow Connector 633">
          <a:extLst>
            <a:ext uri="{FF2B5EF4-FFF2-40B4-BE49-F238E27FC236}">
              <a16:creationId xmlns:a16="http://schemas.microsoft.com/office/drawing/2014/main" id="{00000000-0008-0000-0200-00007A020000}"/>
            </a:ext>
          </a:extLst>
        </xdr:cNvPr>
        <xdr:cNvCxnSpPr>
          <a:endCxn id="625" idx="1"/>
        </xdr:cNvCxnSpPr>
      </xdr:nvCxnSpPr>
      <xdr:spPr>
        <a:xfrm>
          <a:off x="20887196" y="39515891"/>
          <a:ext cx="937991"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70010</xdr:colOff>
      <xdr:row>201</xdr:row>
      <xdr:rowOff>17945</xdr:rowOff>
    </xdr:from>
    <xdr:to>
      <xdr:col>34</xdr:col>
      <xdr:colOff>70010</xdr:colOff>
      <xdr:row>201</xdr:row>
      <xdr:rowOff>154867</xdr:rowOff>
    </xdr:to>
    <xdr:cxnSp macro="">
      <xdr:nvCxnSpPr>
        <xdr:cNvPr id="635" name="Straight Arrow Connector 634">
          <a:extLst>
            <a:ext uri="{FF2B5EF4-FFF2-40B4-BE49-F238E27FC236}">
              <a16:creationId xmlns:a16="http://schemas.microsoft.com/office/drawing/2014/main" id="{00000000-0008-0000-0200-00007B020000}"/>
            </a:ext>
          </a:extLst>
        </xdr:cNvPr>
        <xdr:cNvCxnSpPr/>
      </xdr:nvCxnSpPr>
      <xdr:spPr>
        <a:xfrm>
          <a:off x="20909053" y="39401749"/>
          <a:ext cx="0" cy="136922"/>
        </a:xfrm>
        <a:prstGeom prst="straightConnector1">
          <a:avLst/>
        </a:prstGeom>
        <a:ln w="38100">
          <a:solidFill>
            <a:schemeClr val="accent4">
              <a:lumMod val="7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298174</xdr:colOff>
      <xdr:row>203</xdr:row>
      <xdr:rowOff>119668</xdr:rowOff>
    </xdr:from>
    <xdr:to>
      <xdr:col>35</xdr:col>
      <xdr:colOff>367274</xdr:colOff>
      <xdr:row>203</xdr:row>
      <xdr:rowOff>153314</xdr:rowOff>
    </xdr:to>
    <xdr:cxnSp macro="">
      <xdr:nvCxnSpPr>
        <xdr:cNvPr id="636" name="Straight Arrow Connector 635">
          <a:extLst>
            <a:ext uri="{FF2B5EF4-FFF2-40B4-BE49-F238E27FC236}">
              <a16:creationId xmlns:a16="http://schemas.microsoft.com/office/drawing/2014/main" id="{00000000-0008-0000-0200-00007C020000}"/>
            </a:ext>
          </a:extLst>
        </xdr:cNvPr>
        <xdr:cNvCxnSpPr>
          <a:endCxn id="623" idx="1"/>
        </xdr:cNvCxnSpPr>
      </xdr:nvCxnSpPr>
      <xdr:spPr>
        <a:xfrm>
          <a:off x="9491870" y="39884472"/>
          <a:ext cx="12327361" cy="33646"/>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88258</xdr:colOff>
      <xdr:row>204</xdr:row>
      <xdr:rowOff>85348</xdr:rowOff>
    </xdr:from>
    <xdr:to>
      <xdr:col>35</xdr:col>
      <xdr:colOff>372953</xdr:colOff>
      <xdr:row>204</xdr:row>
      <xdr:rowOff>86042</xdr:rowOff>
    </xdr:to>
    <xdr:cxnSp macro="">
      <xdr:nvCxnSpPr>
        <xdr:cNvPr id="640" name="Straight Arrow Connector 639">
          <a:extLst>
            <a:ext uri="{FF2B5EF4-FFF2-40B4-BE49-F238E27FC236}">
              <a16:creationId xmlns:a16="http://schemas.microsoft.com/office/drawing/2014/main" id="{00000000-0008-0000-0200-000080020000}"/>
            </a:ext>
          </a:extLst>
        </xdr:cNvPr>
        <xdr:cNvCxnSpPr>
          <a:endCxn id="643" idx="1"/>
        </xdr:cNvCxnSpPr>
      </xdr:nvCxnSpPr>
      <xdr:spPr>
        <a:xfrm flipV="1">
          <a:off x="20814658" y="40384262"/>
          <a:ext cx="894295" cy="694"/>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92067</xdr:colOff>
      <xdr:row>203</xdr:row>
      <xdr:rowOff>175358</xdr:rowOff>
    </xdr:from>
    <xdr:to>
      <xdr:col>34</xdr:col>
      <xdr:colOff>92067</xdr:colOff>
      <xdr:row>204</xdr:row>
      <xdr:rowOff>121780</xdr:rowOff>
    </xdr:to>
    <xdr:cxnSp macro="">
      <xdr:nvCxnSpPr>
        <xdr:cNvPr id="641" name="Straight Arrow Connector 640">
          <a:extLst>
            <a:ext uri="{FF2B5EF4-FFF2-40B4-BE49-F238E27FC236}">
              <a16:creationId xmlns:a16="http://schemas.microsoft.com/office/drawing/2014/main" id="{00000000-0008-0000-0200-000081020000}"/>
            </a:ext>
          </a:extLst>
        </xdr:cNvPr>
        <xdr:cNvCxnSpPr/>
      </xdr:nvCxnSpPr>
      <xdr:spPr>
        <a:xfrm>
          <a:off x="20931110" y="39940162"/>
          <a:ext cx="0" cy="136922"/>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367274</xdr:colOff>
      <xdr:row>200</xdr:row>
      <xdr:rowOff>107674</xdr:rowOff>
    </xdr:from>
    <xdr:to>
      <xdr:col>37</xdr:col>
      <xdr:colOff>177820</xdr:colOff>
      <xdr:row>204</xdr:row>
      <xdr:rowOff>178977</xdr:rowOff>
    </xdr:to>
    <xdr:grpSp>
      <xdr:nvGrpSpPr>
        <xdr:cNvPr id="43" name="Group 42">
          <a:extLst>
            <a:ext uri="{FF2B5EF4-FFF2-40B4-BE49-F238E27FC236}">
              <a16:creationId xmlns:a16="http://schemas.microsoft.com/office/drawing/2014/main" id="{00000000-0008-0000-0200-00002B000000}"/>
            </a:ext>
          </a:extLst>
        </xdr:cNvPr>
        <xdr:cNvGrpSpPr/>
      </xdr:nvGrpSpPr>
      <xdr:grpSpPr>
        <a:xfrm>
          <a:off x="21703274" y="39163105"/>
          <a:ext cx="1029746" cy="798134"/>
          <a:chOff x="21703274" y="39644588"/>
          <a:chExt cx="1029746" cy="833303"/>
        </a:xfrm>
      </xdr:grpSpPr>
      <xdr:grpSp>
        <xdr:nvGrpSpPr>
          <xdr:cNvPr id="619" name="Group 618">
            <a:extLst>
              <a:ext uri="{FF2B5EF4-FFF2-40B4-BE49-F238E27FC236}">
                <a16:creationId xmlns:a16="http://schemas.microsoft.com/office/drawing/2014/main" id="{00000000-0008-0000-0200-00006B020000}"/>
              </a:ext>
            </a:extLst>
          </xdr:cNvPr>
          <xdr:cNvGrpSpPr/>
        </xdr:nvGrpSpPr>
        <xdr:grpSpPr>
          <a:xfrm>
            <a:off x="21703274" y="39644588"/>
            <a:ext cx="1029746" cy="821026"/>
            <a:chOff x="10072174" y="3587222"/>
            <a:chExt cx="1034541" cy="821026"/>
          </a:xfrm>
        </xdr:grpSpPr>
        <xdr:grpSp>
          <xdr:nvGrpSpPr>
            <xdr:cNvPr id="620" name="Group 619">
              <a:extLst>
                <a:ext uri="{FF2B5EF4-FFF2-40B4-BE49-F238E27FC236}">
                  <a16:creationId xmlns:a16="http://schemas.microsoft.com/office/drawing/2014/main" id="{00000000-0008-0000-0200-00006C020000}"/>
                </a:ext>
              </a:extLst>
            </xdr:cNvPr>
            <xdr:cNvGrpSpPr/>
          </xdr:nvGrpSpPr>
          <xdr:grpSpPr>
            <a:xfrm>
              <a:off x="10078119" y="3587222"/>
              <a:ext cx="1028596" cy="821026"/>
              <a:chOff x="21781706" y="23964432"/>
              <a:chExt cx="1043337" cy="767666"/>
            </a:xfrm>
          </xdr:grpSpPr>
          <xdr:grpSp>
            <xdr:nvGrpSpPr>
              <xdr:cNvPr id="624" name="Group 623">
                <a:extLst>
                  <a:ext uri="{FF2B5EF4-FFF2-40B4-BE49-F238E27FC236}">
                    <a16:creationId xmlns:a16="http://schemas.microsoft.com/office/drawing/2014/main" id="{00000000-0008-0000-0200-000070020000}"/>
                  </a:ext>
                </a:extLst>
              </xdr:cNvPr>
              <xdr:cNvGrpSpPr/>
            </xdr:nvGrpSpPr>
            <xdr:grpSpPr>
              <a:xfrm>
                <a:off x="21788337" y="23964432"/>
                <a:ext cx="1036706" cy="767666"/>
                <a:chOff x="21618230" y="22624897"/>
                <a:chExt cx="1029359" cy="767666"/>
              </a:xfrm>
            </xdr:grpSpPr>
            <xdr:sp macro="" textlink="">
              <xdr:nvSpPr>
                <xdr:cNvPr id="627" name="Rectangle 626">
                  <a:extLst>
                    <a:ext uri="{FF2B5EF4-FFF2-40B4-BE49-F238E27FC236}">
                      <a16:creationId xmlns:a16="http://schemas.microsoft.com/office/drawing/2014/main" id="{00000000-0008-0000-0200-00007302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PRAM</a:t>
                  </a:r>
                </a:p>
              </xdr:txBody>
            </xdr:sp>
            <xdr:sp macro="" textlink="">
              <xdr:nvSpPr>
                <xdr:cNvPr id="629" name="TextBox 628">
                  <a:extLst>
                    <a:ext uri="{FF2B5EF4-FFF2-40B4-BE49-F238E27FC236}">
                      <a16:creationId xmlns:a16="http://schemas.microsoft.com/office/drawing/2014/main" id="{00000000-0008-0000-0200-00007502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grpSp>
          <xdr:sp macro="" textlink="">
            <xdr:nvSpPr>
              <xdr:cNvPr id="625" name="TextBox 624">
                <a:extLst>
                  <a:ext uri="{FF2B5EF4-FFF2-40B4-BE49-F238E27FC236}">
                    <a16:creationId xmlns:a16="http://schemas.microsoft.com/office/drawing/2014/main" id="{00000000-0008-0000-0200-000071020000}"/>
                  </a:ext>
                </a:extLst>
              </xdr:cNvPr>
              <xdr:cNvSpPr txBox="1"/>
            </xdr:nvSpPr>
            <xdr:spPr>
              <a:xfrm>
                <a:off x="21781706" y="24072608"/>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baseline="0">
                    <a:solidFill>
                      <a:schemeClr val="bg1"/>
                    </a:solidFill>
                  </a:rPr>
                  <a:t>Memory CLK</a:t>
                </a:r>
                <a:endParaRPr lang="en-US" sz="600">
                  <a:solidFill>
                    <a:schemeClr val="bg1"/>
                  </a:solidFill>
                </a:endParaRPr>
              </a:p>
            </xdr:txBody>
          </xdr:sp>
        </xdr:grpSp>
        <xdr:sp macro="" textlink="">
          <xdr:nvSpPr>
            <xdr:cNvPr id="623" name="TextBox 622">
              <a:extLst>
                <a:ext uri="{FF2B5EF4-FFF2-40B4-BE49-F238E27FC236}">
                  <a16:creationId xmlns:a16="http://schemas.microsoft.com/office/drawing/2014/main" id="{00000000-0008-0000-0200-00006F020000}"/>
                </a:ext>
              </a:extLst>
            </xdr:cNvPr>
            <xdr:cNvSpPr txBox="1"/>
          </xdr:nvSpPr>
          <xdr:spPr>
            <a:xfrm>
              <a:off x="10072174" y="4105144"/>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643" name="TextBox 642">
            <a:extLst>
              <a:ext uri="{FF2B5EF4-FFF2-40B4-BE49-F238E27FC236}">
                <a16:creationId xmlns:a16="http://schemas.microsoft.com/office/drawing/2014/main" id="{00000000-0008-0000-0200-000083020000}"/>
              </a:ext>
            </a:extLst>
          </xdr:cNvPr>
          <xdr:cNvSpPr txBox="1"/>
        </xdr:nvSpPr>
        <xdr:spPr>
          <a:xfrm>
            <a:off x="21708953" y="40290632"/>
            <a:ext cx="731426" cy="187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CLK</a:t>
            </a:r>
          </a:p>
        </xdr:txBody>
      </xdr:sp>
    </xdr:grpSp>
    <xdr:clientData/>
  </xdr:twoCellAnchor>
  <xdr:oneCellAnchor>
    <xdr:from>
      <xdr:col>4</xdr:col>
      <xdr:colOff>361294</xdr:colOff>
      <xdr:row>72</xdr:row>
      <xdr:rowOff>13138</xdr:rowOff>
    </xdr:from>
    <xdr:ext cx="1057275" cy="419101"/>
    <xdr:sp macro="" textlink="">
      <xdr:nvSpPr>
        <xdr:cNvPr id="447" name="TextBox 446">
          <a:hlinkClick xmlns:r="http://schemas.openxmlformats.org/officeDocument/2006/relationships" r:id="rId26"/>
          <a:extLst>
            <a:ext uri="{FF2B5EF4-FFF2-40B4-BE49-F238E27FC236}">
              <a16:creationId xmlns:a16="http://schemas.microsoft.com/office/drawing/2014/main" id="{00000000-0008-0000-0200-0000BF010000}"/>
            </a:ext>
          </a:extLst>
        </xdr:cNvPr>
        <xdr:cNvSpPr txBox="1"/>
      </xdr:nvSpPr>
      <xdr:spPr>
        <a:xfrm>
          <a:off x="2804949" y="1430063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800" b="1"/>
            <a:t>BCLK_TX/RX_SAI0</a:t>
          </a:r>
        </a:p>
      </xdr:txBody>
    </xdr:sp>
    <xdr:clientData/>
  </xdr:oneCellAnchor>
  <xdr:oneCellAnchor>
    <xdr:from>
      <xdr:col>1</xdr:col>
      <xdr:colOff>397329</xdr:colOff>
      <xdr:row>74</xdr:row>
      <xdr:rowOff>83331</xdr:rowOff>
    </xdr:from>
    <xdr:ext cx="1057275" cy="419101"/>
    <xdr:sp macro="" textlink="">
      <xdr:nvSpPr>
        <xdr:cNvPr id="450" name="TextBox 449">
          <a:extLst>
            <a:ext uri="{FF2B5EF4-FFF2-40B4-BE49-F238E27FC236}">
              <a16:creationId xmlns:a16="http://schemas.microsoft.com/office/drawing/2014/main" id="{00000000-0008-0000-0200-0000C2010000}"/>
            </a:ext>
          </a:extLst>
        </xdr:cNvPr>
        <xdr:cNvSpPr txBox="1"/>
      </xdr:nvSpPr>
      <xdr:spPr>
        <a:xfrm>
          <a:off x="1006929" y="1488790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BCLK[0]</a:t>
          </a:r>
        </a:p>
      </xdr:txBody>
    </xdr:sp>
    <xdr:clientData/>
  </xdr:oneCellAnchor>
  <xdr:oneCellAnchor>
    <xdr:from>
      <xdr:col>1</xdr:col>
      <xdr:colOff>412050</xdr:colOff>
      <xdr:row>95</xdr:row>
      <xdr:rowOff>87292</xdr:rowOff>
    </xdr:from>
    <xdr:ext cx="1057275" cy="419101"/>
    <xdr:sp macro="" textlink="">
      <xdr:nvSpPr>
        <xdr:cNvPr id="480" name="TextBox 479">
          <a:extLst>
            <a:ext uri="{FF2B5EF4-FFF2-40B4-BE49-F238E27FC236}">
              <a16:creationId xmlns:a16="http://schemas.microsoft.com/office/drawing/2014/main" id="{00000000-0008-0000-0200-0000E0010000}"/>
            </a:ext>
          </a:extLst>
        </xdr:cNvPr>
        <xdr:cNvSpPr txBox="1"/>
      </xdr:nvSpPr>
      <xdr:spPr>
        <a:xfrm>
          <a:off x="1021650" y="1927336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BCLK[2]</a:t>
          </a:r>
        </a:p>
      </xdr:txBody>
    </xdr:sp>
    <xdr:clientData/>
  </xdr:oneCellAnchor>
  <xdr:twoCellAnchor>
    <xdr:from>
      <xdr:col>3</xdr:col>
      <xdr:colOff>275897</xdr:colOff>
      <xdr:row>74</xdr:row>
      <xdr:rowOff>26277</xdr:rowOff>
    </xdr:from>
    <xdr:to>
      <xdr:col>6</xdr:col>
      <xdr:colOff>426983</xdr:colOff>
      <xdr:row>74</xdr:row>
      <xdr:rowOff>26277</xdr:rowOff>
    </xdr:to>
    <xdr:cxnSp macro="">
      <xdr:nvCxnSpPr>
        <xdr:cNvPr id="482" name="Straight Arrow Connector 481">
          <a:extLst>
            <a:ext uri="{FF2B5EF4-FFF2-40B4-BE49-F238E27FC236}">
              <a16:creationId xmlns:a16="http://schemas.microsoft.com/office/drawing/2014/main" id="{00000000-0008-0000-0200-0000E2010000}"/>
            </a:ext>
          </a:extLst>
        </xdr:cNvPr>
        <xdr:cNvCxnSpPr/>
      </xdr:nvCxnSpPr>
      <xdr:spPr>
        <a:xfrm>
          <a:off x="2108638" y="14701346"/>
          <a:ext cx="19838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282465</xdr:colOff>
      <xdr:row>74</xdr:row>
      <xdr:rowOff>26277</xdr:rowOff>
    </xdr:from>
    <xdr:to>
      <xdr:col>3</xdr:col>
      <xdr:colOff>282465</xdr:colOff>
      <xdr:row>74</xdr:row>
      <xdr:rowOff>201386</xdr:rowOff>
    </xdr:to>
    <xdr:cxnSp macro="">
      <xdr:nvCxnSpPr>
        <xdr:cNvPr id="483" name="Straight Arrow Connector 482">
          <a:extLst>
            <a:ext uri="{FF2B5EF4-FFF2-40B4-BE49-F238E27FC236}">
              <a16:creationId xmlns:a16="http://schemas.microsoft.com/office/drawing/2014/main" id="{00000000-0008-0000-0200-0000E3010000}"/>
            </a:ext>
          </a:extLst>
        </xdr:cNvPr>
        <xdr:cNvCxnSpPr/>
      </xdr:nvCxnSpPr>
      <xdr:spPr>
        <a:xfrm flipV="1">
          <a:off x="2111265" y="14830848"/>
          <a:ext cx="0" cy="175109"/>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51289</xdr:colOff>
      <xdr:row>79</xdr:row>
      <xdr:rowOff>124430</xdr:rowOff>
    </xdr:from>
    <xdr:to>
      <xdr:col>23</xdr:col>
      <xdr:colOff>309462</xdr:colOff>
      <xdr:row>79</xdr:row>
      <xdr:rowOff>124430</xdr:rowOff>
    </xdr:to>
    <xdr:cxnSp macro="">
      <xdr:nvCxnSpPr>
        <xdr:cNvPr id="488" name="Straight Arrow Connector 487">
          <a:extLst>
            <a:ext uri="{FF2B5EF4-FFF2-40B4-BE49-F238E27FC236}">
              <a16:creationId xmlns:a16="http://schemas.microsoft.com/office/drawing/2014/main" id="{00000000-0008-0000-0200-0000E8010000}"/>
            </a:ext>
          </a:extLst>
        </xdr:cNvPr>
        <xdr:cNvCxnSpPr/>
      </xdr:nvCxnSpPr>
      <xdr:spPr>
        <a:xfrm flipH="1">
          <a:off x="6132635" y="16434161"/>
          <a:ext cx="816392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213680</xdr:colOff>
      <xdr:row>82</xdr:row>
      <xdr:rowOff>184971</xdr:rowOff>
    </xdr:from>
    <xdr:to>
      <xdr:col>10</xdr:col>
      <xdr:colOff>324940</xdr:colOff>
      <xdr:row>82</xdr:row>
      <xdr:rowOff>184971</xdr:rowOff>
    </xdr:to>
    <xdr:cxnSp macro="">
      <xdr:nvCxnSpPr>
        <xdr:cNvPr id="489" name="Straight Arrow Connector 488">
          <a:extLst>
            <a:ext uri="{FF2B5EF4-FFF2-40B4-BE49-F238E27FC236}">
              <a16:creationId xmlns:a16="http://schemas.microsoft.com/office/drawing/2014/main" id="{00000000-0008-0000-0200-0000E9010000}"/>
            </a:ext>
          </a:extLst>
        </xdr:cNvPr>
        <xdr:cNvCxnSpPr/>
      </xdr:nvCxnSpPr>
      <xdr:spPr>
        <a:xfrm flipH="1">
          <a:off x="5090480" y="16644171"/>
          <a:ext cx="1330460"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430221</xdr:colOff>
      <xdr:row>80</xdr:row>
      <xdr:rowOff>150636</xdr:rowOff>
    </xdr:from>
    <xdr:to>
      <xdr:col>8</xdr:col>
      <xdr:colOff>215730</xdr:colOff>
      <xdr:row>84</xdr:row>
      <xdr:rowOff>100348</xdr:rowOff>
    </xdr:to>
    <xdr:sp macro="" textlink="">
      <xdr:nvSpPr>
        <xdr:cNvPr id="490" name="Rectangle 489">
          <a:hlinkClick xmlns:r="http://schemas.openxmlformats.org/officeDocument/2006/relationships" r:id="rId9"/>
          <a:extLst>
            <a:ext uri="{FF2B5EF4-FFF2-40B4-BE49-F238E27FC236}">
              <a16:creationId xmlns:a16="http://schemas.microsoft.com/office/drawing/2014/main" id="{00000000-0008-0000-0200-0000EA010000}"/>
            </a:ext>
          </a:extLst>
        </xdr:cNvPr>
        <xdr:cNvSpPr/>
      </xdr:nvSpPr>
      <xdr:spPr>
        <a:xfrm>
          <a:off x="4087821" y="16217950"/>
          <a:ext cx="1004709" cy="7661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 Clock Generator</a:t>
          </a:r>
        </a:p>
        <a:p>
          <a:pPr algn="ctr"/>
          <a:r>
            <a:rPr lang="en-US" sz="1000" baseline="0"/>
            <a:t>Click me for more info</a:t>
          </a:r>
        </a:p>
      </xdr:txBody>
    </xdr:sp>
    <xdr:clientData/>
  </xdr:twoCellAnchor>
  <xdr:twoCellAnchor>
    <xdr:from>
      <xdr:col>4</xdr:col>
      <xdr:colOff>238132</xdr:colOff>
      <xdr:row>81</xdr:row>
      <xdr:rowOff>14779</xdr:rowOff>
    </xdr:from>
    <xdr:to>
      <xdr:col>6</xdr:col>
      <xdr:colOff>432836</xdr:colOff>
      <xdr:row>81</xdr:row>
      <xdr:rowOff>14837</xdr:rowOff>
    </xdr:to>
    <xdr:cxnSp macro="">
      <xdr:nvCxnSpPr>
        <xdr:cNvPr id="491" name="Straight Arrow Connector 490">
          <a:extLst>
            <a:ext uri="{FF2B5EF4-FFF2-40B4-BE49-F238E27FC236}">
              <a16:creationId xmlns:a16="http://schemas.microsoft.com/office/drawing/2014/main" id="{00000000-0008-0000-0200-0000EB010000}"/>
            </a:ext>
          </a:extLst>
        </xdr:cNvPr>
        <xdr:cNvCxnSpPr>
          <a:endCxn id="507" idx="3"/>
        </xdr:cNvCxnSpPr>
      </xdr:nvCxnSpPr>
      <xdr:spPr>
        <a:xfrm flipH="1" flipV="1">
          <a:off x="2676532" y="16272593"/>
          <a:ext cx="1413904" cy="58"/>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241049</xdr:colOff>
      <xdr:row>82</xdr:row>
      <xdr:rowOff>141207</xdr:rowOff>
    </xdr:from>
    <xdr:to>
      <xdr:col>6</xdr:col>
      <xdr:colOff>430221</xdr:colOff>
      <xdr:row>82</xdr:row>
      <xdr:rowOff>141821</xdr:rowOff>
    </xdr:to>
    <xdr:cxnSp macro="">
      <xdr:nvCxnSpPr>
        <xdr:cNvPr id="492" name="Straight Arrow Connector 491">
          <a:extLst>
            <a:ext uri="{FF2B5EF4-FFF2-40B4-BE49-F238E27FC236}">
              <a16:creationId xmlns:a16="http://schemas.microsoft.com/office/drawing/2014/main" id="{00000000-0008-0000-0200-0000EC010000}"/>
            </a:ext>
          </a:extLst>
        </xdr:cNvPr>
        <xdr:cNvCxnSpPr>
          <a:stCxn id="490" idx="1"/>
        </xdr:cNvCxnSpPr>
      </xdr:nvCxnSpPr>
      <xdr:spPr>
        <a:xfrm flipH="1" flipV="1">
          <a:off x="2679449" y="16600407"/>
          <a:ext cx="1408372" cy="61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402188</xdr:colOff>
      <xdr:row>85</xdr:row>
      <xdr:rowOff>100761</xdr:rowOff>
    </xdr:from>
    <xdr:ext cx="1057275" cy="419101"/>
    <xdr:sp macro="" textlink="">
      <xdr:nvSpPr>
        <xdr:cNvPr id="493" name="TextBox 492">
          <a:hlinkClick xmlns:r="http://schemas.openxmlformats.org/officeDocument/2006/relationships" r:id="rId10"/>
          <a:extLst>
            <a:ext uri="{FF2B5EF4-FFF2-40B4-BE49-F238E27FC236}">
              <a16:creationId xmlns:a16="http://schemas.microsoft.com/office/drawing/2014/main" id="{00000000-0008-0000-0200-0000ED010000}"/>
            </a:ext>
          </a:extLst>
        </xdr:cNvPr>
        <xdr:cNvSpPr txBox="1"/>
      </xdr:nvSpPr>
      <xdr:spPr>
        <a:xfrm>
          <a:off x="2840588" y="1719677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MLB_CLK</a:t>
          </a:r>
        </a:p>
      </xdr:txBody>
    </xdr:sp>
    <xdr:clientData/>
  </xdr:oneCellAnchor>
  <xdr:twoCellAnchor>
    <xdr:from>
      <xdr:col>6</xdr:col>
      <xdr:colOff>604735</xdr:colOff>
      <xdr:row>86</xdr:row>
      <xdr:rowOff>81961</xdr:rowOff>
    </xdr:from>
    <xdr:to>
      <xdr:col>7</xdr:col>
      <xdr:colOff>170375</xdr:colOff>
      <xdr:row>86</xdr:row>
      <xdr:rowOff>81961</xdr:rowOff>
    </xdr:to>
    <xdr:cxnSp macro="">
      <xdr:nvCxnSpPr>
        <xdr:cNvPr id="494" name="Straight Arrow Connector 493">
          <a:extLst>
            <a:ext uri="{FF2B5EF4-FFF2-40B4-BE49-F238E27FC236}">
              <a16:creationId xmlns:a16="http://schemas.microsoft.com/office/drawing/2014/main" id="{00000000-0008-0000-0200-0000EE010000}"/>
            </a:ext>
          </a:extLst>
        </xdr:cNvPr>
        <xdr:cNvCxnSpPr/>
      </xdr:nvCxnSpPr>
      <xdr:spPr>
        <a:xfrm>
          <a:off x="4262335" y="17390247"/>
          <a:ext cx="175240"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175771</xdr:colOff>
      <xdr:row>84</xdr:row>
      <xdr:rowOff>144244</xdr:rowOff>
    </xdr:from>
    <xdr:to>
      <xdr:col>7</xdr:col>
      <xdr:colOff>180142</xdr:colOff>
      <xdr:row>86</xdr:row>
      <xdr:rowOff>87085</xdr:rowOff>
    </xdr:to>
    <xdr:cxnSp macro="">
      <xdr:nvCxnSpPr>
        <xdr:cNvPr id="495" name="Straight Arrow Connector 494">
          <a:extLst>
            <a:ext uri="{FF2B5EF4-FFF2-40B4-BE49-F238E27FC236}">
              <a16:creationId xmlns:a16="http://schemas.microsoft.com/office/drawing/2014/main" id="{00000000-0008-0000-0200-0000EF010000}"/>
            </a:ext>
          </a:extLst>
        </xdr:cNvPr>
        <xdr:cNvCxnSpPr/>
      </xdr:nvCxnSpPr>
      <xdr:spPr>
        <a:xfrm flipH="1" flipV="1">
          <a:off x="4442971" y="17027987"/>
          <a:ext cx="4371" cy="36738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12453</xdr:colOff>
      <xdr:row>88</xdr:row>
      <xdr:rowOff>118888</xdr:rowOff>
    </xdr:from>
    <xdr:to>
      <xdr:col>7</xdr:col>
      <xdr:colOff>278614</xdr:colOff>
      <xdr:row>88</xdr:row>
      <xdr:rowOff>118888</xdr:rowOff>
    </xdr:to>
    <xdr:cxnSp macro="">
      <xdr:nvCxnSpPr>
        <xdr:cNvPr id="496" name="Straight Arrow Connector 495">
          <a:extLst>
            <a:ext uri="{FF2B5EF4-FFF2-40B4-BE49-F238E27FC236}">
              <a16:creationId xmlns:a16="http://schemas.microsoft.com/office/drawing/2014/main" id="{00000000-0008-0000-0200-0000F0010000}"/>
            </a:ext>
          </a:extLst>
        </xdr:cNvPr>
        <xdr:cNvCxnSpPr/>
      </xdr:nvCxnSpPr>
      <xdr:spPr>
        <a:xfrm>
          <a:off x="4279653" y="17851717"/>
          <a:ext cx="26616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276218</xdr:colOff>
      <xdr:row>84</xdr:row>
      <xdr:rowOff>153597</xdr:rowOff>
    </xdr:from>
    <xdr:to>
      <xdr:col>7</xdr:col>
      <xdr:colOff>287308</xdr:colOff>
      <xdr:row>88</xdr:row>
      <xdr:rowOff>136071</xdr:rowOff>
    </xdr:to>
    <xdr:cxnSp macro="">
      <xdr:nvCxnSpPr>
        <xdr:cNvPr id="497" name="Straight Arrow Connector 496">
          <a:extLst>
            <a:ext uri="{FF2B5EF4-FFF2-40B4-BE49-F238E27FC236}">
              <a16:creationId xmlns:a16="http://schemas.microsoft.com/office/drawing/2014/main" id="{00000000-0008-0000-0200-0000F1010000}"/>
            </a:ext>
          </a:extLst>
        </xdr:cNvPr>
        <xdr:cNvCxnSpPr/>
      </xdr:nvCxnSpPr>
      <xdr:spPr>
        <a:xfrm flipH="1" flipV="1">
          <a:off x="4543418" y="17037340"/>
          <a:ext cx="11090" cy="83156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420520</xdr:colOff>
      <xdr:row>87</xdr:row>
      <xdr:rowOff>92351</xdr:rowOff>
    </xdr:from>
    <xdr:ext cx="1057275" cy="419101"/>
    <xdr:sp macro="" textlink="">
      <xdr:nvSpPr>
        <xdr:cNvPr id="498" name="TextBox 497">
          <a:extLst>
            <a:ext uri="{FF2B5EF4-FFF2-40B4-BE49-F238E27FC236}">
              <a16:creationId xmlns:a16="http://schemas.microsoft.com/office/drawing/2014/main" id="{00000000-0008-0000-0200-0000F2010000}"/>
            </a:ext>
          </a:extLst>
        </xdr:cNvPr>
        <xdr:cNvSpPr txBox="1"/>
      </xdr:nvSpPr>
      <xdr:spPr>
        <a:xfrm>
          <a:off x="2858920" y="1761290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MCLK[1]</a:t>
          </a:r>
        </a:p>
      </xdr:txBody>
    </xdr:sp>
    <xdr:clientData/>
  </xdr:oneCellAnchor>
  <xdr:oneCellAnchor>
    <xdr:from>
      <xdr:col>8</xdr:col>
      <xdr:colOff>395959</xdr:colOff>
      <xdr:row>84</xdr:row>
      <xdr:rowOff>113769</xdr:rowOff>
    </xdr:from>
    <xdr:ext cx="1057275" cy="419101"/>
    <xdr:sp macro="" textlink="">
      <xdr:nvSpPr>
        <xdr:cNvPr id="499" name="TextBox 498">
          <a:hlinkClick xmlns:r="http://schemas.openxmlformats.org/officeDocument/2006/relationships" r:id="rId11"/>
          <a:extLst>
            <a:ext uri="{FF2B5EF4-FFF2-40B4-BE49-F238E27FC236}">
              <a16:creationId xmlns:a16="http://schemas.microsoft.com/office/drawing/2014/main" id="{00000000-0008-0000-0200-0000F3010000}"/>
            </a:ext>
          </a:extLst>
        </xdr:cNvPr>
        <xdr:cNvSpPr txBox="1"/>
      </xdr:nvSpPr>
      <xdr:spPr>
        <a:xfrm>
          <a:off x="5272759" y="1699751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twoCellAnchor>
    <xdr:from>
      <xdr:col>8</xdr:col>
      <xdr:colOff>226660</xdr:colOff>
      <xdr:row>84</xdr:row>
      <xdr:rowOff>30426</xdr:rowOff>
    </xdr:from>
    <xdr:to>
      <xdr:col>8</xdr:col>
      <xdr:colOff>604345</xdr:colOff>
      <xdr:row>84</xdr:row>
      <xdr:rowOff>30426</xdr:rowOff>
    </xdr:to>
    <xdr:cxnSp macro="">
      <xdr:nvCxnSpPr>
        <xdr:cNvPr id="500" name="Straight Arrow Connector 499">
          <a:extLst>
            <a:ext uri="{FF2B5EF4-FFF2-40B4-BE49-F238E27FC236}">
              <a16:creationId xmlns:a16="http://schemas.microsoft.com/office/drawing/2014/main" id="{00000000-0008-0000-0200-0000F4010000}"/>
            </a:ext>
          </a:extLst>
        </xdr:cNvPr>
        <xdr:cNvCxnSpPr/>
      </xdr:nvCxnSpPr>
      <xdr:spPr>
        <a:xfrm flipH="1">
          <a:off x="5103460" y="16914169"/>
          <a:ext cx="377685"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363405</xdr:colOff>
      <xdr:row>80</xdr:row>
      <xdr:rowOff>78891</xdr:rowOff>
    </xdr:from>
    <xdr:ext cx="1057275" cy="419101"/>
    <xdr:sp macro="" textlink="">
      <xdr:nvSpPr>
        <xdr:cNvPr id="501" name="TextBox 500">
          <a:hlinkClick xmlns:r="http://schemas.openxmlformats.org/officeDocument/2006/relationships" r:id="rId27"/>
          <a:extLst>
            <a:ext uri="{FF2B5EF4-FFF2-40B4-BE49-F238E27FC236}">
              <a16:creationId xmlns:a16="http://schemas.microsoft.com/office/drawing/2014/main" id="{00000000-0008-0000-0200-0000F5010000}"/>
            </a:ext>
          </a:extLst>
        </xdr:cNvPr>
        <xdr:cNvSpPr txBox="1"/>
      </xdr:nvSpPr>
      <xdr:spPr>
        <a:xfrm>
          <a:off x="2801805" y="1614620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800" b="1"/>
            <a:t>MCLK_TX/RX_SAI1</a:t>
          </a:r>
        </a:p>
      </xdr:txBody>
    </xdr:sp>
    <xdr:clientData/>
  </xdr:oneCellAnchor>
  <xdr:twoCellAnchor>
    <xdr:from>
      <xdr:col>2</xdr:col>
      <xdr:colOff>450460</xdr:colOff>
      <xdr:row>79</xdr:row>
      <xdr:rowOff>23265</xdr:rowOff>
    </xdr:from>
    <xdr:to>
      <xdr:col>4</xdr:col>
      <xdr:colOff>260754</xdr:colOff>
      <xdr:row>82</xdr:row>
      <xdr:rowOff>207726</xdr:rowOff>
    </xdr:to>
    <xdr:grpSp>
      <xdr:nvGrpSpPr>
        <xdr:cNvPr id="502" name="Group 501">
          <a:extLst>
            <a:ext uri="{FF2B5EF4-FFF2-40B4-BE49-F238E27FC236}">
              <a16:creationId xmlns:a16="http://schemas.microsoft.com/office/drawing/2014/main" id="{00000000-0008-0000-0200-0000F6010000}"/>
            </a:ext>
          </a:extLst>
        </xdr:cNvPr>
        <xdr:cNvGrpSpPr/>
      </xdr:nvGrpSpPr>
      <xdr:grpSpPr>
        <a:xfrm>
          <a:off x="1669660" y="15527034"/>
          <a:ext cx="1029494" cy="753617"/>
          <a:chOff x="1659046" y="13788438"/>
          <a:chExt cx="1024731" cy="774811"/>
        </a:xfrm>
      </xdr:grpSpPr>
      <xdr:grpSp>
        <xdr:nvGrpSpPr>
          <xdr:cNvPr id="503" name="Group 502">
            <a:extLst>
              <a:ext uri="{FF2B5EF4-FFF2-40B4-BE49-F238E27FC236}">
                <a16:creationId xmlns:a16="http://schemas.microsoft.com/office/drawing/2014/main" id="{00000000-0008-0000-0200-0000F7010000}"/>
              </a:ext>
            </a:extLst>
          </xdr:cNvPr>
          <xdr:cNvGrpSpPr/>
        </xdr:nvGrpSpPr>
        <xdr:grpSpPr>
          <a:xfrm>
            <a:off x="1659046" y="13788438"/>
            <a:ext cx="1024731" cy="774811"/>
            <a:chOff x="1659047" y="13437212"/>
            <a:chExt cx="1024757" cy="762420"/>
          </a:xfrm>
        </xdr:grpSpPr>
        <xdr:grpSp>
          <xdr:nvGrpSpPr>
            <xdr:cNvPr id="505" name="Group 504">
              <a:extLst>
                <a:ext uri="{FF2B5EF4-FFF2-40B4-BE49-F238E27FC236}">
                  <a16:creationId xmlns:a16="http://schemas.microsoft.com/office/drawing/2014/main" id="{00000000-0008-0000-0200-0000F9010000}"/>
                </a:ext>
              </a:extLst>
            </xdr:cNvPr>
            <xdr:cNvGrpSpPr/>
          </xdr:nvGrpSpPr>
          <xdr:grpSpPr>
            <a:xfrm>
              <a:off x="1659047" y="13437212"/>
              <a:ext cx="999946" cy="751314"/>
              <a:chOff x="1663809" y="13412209"/>
              <a:chExt cx="1004709" cy="751314"/>
            </a:xfrm>
          </xdr:grpSpPr>
          <xdr:sp macro="" textlink="">
            <xdr:nvSpPr>
              <xdr:cNvPr id="508" name="Rectangle 507">
                <a:extLst>
                  <a:ext uri="{FF2B5EF4-FFF2-40B4-BE49-F238E27FC236}">
                    <a16:creationId xmlns:a16="http://schemas.microsoft.com/office/drawing/2014/main" id="{00000000-0008-0000-0200-0000FC010000}"/>
                  </a:ext>
                </a:extLst>
              </xdr:cNvPr>
              <xdr:cNvSpPr/>
            </xdr:nvSpPr>
            <xdr:spPr>
              <a:xfrm>
                <a:off x="1663809" y="13412209"/>
                <a:ext cx="1004709" cy="7513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SAI1</a:t>
                </a:r>
                <a:endParaRPr lang="en-US" sz="1100"/>
              </a:p>
            </xdr:txBody>
          </xdr:sp>
          <xdr:sp macro="" textlink="">
            <xdr:nvSpPr>
              <xdr:cNvPr id="509" name="TextBox 508">
                <a:extLst>
                  <a:ext uri="{FF2B5EF4-FFF2-40B4-BE49-F238E27FC236}">
                    <a16:creationId xmlns:a16="http://schemas.microsoft.com/office/drawing/2014/main" id="{00000000-0008-0000-0200-0000FD010000}"/>
                  </a:ext>
                </a:extLst>
              </xdr:cNvPr>
              <xdr:cNvSpPr txBox="1"/>
            </xdr:nvSpPr>
            <xdr:spPr>
              <a:xfrm>
                <a:off x="2034551" y="13421733"/>
                <a:ext cx="622897"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sp macro="" textlink="">
          <xdr:nvSpPr>
            <xdr:cNvPr id="506" name="TextBox 505">
              <a:extLst>
                <a:ext uri="{FF2B5EF4-FFF2-40B4-BE49-F238E27FC236}">
                  <a16:creationId xmlns:a16="http://schemas.microsoft.com/office/drawing/2014/main" id="{00000000-0008-0000-0200-0000FA010000}"/>
                </a:ext>
              </a:extLst>
            </xdr:cNvPr>
            <xdr:cNvSpPr txBox="1"/>
          </xdr:nvSpPr>
          <xdr:spPr>
            <a:xfrm>
              <a:off x="2063860" y="14016368"/>
              <a:ext cx="619944"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BCLK</a:t>
              </a:r>
            </a:p>
          </xdr:txBody>
        </xdr:sp>
        <xdr:sp macro="" textlink="">
          <xdr:nvSpPr>
            <xdr:cNvPr id="507" name="TextBox 506">
              <a:extLst>
                <a:ext uri="{FF2B5EF4-FFF2-40B4-BE49-F238E27FC236}">
                  <a16:creationId xmlns:a16="http://schemas.microsoft.com/office/drawing/2014/main" id="{00000000-0008-0000-0200-0000FB010000}"/>
                </a:ext>
              </a:extLst>
            </xdr:cNvPr>
            <xdr:cNvSpPr txBox="1"/>
          </xdr:nvSpPr>
          <xdr:spPr>
            <a:xfrm>
              <a:off x="2223789" y="13721430"/>
              <a:ext cx="437497"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MCLK</a:t>
              </a:r>
            </a:p>
          </xdr:txBody>
        </xdr:sp>
      </xdr:grpSp>
      <xdr:sp macro="" textlink="">
        <xdr:nvSpPr>
          <xdr:cNvPr id="504" name="TextBox 503">
            <a:extLst>
              <a:ext uri="{FF2B5EF4-FFF2-40B4-BE49-F238E27FC236}">
                <a16:creationId xmlns:a16="http://schemas.microsoft.com/office/drawing/2014/main" id="{00000000-0008-0000-0200-0000F8010000}"/>
              </a:ext>
            </a:extLst>
          </xdr:cNvPr>
          <xdr:cNvSpPr txBox="1"/>
        </xdr:nvSpPr>
        <xdr:spPr>
          <a:xfrm>
            <a:off x="1940720" y="13901547"/>
            <a:ext cx="707350" cy="186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4</xdr:col>
      <xdr:colOff>225047</xdr:colOff>
      <xdr:row>80</xdr:row>
      <xdr:rowOff>24839</xdr:rowOff>
    </xdr:from>
    <xdr:to>
      <xdr:col>5</xdr:col>
      <xdr:colOff>374945</xdr:colOff>
      <xdr:row>80</xdr:row>
      <xdr:rowOff>24839</xdr:rowOff>
    </xdr:to>
    <xdr:cxnSp macro="">
      <xdr:nvCxnSpPr>
        <xdr:cNvPr id="510" name="Straight Arrow Connector 509">
          <a:extLst>
            <a:ext uri="{FF2B5EF4-FFF2-40B4-BE49-F238E27FC236}">
              <a16:creationId xmlns:a16="http://schemas.microsoft.com/office/drawing/2014/main" id="{00000000-0008-0000-0200-0000FE010000}"/>
            </a:ext>
          </a:extLst>
        </xdr:cNvPr>
        <xdr:cNvCxnSpPr>
          <a:endCxn id="504" idx="3"/>
        </xdr:cNvCxnSpPr>
      </xdr:nvCxnSpPr>
      <xdr:spPr>
        <a:xfrm flipH="1">
          <a:off x="2663447" y="16092153"/>
          <a:ext cx="75949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369361</xdr:colOff>
      <xdr:row>79</xdr:row>
      <xdr:rowOff>121087</xdr:rowOff>
    </xdr:from>
    <xdr:to>
      <xdr:col>5</xdr:col>
      <xdr:colOff>369361</xdr:colOff>
      <xdr:row>80</xdr:row>
      <xdr:rowOff>20014</xdr:rowOff>
    </xdr:to>
    <xdr:cxnSp macro="">
      <xdr:nvCxnSpPr>
        <xdr:cNvPr id="511" name="Straight Arrow Connector 510">
          <a:extLst>
            <a:ext uri="{FF2B5EF4-FFF2-40B4-BE49-F238E27FC236}">
              <a16:creationId xmlns:a16="http://schemas.microsoft.com/office/drawing/2014/main" id="{00000000-0008-0000-0200-0000FF010000}"/>
            </a:ext>
          </a:extLst>
        </xdr:cNvPr>
        <xdr:cNvCxnSpPr/>
      </xdr:nvCxnSpPr>
      <xdr:spPr>
        <a:xfrm flipV="1">
          <a:off x="3417361" y="15987016"/>
          <a:ext cx="0" cy="10031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367146</xdr:colOff>
      <xdr:row>82</xdr:row>
      <xdr:rowOff>26395</xdr:rowOff>
    </xdr:from>
    <xdr:ext cx="1057275" cy="419101"/>
    <xdr:sp macro="" textlink="">
      <xdr:nvSpPr>
        <xdr:cNvPr id="512" name="TextBox 511">
          <a:hlinkClick xmlns:r="http://schemas.openxmlformats.org/officeDocument/2006/relationships" r:id="rId28"/>
          <a:extLst>
            <a:ext uri="{FF2B5EF4-FFF2-40B4-BE49-F238E27FC236}">
              <a16:creationId xmlns:a16="http://schemas.microsoft.com/office/drawing/2014/main" id="{00000000-0008-0000-0200-000000020000}"/>
            </a:ext>
          </a:extLst>
        </xdr:cNvPr>
        <xdr:cNvSpPr txBox="1"/>
      </xdr:nvSpPr>
      <xdr:spPr>
        <a:xfrm>
          <a:off x="2805546" y="1648559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800" b="1"/>
            <a:t>BCLK_TX/RX_SAI1</a:t>
          </a:r>
        </a:p>
      </xdr:txBody>
    </xdr:sp>
    <xdr:clientData/>
  </xdr:oneCellAnchor>
  <xdr:oneCellAnchor>
    <xdr:from>
      <xdr:col>1</xdr:col>
      <xdr:colOff>426983</xdr:colOff>
      <xdr:row>84</xdr:row>
      <xdr:rowOff>108325</xdr:rowOff>
    </xdr:from>
    <xdr:ext cx="1057275" cy="419101"/>
    <xdr:sp macro="" textlink="">
      <xdr:nvSpPr>
        <xdr:cNvPr id="513" name="TextBox 512">
          <a:extLst>
            <a:ext uri="{FF2B5EF4-FFF2-40B4-BE49-F238E27FC236}">
              <a16:creationId xmlns:a16="http://schemas.microsoft.com/office/drawing/2014/main" id="{00000000-0008-0000-0200-000001020000}"/>
            </a:ext>
          </a:extLst>
        </xdr:cNvPr>
        <xdr:cNvSpPr txBox="1"/>
      </xdr:nvSpPr>
      <xdr:spPr>
        <a:xfrm>
          <a:off x="1036583" y="1699206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BCLK[1]</a:t>
          </a:r>
        </a:p>
      </xdr:txBody>
    </xdr:sp>
    <xdr:clientData/>
  </xdr:oneCellAnchor>
  <xdr:twoCellAnchor>
    <xdr:from>
      <xdr:col>3</xdr:col>
      <xdr:colOff>281749</xdr:colOff>
      <xdr:row>84</xdr:row>
      <xdr:rowOff>6689</xdr:rowOff>
    </xdr:from>
    <xdr:to>
      <xdr:col>6</xdr:col>
      <xdr:colOff>432835</xdr:colOff>
      <xdr:row>84</xdr:row>
      <xdr:rowOff>6689</xdr:rowOff>
    </xdr:to>
    <xdr:cxnSp macro="">
      <xdr:nvCxnSpPr>
        <xdr:cNvPr id="514" name="Straight Arrow Connector 513">
          <a:extLst>
            <a:ext uri="{FF2B5EF4-FFF2-40B4-BE49-F238E27FC236}">
              <a16:creationId xmlns:a16="http://schemas.microsoft.com/office/drawing/2014/main" id="{00000000-0008-0000-0200-000002020000}"/>
            </a:ext>
          </a:extLst>
        </xdr:cNvPr>
        <xdr:cNvCxnSpPr/>
      </xdr:nvCxnSpPr>
      <xdr:spPr>
        <a:xfrm>
          <a:off x="2110549" y="16890432"/>
          <a:ext cx="197988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288317</xdr:colOff>
      <xdr:row>84</xdr:row>
      <xdr:rowOff>6688</xdr:rowOff>
    </xdr:from>
    <xdr:to>
      <xdr:col>3</xdr:col>
      <xdr:colOff>288317</xdr:colOff>
      <xdr:row>84</xdr:row>
      <xdr:rowOff>204755</xdr:rowOff>
    </xdr:to>
    <xdr:cxnSp macro="">
      <xdr:nvCxnSpPr>
        <xdr:cNvPr id="515" name="Straight Arrow Connector 514">
          <a:extLst>
            <a:ext uri="{FF2B5EF4-FFF2-40B4-BE49-F238E27FC236}">
              <a16:creationId xmlns:a16="http://schemas.microsoft.com/office/drawing/2014/main" id="{00000000-0008-0000-0200-000003020000}"/>
            </a:ext>
          </a:extLst>
        </xdr:cNvPr>
        <xdr:cNvCxnSpPr/>
      </xdr:nvCxnSpPr>
      <xdr:spPr>
        <a:xfrm flipV="1">
          <a:off x="2117117" y="16890431"/>
          <a:ext cx="0" cy="198067"/>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217715</xdr:colOff>
      <xdr:row>71</xdr:row>
      <xdr:rowOff>118274</xdr:rowOff>
    </xdr:from>
    <xdr:to>
      <xdr:col>8</xdr:col>
      <xdr:colOff>461596</xdr:colOff>
      <xdr:row>71</xdr:row>
      <xdr:rowOff>118274</xdr:rowOff>
    </xdr:to>
    <xdr:cxnSp macro="">
      <xdr:nvCxnSpPr>
        <xdr:cNvPr id="516" name="Straight Arrow Connector 515">
          <a:extLst>
            <a:ext uri="{FF2B5EF4-FFF2-40B4-BE49-F238E27FC236}">
              <a16:creationId xmlns:a16="http://schemas.microsoft.com/office/drawing/2014/main" id="{00000000-0008-0000-0200-000004020000}"/>
            </a:ext>
          </a:extLst>
        </xdr:cNvPr>
        <xdr:cNvCxnSpPr/>
      </xdr:nvCxnSpPr>
      <xdr:spPr>
        <a:xfrm flipH="1">
          <a:off x="5082792" y="14742812"/>
          <a:ext cx="243881"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464601</xdr:colOff>
      <xdr:row>69</xdr:row>
      <xdr:rowOff>65171</xdr:rowOff>
    </xdr:from>
    <xdr:to>
      <xdr:col>8</xdr:col>
      <xdr:colOff>464601</xdr:colOff>
      <xdr:row>71</xdr:row>
      <xdr:rowOff>125329</xdr:rowOff>
    </xdr:to>
    <xdr:cxnSp macro="">
      <xdr:nvCxnSpPr>
        <xdr:cNvPr id="525" name="Straight Arrow Connector 524">
          <a:extLst>
            <a:ext uri="{FF2B5EF4-FFF2-40B4-BE49-F238E27FC236}">
              <a16:creationId xmlns:a16="http://schemas.microsoft.com/office/drawing/2014/main" id="{00000000-0008-0000-0200-00000D020000}"/>
            </a:ext>
          </a:extLst>
        </xdr:cNvPr>
        <xdr:cNvCxnSpPr/>
      </xdr:nvCxnSpPr>
      <xdr:spPr>
        <a:xfrm flipV="1">
          <a:off x="5357443" y="14242382"/>
          <a:ext cx="0" cy="451184"/>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228602</xdr:colOff>
      <xdr:row>81</xdr:row>
      <xdr:rowOff>129160</xdr:rowOff>
    </xdr:from>
    <xdr:to>
      <xdr:col>8</xdr:col>
      <xdr:colOff>486276</xdr:colOff>
      <xdr:row>81</xdr:row>
      <xdr:rowOff>129160</xdr:rowOff>
    </xdr:to>
    <xdr:cxnSp macro="">
      <xdr:nvCxnSpPr>
        <xdr:cNvPr id="526" name="Straight Arrow Connector 525">
          <a:extLst>
            <a:ext uri="{FF2B5EF4-FFF2-40B4-BE49-F238E27FC236}">
              <a16:creationId xmlns:a16="http://schemas.microsoft.com/office/drawing/2014/main" id="{00000000-0008-0000-0200-00000E020000}"/>
            </a:ext>
          </a:extLst>
        </xdr:cNvPr>
        <xdr:cNvCxnSpPr/>
      </xdr:nvCxnSpPr>
      <xdr:spPr>
        <a:xfrm flipH="1">
          <a:off x="5121444" y="16762818"/>
          <a:ext cx="25767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482816</xdr:colOff>
      <xdr:row>79</xdr:row>
      <xdr:rowOff>119742</xdr:rowOff>
    </xdr:from>
    <xdr:to>
      <xdr:col>8</xdr:col>
      <xdr:colOff>482816</xdr:colOff>
      <xdr:row>81</xdr:row>
      <xdr:rowOff>124335</xdr:rowOff>
    </xdr:to>
    <xdr:cxnSp macro="">
      <xdr:nvCxnSpPr>
        <xdr:cNvPr id="527" name="Straight Arrow Connector 526">
          <a:extLst>
            <a:ext uri="{FF2B5EF4-FFF2-40B4-BE49-F238E27FC236}">
              <a16:creationId xmlns:a16="http://schemas.microsoft.com/office/drawing/2014/main" id="{00000000-0008-0000-0200-00000F020000}"/>
            </a:ext>
          </a:extLst>
        </xdr:cNvPr>
        <xdr:cNvCxnSpPr/>
      </xdr:nvCxnSpPr>
      <xdr:spPr>
        <a:xfrm flipV="1">
          <a:off x="5347893" y="16429473"/>
          <a:ext cx="0" cy="39292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59121</xdr:colOff>
      <xdr:row>90</xdr:row>
      <xdr:rowOff>75640</xdr:rowOff>
    </xdr:from>
    <xdr:to>
      <xdr:col>23</xdr:col>
      <xdr:colOff>305318</xdr:colOff>
      <xdr:row>90</xdr:row>
      <xdr:rowOff>75640</xdr:rowOff>
    </xdr:to>
    <xdr:cxnSp macro="">
      <xdr:nvCxnSpPr>
        <xdr:cNvPr id="530" name="Straight Arrow Connector 529">
          <a:extLst>
            <a:ext uri="{FF2B5EF4-FFF2-40B4-BE49-F238E27FC236}">
              <a16:creationId xmlns:a16="http://schemas.microsoft.com/office/drawing/2014/main" id="{00000000-0008-0000-0200-000012020000}"/>
            </a:ext>
          </a:extLst>
        </xdr:cNvPr>
        <xdr:cNvCxnSpPr/>
      </xdr:nvCxnSpPr>
      <xdr:spPr>
        <a:xfrm flipH="1">
          <a:off x="6168259" y="18508157"/>
          <a:ext cx="8188076"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209536</xdr:colOff>
      <xdr:row>93</xdr:row>
      <xdr:rowOff>178034</xdr:rowOff>
    </xdr:from>
    <xdr:to>
      <xdr:col>10</xdr:col>
      <xdr:colOff>320796</xdr:colOff>
      <xdr:row>93</xdr:row>
      <xdr:rowOff>178034</xdr:rowOff>
    </xdr:to>
    <xdr:cxnSp macro="">
      <xdr:nvCxnSpPr>
        <xdr:cNvPr id="531" name="Straight Arrow Connector 530">
          <a:extLst>
            <a:ext uri="{FF2B5EF4-FFF2-40B4-BE49-F238E27FC236}">
              <a16:creationId xmlns:a16="http://schemas.microsoft.com/office/drawing/2014/main" id="{00000000-0008-0000-0200-000013020000}"/>
            </a:ext>
          </a:extLst>
        </xdr:cNvPr>
        <xdr:cNvCxnSpPr/>
      </xdr:nvCxnSpPr>
      <xdr:spPr>
        <a:xfrm flipH="1">
          <a:off x="5086336" y="18972220"/>
          <a:ext cx="1330460"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426077</xdr:colOff>
      <xdr:row>91</xdr:row>
      <xdr:rowOff>176356</xdr:rowOff>
    </xdr:from>
    <xdr:to>
      <xdr:col>8</xdr:col>
      <xdr:colOff>211586</xdr:colOff>
      <xdr:row>95</xdr:row>
      <xdr:rowOff>126069</xdr:rowOff>
    </xdr:to>
    <xdr:sp macro="" textlink="">
      <xdr:nvSpPr>
        <xdr:cNvPr id="532" name="Rectangle 531">
          <a:hlinkClick xmlns:r="http://schemas.openxmlformats.org/officeDocument/2006/relationships" r:id="rId9"/>
          <a:extLst>
            <a:ext uri="{FF2B5EF4-FFF2-40B4-BE49-F238E27FC236}">
              <a16:creationId xmlns:a16="http://schemas.microsoft.com/office/drawing/2014/main" id="{00000000-0008-0000-0200-000014020000}"/>
            </a:ext>
          </a:extLst>
        </xdr:cNvPr>
        <xdr:cNvSpPr/>
      </xdr:nvSpPr>
      <xdr:spPr>
        <a:xfrm>
          <a:off x="4083677" y="18545999"/>
          <a:ext cx="1004709" cy="7661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 Clock Generator</a:t>
          </a:r>
        </a:p>
        <a:p>
          <a:pPr algn="ctr"/>
          <a:r>
            <a:rPr lang="en-US" sz="1000" baseline="0"/>
            <a:t>Click me for more info</a:t>
          </a:r>
        </a:p>
      </xdr:txBody>
    </xdr:sp>
    <xdr:clientData/>
  </xdr:twoCellAnchor>
  <xdr:twoCellAnchor>
    <xdr:from>
      <xdr:col>4</xdr:col>
      <xdr:colOff>233988</xdr:colOff>
      <xdr:row>92</xdr:row>
      <xdr:rowOff>18728</xdr:rowOff>
    </xdr:from>
    <xdr:to>
      <xdr:col>6</xdr:col>
      <xdr:colOff>428692</xdr:colOff>
      <xdr:row>92</xdr:row>
      <xdr:rowOff>18786</xdr:rowOff>
    </xdr:to>
    <xdr:cxnSp macro="">
      <xdr:nvCxnSpPr>
        <xdr:cNvPr id="548" name="Straight Arrow Connector 547">
          <a:extLst>
            <a:ext uri="{FF2B5EF4-FFF2-40B4-BE49-F238E27FC236}">
              <a16:creationId xmlns:a16="http://schemas.microsoft.com/office/drawing/2014/main" id="{00000000-0008-0000-0200-000024020000}"/>
            </a:ext>
          </a:extLst>
        </xdr:cNvPr>
        <xdr:cNvCxnSpPr>
          <a:endCxn id="601" idx="3"/>
        </xdr:cNvCxnSpPr>
      </xdr:nvCxnSpPr>
      <xdr:spPr>
        <a:xfrm flipH="1" flipV="1">
          <a:off x="2672388" y="18600642"/>
          <a:ext cx="1413904" cy="58"/>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236905</xdr:colOff>
      <xdr:row>93</xdr:row>
      <xdr:rowOff>134270</xdr:rowOff>
    </xdr:from>
    <xdr:to>
      <xdr:col>6</xdr:col>
      <xdr:colOff>426077</xdr:colOff>
      <xdr:row>93</xdr:row>
      <xdr:rowOff>134884</xdr:rowOff>
    </xdr:to>
    <xdr:cxnSp macro="">
      <xdr:nvCxnSpPr>
        <xdr:cNvPr id="549" name="Straight Arrow Connector 548">
          <a:extLst>
            <a:ext uri="{FF2B5EF4-FFF2-40B4-BE49-F238E27FC236}">
              <a16:creationId xmlns:a16="http://schemas.microsoft.com/office/drawing/2014/main" id="{00000000-0008-0000-0200-000025020000}"/>
            </a:ext>
          </a:extLst>
        </xdr:cNvPr>
        <xdr:cNvCxnSpPr>
          <a:stCxn id="532" idx="1"/>
        </xdr:cNvCxnSpPr>
      </xdr:nvCxnSpPr>
      <xdr:spPr>
        <a:xfrm flipH="1" flipV="1">
          <a:off x="2675305" y="18928456"/>
          <a:ext cx="1408372" cy="614"/>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403487</xdr:colOff>
      <xdr:row>96</xdr:row>
      <xdr:rowOff>99267</xdr:rowOff>
    </xdr:from>
    <xdr:ext cx="1057275" cy="419101"/>
    <xdr:sp macro="" textlink="">
      <xdr:nvSpPr>
        <xdr:cNvPr id="550" name="TextBox 549">
          <a:hlinkClick xmlns:r="http://schemas.openxmlformats.org/officeDocument/2006/relationships" r:id="rId10"/>
          <a:extLst>
            <a:ext uri="{FF2B5EF4-FFF2-40B4-BE49-F238E27FC236}">
              <a16:creationId xmlns:a16="http://schemas.microsoft.com/office/drawing/2014/main" id="{00000000-0008-0000-0200-000026020000}"/>
            </a:ext>
          </a:extLst>
        </xdr:cNvPr>
        <xdr:cNvSpPr txBox="1"/>
      </xdr:nvSpPr>
      <xdr:spPr>
        <a:xfrm>
          <a:off x="2841887" y="1947583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MLB_CLK</a:t>
          </a:r>
        </a:p>
      </xdr:txBody>
    </xdr:sp>
    <xdr:clientData/>
  </xdr:oneCellAnchor>
  <xdr:twoCellAnchor>
    <xdr:from>
      <xdr:col>7</xdr:col>
      <xdr:colOff>209728</xdr:colOff>
      <xdr:row>95</xdr:row>
      <xdr:rowOff>159080</xdr:rowOff>
    </xdr:from>
    <xdr:to>
      <xdr:col>7</xdr:col>
      <xdr:colOff>209728</xdr:colOff>
      <xdr:row>97</xdr:row>
      <xdr:rowOff>119743</xdr:rowOff>
    </xdr:to>
    <xdr:cxnSp macro="">
      <xdr:nvCxnSpPr>
        <xdr:cNvPr id="560" name="Straight Arrow Connector 559">
          <a:extLst>
            <a:ext uri="{FF2B5EF4-FFF2-40B4-BE49-F238E27FC236}">
              <a16:creationId xmlns:a16="http://schemas.microsoft.com/office/drawing/2014/main" id="{00000000-0008-0000-0200-000030020000}"/>
            </a:ext>
          </a:extLst>
        </xdr:cNvPr>
        <xdr:cNvCxnSpPr/>
      </xdr:nvCxnSpPr>
      <xdr:spPr>
        <a:xfrm flipV="1">
          <a:off x="4476928" y="19345151"/>
          <a:ext cx="0" cy="35254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391815</xdr:colOff>
      <xdr:row>95</xdr:row>
      <xdr:rowOff>139490</xdr:rowOff>
    </xdr:from>
    <xdr:ext cx="1057275" cy="419101"/>
    <xdr:sp macro="" textlink="">
      <xdr:nvSpPr>
        <xdr:cNvPr id="561" name="TextBox 560">
          <a:hlinkClick xmlns:r="http://schemas.openxmlformats.org/officeDocument/2006/relationships" r:id="rId11"/>
          <a:extLst>
            <a:ext uri="{FF2B5EF4-FFF2-40B4-BE49-F238E27FC236}">
              <a16:creationId xmlns:a16="http://schemas.microsoft.com/office/drawing/2014/main" id="{00000000-0008-0000-0200-000031020000}"/>
            </a:ext>
          </a:extLst>
        </xdr:cNvPr>
        <xdr:cNvSpPr txBox="1"/>
      </xdr:nvSpPr>
      <xdr:spPr>
        <a:xfrm>
          <a:off x="5268615" y="1932556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twoCellAnchor>
    <xdr:from>
      <xdr:col>8</xdr:col>
      <xdr:colOff>222516</xdr:colOff>
      <xdr:row>95</xdr:row>
      <xdr:rowOff>56147</xdr:rowOff>
    </xdr:from>
    <xdr:to>
      <xdr:col>8</xdr:col>
      <xdr:colOff>600201</xdr:colOff>
      <xdr:row>95</xdr:row>
      <xdr:rowOff>56147</xdr:rowOff>
    </xdr:to>
    <xdr:cxnSp macro="">
      <xdr:nvCxnSpPr>
        <xdr:cNvPr id="562" name="Straight Arrow Connector 561">
          <a:extLst>
            <a:ext uri="{FF2B5EF4-FFF2-40B4-BE49-F238E27FC236}">
              <a16:creationId xmlns:a16="http://schemas.microsoft.com/office/drawing/2014/main" id="{00000000-0008-0000-0200-000032020000}"/>
            </a:ext>
          </a:extLst>
        </xdr:cNvPr>
        <xdr:cNvCxnSpPr/>
      </xdr:nvCxnSpPr>
      <xdr:spPr>
        <a:xfrm flipH="1">
          <a:off x="5099316" y="19242218"/>
          <a:ext cx="377685"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359261</xdr:colOff>
      <xdr:row>91</xdr:row>
      <xdr:rowOff>104611</xdr:rowOff>
    </xdr:from>
    <xdr:ext cx="1057275" cy="419101"/>
    <xdr:sp macro="" textlink="">
      <xdr:nvSpPr>
        <xdr:cNvPr id="563" name="TextBox 562">
          <a:hlinkClick xmlns:r="http://schemas.openxmlformats.org/officeDocument/2006/relationships" r:id="rId29"/>
          <a:extLst>
            <a:ext uri="{FF2B5EF4-FFF2-40B4-BE49-F238E27FC236}">
              <a16:creationId xmlns:a16="http://schemas.microsoft.com/office/drawing/2014/main" id="{00000000-0008-0000-0200-000033020000}"/>
            </a:ext>
          </a:extLst>
        </xdr:cNvPr>
        <xdr:cNvSpPr txBox="1"/>
      </xdr:nvSpPr>
      <xdr:spPr>
        <a:xfrm>
          <a:off x="2797661" y="1847425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800" b="1"/>
            <a:t>MCLK_TX/RX_SAI2</a:t>
          </a:r>
        </a:p>
      </xdr:txBody>
    </xdr:sp>
    <xdr:clientData/>
  </xdr:oneCellAnchor>
  <xdr:twoCellAnchor>
    <xdr:from>
      <xdr:col>2</xdr:col>
      <xdr:colOff>446316</xdr:colOff>
      <xdr:row>90</xdr:row>
      <xdr:rowOff>59872</xdr:rowOff>
    </xdr:from>
    <xdr:to>
      <xdr:col>4</xdr:col>
      <xdr:colOff>256610</xdr:colOff>
      <xdr:row>93</xdr:row>
      <xdr:rowOff>200789</xdr:rowOff>
    </xdr:to>
    <xdr:grpSp>
      <xdr:nvGrpSpPr>
        <xdr:cNvPr id="571" name="Group 570">
          <a:extLst>
            <a:ext uri="{FF2B5EF4-FFF2-40B4-BE49-F238E27FC236}">
              <a16:creationId xmlns:a16="http://schemas.microsoft.com/office/drawing/2014/main" id="{00000000-0008-0000-0200-00003B020000}"/>
            </a:ext>
          </a:extLst>
        </xdr:cNvPr>
        <xdr:cNvGrpSpPr/>
      </xdr:nvGrpSpPr>
      <xdr:grpSpPr>
        <a:xfrm>
          <a:off x="1665516" y="17726549"/>
          <a:ext cx="1029494" cy="717692"/>
          <a:chOff x="1659046" y="13788438"/>
          <a:chExt cx="1024731" cy="774811"/>
        </a:xfrm>
      </xdr:grpSpPr>
      <xdr:grpSp>
        <xdr:nvGrpSpPr>
          <xdr:cNvPr id="572" name="Group 571">
            <a:extLst>
              <a:ext uri="{FF2B5EF4-FFF2-40B4-BE49-F238E27FC236}">
                <a16:creationId xmlns:a16="http://schemas.microsoft.com/office/drawing/2014/main" id="{00000000-0008-0000-0200-00003C020000}"/>
              </a:ext>
            </a:extLst>
          </xdr:cNvPr>
          <xdr:cNvGrpSpPr/>
        </xdr:nvGrpSpPr>
        <xdr:grpSpPr>
          <a:xfrm>
            <a:off x="1659046" y="13788438"/>
            <a:ext cx="1024731" cy="774811"/>
            <a:chOff x="1659047" y="13437212"/>
            <a:chExt cx="1024757" cy="762420"/>
          </a:xfrm>
        </xdr:grpSpPr>
        <xdr:grpSp>
          <xdr:nvGrpSpPr>
            <xdr:cNvPr id="576" name="Group 575">
              <a:extLst>
                <a:ext uri="{FF2B5EF4-FFF2-40B4-BE49-F238E27FC236}">
                  <a16:creationId xmlns:a16="http://schemas.microsoft.com/office/drawing/2014/main" id="{00000000-0008-0000-0200-000040020000}"/>
                </a:ext>
              </a:extLst>
            </xdr:cNvPr>
            <xdr:cNvGrpSpPr/>
          </xdr:nvGrpSpPr>
          <xdr:grpSpPr>
            <a:xfrm>
              <a:off x="1659047" y="13437212"/>
              <a:ext cx="999946" cy="751314"/>
              <a:chOff x="1663809" y="13412209"/>
              <a:chExt cx="1004709" cy="751314"/>
            </a:xfrm>
          </xdr:grpSpPr>
          <xdr:sp macro="" textlink="">
            <xdr:nvSpPr>
              <xdr:cNvPr id="604" name="Rectangle 603">
                <a:extLst>
                  <a:ext uri="{FF2B5EF4-FFF2-40B4-BE49-F238E27FC236}">
                    <a16:creationId xmlns:a16="http://schemas.microsoft.com/office/drawing/2014/main" id="{00000000-0008-0000-0200-00005C020000}"/>
                  </a:ext>
                </a:extLst>
              </xdr:cNvPr>
              <xdr:cNvSpPr/>
            </xdr:nvSpPr>
            <xdr:spPr>
              <a:xfrm>
                <a:off x="1663809" y="13412209"/>
                <a:ext cx="1004709" cy="7513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SAI2</a:t>
                </a:r>
                <a:endParaRPr lang="en-US" sz="1100"/>
              </a:p>
            </xdr:txBody>
          </xdr:sp>
          <xdr:sp macro="" textlink="">
            <xdr:nvSpPr>
              <xdr:cNvPr id="617" name="TextBox 616">
                <a:extLst>
                  <a:ext uri="{FF2B5EF4-FFF2-40B4-BE49-F238E27FC236}">
                    <a16:creationId xmlns:a16="http://schemas.microsoft.com/office/drawing/2014/main" id="{00000000-0008-0000-0200-000069020000}"/>
                  </a:ext>
                </a:extLst>
              </xdr:cNvPr>
              <xdr:cNvSpPr txBox="1"/>
            </xdr:nvSpPr>
            <xdr:spPr>
              <a:xfrm>
                <a:off x="2034551" y="13421733"/>
                <a:ext cx="622897"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sp macro="" textlink="">
          <xdr:nvSpPr>
            <xdr:cNvPr id="582" name="TextBox 581">
              <a:extLst>
                <a:ext uri="{FF2B5EF4-FFF2-40B4-BE49-F238E27FC236}">
                  <a16:creationId xmlns:a16="http://schemas.microsoft.com/office/drawing/2014/main" id="{00000000-0008-0000-0200-000046020000}"/>
                </a:ext>
              </a:extLst>
            </xdr:cNvPr>
            <xdr:cNvSpPr txBox="1"/>
          </xdr:nvSpPr>
          <xdr:spPr>
            <a:xfrm>
              <a:off x="2063860" y="14016368"/>
              <a:ext cx="619944"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BCLK</a:t>
              </a:r>
            </a:p>
          </xdr:txBody>
        </xdr:sp>
        <xdr:sp macro="" textlink="">
          <xdr:nvSpPr>
            <xdr:cNvPr id="601" name="TextBox 600">
              <a:extLst>
                <a:ext uri="{FF2B5EF4-FFF2-40B4-BE49-F238E27FC236}">
                  <a16:creationId xmlns:a16="http://schemas.microsoft.com/office/drawing/2014/main" id="{00000000-0008-0000-0200-000059020000}"/>
                </a:ext>
              </a:extLst>
            </xdr:cNvPr>
            <xdr:cNvSpPr txBox="1"/>
          </xdr:nvSpPr>
          <xdr:spPr>
            <a:xfrm>
              <a:off x="2223789" y="13721430"/>
              <a:ext cx="437497" cy="183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MCLK</a:t>
              </a:r>
            </a:p>
          </xdr:txBody>
        </xdr:sp>
      </xdr:grpSp>
      <xdr:sp macro="" textlink="">
        <xdr:nvSpPr>
          <xdr:cNvPr id="573" name="TextBox 572">
            <a:extLst>
              <a:ext uri="{FF2B5EF4-FFF2-40B4-BE49-F238E27FC236}">
                <a16:creationId xmlns:a16="http://schemas.microsoft.com/office/drawing/2014/main" id="{00000000-0008-0000-0200-00003D020000}"/>
              </a:ext>
            </a:extLst>
          </xdr:cNvPr>
          <xdr:cNvSpPr txBox="1"/>
        </xdr:nvSpPr>
        <xdr:spPr>
          <a:xfrm>
            <a:off x="1940720" y="13901547"/>
            <a:ext cx="707350" cy="186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4</xdr:col>
      <xdr:colOff>220903</xdr:colOff>
      <xdr:row>91</xdr:row>
      <xdr:rowOff>50559</xdr:rowOff>
    </xdr:from>
    <xdr:to>
      <xdr:col>5</xdr:col>
      <xdr:colOff>370801</xdr:colOff>
      <xdr:row>91</xdr:row>
      <xdr:rowOff>50559</xdr:rowOff>
    </xdr:to>
    <xdr:cxnSp macro="">
      <xdr:nvCxnSpPr>
        <xdr:cNvPr id="628" name="Straight Arrow Connector 627">
          <a:extLst>
            <a:ext uri="{FF2B5EF4-FFF2-40B4-BE49-F238E27FC236}">
              <a16:creationId xmlns:a16="http://schemas.microsoft.com/office/drawing/2014/main" id="{00000000-0008-0000-0200-000074020000}"/>
            </a:ext>
          </a:extLst>
        </xdr:cNvPr>
        <xdr:cNvCxnSpPr>
          <a:endCxn id="573" idx="3"/>
        </xdr:cNvCxnSpPr>
      </xdr:nvCxnSpPr>
      <xdr:spPr>
        <a:xfrm flipH="1">
          <a:off x="2659303" y="18420202"/>
          <a:ext cx="75949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365217</xdr:colOff>
      <xdr:row>90</xdr:row>
      <xdr:rowOff>131380</xdr:rowOff>
    </xdr:from>
    <xdr:to>
      <xdr:col>5</xdr:col>
      <xdr:colOff>365217</xdr:colOff>
      <xdr:row>91</xdr:row>
      <xdr:rowOff>45734</xdr:rowOff>
    </xdr:to>
    <xdr:cxnSp macro="">
      <xdr:nvCxnSpPr>
        <xdr:cNvPr id="630" name="Straight Arrow Connector 629">
          <a:extLst>
            <a:ext uri="{FF2B5EF4-FFF2-40B4-BE49-F238E27FC236}">
              <a16:creationId xmlns:a16="http://schemas.microsoft.com/office/drawing/2014/main" id="{00000000-0008-0000-0200-000076020000}"/>
            </a:ext>
          </a:extLst>
        </xdr:cNvPr>
        <xdr:cNvCxnSpPr/>
      </xdr:nvCxnSpPr>
      <xdr:spPr>
        <a:xfrm flipV="1">
          <a:off x="3419786" y="18563897"/>
          <a:ext cx="0" cy="104854"/>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xdr:col>
      <xdr:colOff>363002</xdr:colOff>
      <xdr:row>93</xdr:row>
      <xdr:rowOff>19458</xdr:rowOff>
    </xdr:from>
    <xdr:ext cx="1057275" cy="419101"/>
    <xdr:sp macro="" textlink="">
      <xdr:nvSpPr>
        <xdr:cNvPr id="632" name="TextBox 631">
          <a:hlinkClick xmlns:r="http://schemas.openxmlformats.org/officeDocument/2006/relationships" r:id="rId30"/>
          <a:extLst>
            <a:ext uri="{FF2B5EF4-FFF2-40B4-BE49-F238E27FC236}">
              <a16:creationId xmlns:a16="http://schemas.microsoft.com/office/drawing/2014/main" id="{00000000-0008-0000-0200-000078020000}"/>
            </a:ext>
          </a:extLst>
        </xdr:cNvPr>
        <xdr:cNvSpPr txBox="1"/>
      </xdr:nvSpPr>
      <xdr:spPr>
        <a:xfrm>
          <a:off x="2801402" y="1881364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800" b="1"/>
            <a:t>BCLK_TX/RX_SAI2</a:t>
          </a:r>
        </a:p>
      </xdr:txBody>
    </xdr:sp>
    <xdr:clientData/>
  </xdr:oneCellAnchor>
  <xdr:twoCellAnchor>
    <xdr:from>
      <xdr:col>3</xdr:col>
      <xdr:colOff>277605</xdr:colOff>
      <xdr:row>95</xdr:row>
      <xdr:rowOff>32410</xdr:rowOff>
    </xdr:from>
    <xdr:to>
      <xdr:col>6</xdr:col>
      <xdr:colOff>428691</xdr:colOff>
      <xdr:row>95</xdr:row>
      <xdr:rowOff>32410</xdr:rowOff>
    </xdr:to>
    <xdr:cxnSp macro="">
      <xdr:nvCxnSpPr>
        <xdr:cNvPr id="644" name="Straight Arrow Connector 643">
          <a:extLst>
            <a:ext uri="{FF2B5EF4-FFF2-40B4-BE49-F238E27FC236}">
              <a16:creationId xmlns:a16="http://schemas.microsoft.com/office/drawing/2014/main" id="{00000000-0008-0000-0200-000084020000}"/>
            </a:ext>
          </a:extLst>
        </xdr:cNvPr>
        <xdr:cNvCxnSpPr/>
      </xdr:nvCxnSpPr>
      <xdr:spPr>
        <a:xfrm>
          <a:off x="2106405" y="19218481"/>
          <a:ext cx="197988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284173</xdr:colOff>
      <xdr:row>95</xdr:row>
      <xdr:rowOff>32410</xdr:rowOff>
    </xdr:from>
    <xdr:to>
      <xdr:col>3</xdr:col>
      <xdr:colOff>284173</xdr:colOff>
      <xdr:row>96</xdr:row>
      <xdr:rowOff>0</xdr:rowOff>
    </xdr:to>
    <xdr:cxnSp macro="">
      <xdr:nvCxnSpPr>
        <xdr:cNvPr id="645" name="Straight Arrow Connector 644">
          <a:extLst>
            <a:ext uri="{FF2B5EF4-FFF2-40B4-BE49-F238E27FC236}">
              <a16:creationId xmlns:a16="http://schemas.microsoft.com/office/drawing/2014/main" id="{00000000-0008-0000-0200-000085020000}"/>
            </a:ext>
          </a:extLst>
        </xdr:cNvPr>
        <xdr:cNvCxnSpPr/>
      </xdr:nvCxnSpPr>
      <xdr:spPr>
        <a:xfrm flipV="1">
          <a:off x="2112973" y="19229367"/>
          <a:ext cx="0" cy="179862"/>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224456</xdr:colOff>
      <xdr:row>92</xdr:row>
      <xdr:rowOff>133109</xdr:rowOff>
    </xdr:from>
    <xdr:to>
      <xdr:col>8</xdr:col>
      <xdr:colOff>472966</xdr:colOff>
      <xdr:row>92</xdr:row>
      <xdr:rowOff>133109</xdr:rowOff>
    </xdr:to>
    <xdr:cxnSp macro="">
      <xdr:nvCxnSpPr>
        <xdr:cNvPr id="647" name="Straight Arrow Connector 646">
          <a:extLst>
            <a:ext uri="{FF2B5EF4-FFF2-40B4-BE49-F238E27FC236}">
              <a16:creationId xmlns:a16="http://schemas.microsoft.com/office/drawing/2014/main" id="{00000000-0008-0000-0200-000087020000}"/>
            </a:ext>
          </a:extLst>
        </xdr:cNvPr>
        <xdr:cNvCxnSpPr/>
      </xdr:nvCxnSpPr>
      <xdr:spPr>
        <a:xfrm flipH="1">
          <a:off x="5111766" y="18946626"/>
          <a:ext cx="24851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480443</xdr:colOff>
      <xdr:row>90</xdr:row>
      <xdr:rowOff>144517</xdr:rowOff>
    </xdr:from>
    <xdr:to>
      <xdr:col>8</xdr:col>
      <xdr:colOff>480443</xdr:colOff>
      <xdr:row>92</xdr:row>
      <xdr:rowOff>134854</xdr:rowOff>
    </xdr:to>
    <xdr:cxnSp macro="">
      <xdr:nvCxnSpPr>
        <xdr:cNvPr id="648" name="Straight Arrow Connector 647">
          <a:extLst>
            <a:ext uri="{FF2B5EF4-FFF2-40B4-BE49-F238E27FC236}">
              <a16:creationId xmlns:a16="http://schemas.microsoft.com/office/drawing/2014/main" id="{00000000-0008-0000-0200-000088020000}"/>
            </a:ext>
          </a:extLst>
        </xdr:cNvPr>
        <xdr:cNvCxnSpPr/>
      </xdr:nvCxnSpPr>
      <xdr:spPr>
        <a:xfrm flipV="1">
          <a:off x="5367753" y="18577034"/>
          <a:ext cx="0" cy="39761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5443</xdr:colOff>
      <xdr:row>97</xdr:row>
      <xdr:rowOff>108857</xdr:rowOff>
    </xdr:from>
    <xdr:to>
      <xdr:col>7</xdr:col>
      <xdr:colOff>206829</xdr:colOff>
      <xdr:row>97</xdr:row>
      <xdr:rowOff>108857</xdr:rowOff>
    </xdr:to>
    <xdr:cxnSp macro="">
      <xdr:nvCxnSpPr>
        <xdr:cNvPr id="649" name="Straight Arrow Connector 648">
          <a:extLst>
            <a:ext uri="{FF2B5EF4-FFF2-40B4-BE49-F238E27FC236}">
              <a16:creationId xmlns:a16="http://schemas.microsoft.com/office/drawing/2014/main" id="{00000000-0008-0000-0200-000089020000}"/>
            </a:ext>
          </a:extLst>
        </xdr:cNvPr>
        <xdr:cNvCxnSpPr/>
      </xdr:nvCxnSpPr>
      <xdr:spPr>
        <a:xfrm>
          <a:off x="4272643" y="19686814"/>
          <a:ext cx="201386"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293914</xdr:colOff>
      <xdr:row>95</xdr:row>
      <xdr:rowOff>152400</xdr:rowOff>
    </xdr:from>
    <xdr:to>
      <xdr:col>7</xdr:col>
      <xdr:colOff>293914</xdr:colOff>
      <xdr:row>99</xdr:row>
      <xdr:rowOff>125186</xdr:rowOff>
    </xdr:to>
    <xdr:cxnSp macro="">
      <xdr:nvCxnSpPr>
        <xdr:cNvPr id="650" name="Straight Arrow Connector 649">
          <a:extLst>
            <a:ext uri="{FF2B5EF4-FFF2-40B4-BE49-F238E27FC236}">
              <a16:creationId xmlns:a16="http://schemas.microsoft.com/office/drawing/2014/main" id="{00000000-0008-0000-0200-00008A020000}"/>
            </a:ext>
          </a:extLst>
        </xdr:cNvPr>
        <xdr:cNvCxnSpPr/>
      </xdr:nvCxnSpPr>
      <xdr:spPr>
        <a:xfrm flipV="1">
          <a:off x="4561114" y="19349357"/>
          <a:ext cx="0" cy="82187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413657</xdr:colOff>
      <xdr:row>14</xdr:row>
      <xdr:rowOff>185057</xdr:rowOff>
    </xdr:from>
    <xdr:to>
      <xdr:col>36</xdr:col>
      <xdr:colOff>190740</xdr:colOff>
      <xdr:row>18</xdr:row>
      <xdr:rowOff>180007</xdr:rowOff>
    </xdr:to>
    <xdr:sp macro="" textlink="">
      <xdr:nvSpPr>
        <xdr:cNvPr id="651" name="Rectangle 650">
          <a:extLst>
            <a:ext uri="{FF2B5EF4-FFF2-40B4-BE49-F238E27FC236}">
              <a16:creationId xmlns:a16="http://schemas.microsoft.com/office/drawing/2014/main" id="{00000000-0008-0000-0200-00008B020000}"/>
            </a:ext>
          </a:extLst>
        </xdr:cNvPr>
        <xdr:cNvSpPr/>
      </xdr:nvSpPr>
      <xdr:spPr>
        <a:xfrm>
          <a:off x="21140057" y="2950028"/>
          <a:ext cx="996283" cy="8331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r>
            <a:rPr lang="en-US" sz="1100" baseline="0"/>
            <a:t> Enable</a:t>
          </a:r>
          <a:endParaRPr lang="en-US" sz="1100"/>
        </a:p>
        <a:p>
          <a:pPr algn="ctr"/>
          <a:r>
            <a:rPr lang="en-US" sz="700"/>
            <a:t>ADC1_MCR[PWDN]</a:t>
          </a:r>
        </a:p>
      </xdr:txBody>
    </xdr:sp>
    <xdr:clientData/>
  </xdr:twoCellAnchor>
  <xdr:oneCellAnchor>
    <xdr:from>
      <xdr:col>34</xdr:col>
      <xdr:colOff>555172</xdr:colOff>
      <xdr:row>19</xdr:row>
      <xdr:rowOff>206829</xdr:rowOff>
    </xdr:from>
    <xdr:ext cx="876300" cy="362607"/>
    <xdr:sp macro="" textlink="">
      <xdr:nvSpPr>
        <xdr:cNvPr id="652" name="TextBox 651">
          <a:extLst>
            <a:ext uri="{FF2B5EF4-FFF2-40B4-BE49-F238E27FC236}">
              <a16:creationId xmlns:a16="http://schemas.microsoft.com/office/drawing/2014/main" id="{00000000-0008-0000-0200-00008C020000}"/>
            </a:ext>
          </a:extLst>
        </xdr:cNvPr>
        <xdr:cNvSpPr txBox="1"/>
      </xdr:nvSpPr>
      <xdr:spPr>
        <a:xfrm>
          <a:off x="21281572" y="4011386"/>
          <a:ext cx="876300"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On</a:t>
          </a:r>
        </a:p>
        <a:p>
          <a:r>
            <a:rPr lang="en-US" sz="800"/>
            <a:t>1 - Off</a:t>
          </a:r>
        </a:p>
      </xdr:txBody>
    </xdr:sp>
    <xdr:clientData/>
  </xdr:oneCellAnchor>
  <xdr:twoCellAnchor>
    <xdr:from>
      <xdr:col>37</xdr:col>
      <xdr:colOff>402771</xdr:colOff>
      <xdr:row>14</xdr:row>
      <xdr:rowOff>195943</xdr:rowOff>
    </xdr:from>
    <xdr:to>
      <xdr:col>39</xdr:col>
      <xdr:colOff>179854</xdr:colOff>
      <xdr:row>18</xdr:row>
      <xdr:rowOff>190893</xdr:rowOff>
    </xdr:to>
    <xdr:sp macro="" textlink="">
      <xdr:nvSpPr>
        <xdr:cNvPr id="653" name="Rectangle 652">
          <a:extLst>
            <a:ext uri="{FF2B5EF4-FFF2-40B4-BE49-F238E27FC236}">
              <a16:creationId xmlns:a16="http://schemas.microsoft.com/office/drawing/2014/main" id="{00000000-0008-0000-0200-00008D020000}"/>
            </a:ext>
          </a:extLst>
        </xdr:cNvPr>
        <xdr:cNvSpPr/>
      </xdr:nvSpPr>
      <xdr:spPr>
        <a:xfrm>
          <a:off x="22957971" y="2960914"/>
          <a:ext cx="996283" cy="8331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ADC1</a:t>
          </a:r>
          <a:r>
            <a:rPr lang="en-US" sz="1100" baseline="0"/>
            <a:t> Clock Select</a:t>
          </a:r>
          <a:endParaRPr lang="en-US" sz="1100"/>
        </a:p>
        <a:p>
          <a:pPr algn="ctr"/>
          <a:r>
            <a:rPr lang="en-US" sz="700"/>
            <a:t>ADC1_MCR[ADCLKSEL]</a:t>
          </a:r>
        </a:p>
      </xdr:txBody>
    </xdr:sp>
    <xdr:clientData/>
  </xdr:twoCellAnchor>
  <xdr:oneCellAnchor>
    <xdr:from>
      <xdr:col>37</xdr:col>
      <xdr:colOff>549729</xdr:colOff>
      <xdr:row>19</xdr:row>
      <xdr:rowOff>190500</xdr:rowOff>
    </xdr:from>
    <xdr:ext cx="876300" cy="362607"/>
    <xdr:sp macro="" textlink="">
      <xdr:nvSpPr>
        <xdr:cNvPr id="654" name="TextBox 653">
          <a:extLst>
            <a:ext uri="{FF2B5EF4-FFF2-40B4-BE49-F238E27FC236}">
              <a16:creationId xmlns:a16="http://schemas.microsoft.com/office/drawing/2014/main" id="{00000000-0008-0000-0200-00008E020000}"/>
            </a:ext>
          </a:extLst>
        </xdr:cNvPr>
        <xdr:cNvSpPr txBox="1"/>
      </xdr:nvSpPr>
      <xdr:spPr>
        <a:xfrm>
          <a:off x="23104929" y="3995057"/>
          <a:ext cx="876300"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(FS80)/2</a:t>
          </a:r>
        </a:p>
        <a:p>
          <a:r>
            <a:rPr lang="en-US" sz="800"/>
            <a:t>1 - FS80</a:t>
          </a:r>
        </a:p>
      </xdr:txBody>
    </xdr:sp>
    <xdr:clientData/>
  </xdr:oneCellAnchor>
  <xdr:twoCellAnchor>
    <xdr:from>
      <xdr:col>36</xdr:col>
      <xdr:colOff>202642</xdr:colOff>
      <xdr:row>16</xdr:row>
      <xdr:rowOff>196073</xdr:rowOff>
    </xdr:from>
    <xdr:to>
      <xdr:col>37</xdr:col>
      <xdr:colOff>408214</xdr:colOff>
      <xdr:row>16</xdr:row>
      <xdr:rowOff>196073</xdr:rowOff>
    </xdr:to>
    <xdr:cxnSp macro="">
      <xdr:nvCxnSpPr>
        <xdr:cNvPr id="655" name="Straight Arrow Connector 654">
          <a:extLst>
            <a:ext uri="{FF2B5EF4-FFF2-40B4-BE49-F238E27FC236}">
              <a16:creationId xmlns:a16="http://schemas.microsoft.com/office/drawing/2014/main" id="{00000000-0008-0000-0200-00008F020000}"/>
            </a:ext>
          </a:extLst>
        </xdr:cNvPr>
        <xdr:cNvCxnSpPr/>
      </xdr:nvCxnSpPr>
      <xdr:spPr>
        <a:xfrm>
          <a:off x="22148242" y="3385587"/>
          <a:ext cx="81517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118241</xdr:colOff>
      <xdr:row>17</xdr:row>
      <xdr:rowOff>30115</xdr:rowOff>
    </xdr:from>
    <xdr:to>
      <xdr:col>47</xdr:col>
      <xdr:colOff>142112</xdr:colOff>
      <xdr:row>17</xdr:row>
      <xdr:rowOff>34370</xdr:rowOff>
    </xdr:to>
    <xdr:cxnSp macro="">
      <xdr:nvCxnSpPr>
        <xdr:cNvPr id="656" name="Straight Arrow Connector 655">
          <a:extLst>
            <a:ext uri="{FF2B5EF4-FFF2-40B4-BE49-F238E27FC236}">
              <a16:creationId xmlns:a16="http://schemas.microsoft.com/office/drawing/2014/main" id="{00000000-0008-0000-0200-000090020000}"/>
            </a:ext>
          </a:extLst>
        </xdr:cNvPr>
        <xdr:cNvCxnSpPr>
          <a:endCxn id="567" idx="1"/>
        </xdr:cNvCxnSpPr>
      </xdr:nvCxnSpPr>
      <xdr:spPr>
        <a:xfrm>
          <a:off x="26998448" y="3491960"/>
          <a:ext cx="1856612" cy="4255"/>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571499</xdr:colOff>
      <xdr:row>65</xdr:row>
      <xdr:rowOff>0</xdr:rowOff>
    </xdr:from>
    <xdr:ext cx="998483" cy="342900"/>
    <xdr:sp macro="" textlink="">
      <xdr:nvSpPr>
        <xdr:cNvPr id="528" name="TextBox 527">
          <a:extLst>
            <a:ext uri="{FF2B5EF4-FFF2-40B4-BE49-F238E27FC236}">
              <a16:creationId xmlns:a16="http://schemas.microsoft.com/office/drawing/2014/main" id="{00000000-0008-0000-0200-000010020000}"/>
            </a:ext>
          </a:extLst>
        </xdr:cNvPr>
        <xdr:cNvSpPr txBox="1"/>
      </xdr:nvSpPr>
      <xdr:spPr>
        <a:xfrm>
          <a:off x="1182413" y="12973707"/>
          <a:ext cx="998483"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2.5</a:t>
          </a:r>
          <a:r>
            <a:rPr lang="en-US" sz="800" baseline="0"/>
            <a:t> MHz</a:t>
          </a:r>
          <a:r>
            <a:rPr lang="en-US" sz="800"/>
            <a:t> - 10</a:t>
          </a:r>
          <a:r>
            <a:rPr lang="en-US" sz="800" baseline="0"/>
            <a:t> Mbps</a:t>
          </a:r>
          <a:endParaRPr lang="en-US" sz="800"/>
        </a:p>
        <a:p>
          <a:r>
            <a:rPr lang="en-US" sz="800"/>
            <a:t>25</a:t>
          </a:r>
          <a:r>
            <a:rPr lang="en-US" sz="800" baseline="0"/>
            <a:t> MHz</a:t>
          </a:r>
          <a:r>
            <a:rPr lang="en-US" sz="800"/>
            <a:t> - 100 Mbps</a:t>
          </a:r>
        </a:p>
      </xdr:txBody>
    </xdr:sp>
    <xdr:clientData/>
  </xdr:oneCellAnchor>
  <xdr:oneCellAnchor>
    <xdr:from>
      <xdr:col>4</xdr:col>
      <xdr:colOff>564931</xdr:colOff>
      <xdr:row>64</xdr:row>
      <xdr:rowOff>197069</xdr:rowOff>
    </xdr:from>
    <xdr:ext cx="998483" cy="342900"/>
    <xdr:sp macro="" textlink="">
      <xdr:nvSpPr>
        <xdr:cNvPr id="529" name="TextBox 528">
          <a:extLst>
            <a:ext uri="{FF2B5EF4-FFF2-40B4-BE49-F238E27FC236}">
              <a16:creationId xmlns:a16="http://schemas.microsoft.com/office/drawing/2014/main" id="{00000000-0008-0000-0200-000011020000}"/>
            </a:ext>
          </a:extLst>
        </xdr:cNvPr>
        <xdr:cNvSpPr txBox="1"/>
      </xdr:nvSpPr>
      <xdr:spPr>
        <a:xfrm>
          <a:off x="3008586" y="12960569"/>
          <a:ext cx="998483"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2.5</a:t>
          </a:r>
          <a:r>
            <a:rPr lang="en-US" sz="800" baseline="0"/>
            <a:t> MHz</a:t>
          </a:r>
          <a:r>
            <a:rPr lang="en-US" sz="800"/>
            <a:t> - 10</a:t>
          </a:r>
          <a:r>
            <a:rPr lang="en-US" sz="800" baseline="0"/>
            <a:t> Mbps</a:t>
          </a:r>
          <a:endParaRPr lang="en-US" sz="800"/>
        </a:p>
        <a:p>
          <a:r>
            <a:rPr lang="en-US" sz="800"/>
            <a:t>25</a:t>
          </a:r>
          <a:r>
            <a:rPr lang="en-US" sz="800" baseline="0"/>
            <a:t> MHz</a:t>
          </a:r>
          <a:r>
            <a:rPr lang="en-US" sz="800"/>
            <a:t> - 100 Mbps</a:t>
          </a:r>
        </a:p>
      </xdr:txBody>
    </xdr:sp>
    <xdr:clientData/>
  </xdr:oneCellAnchor>
  <xdr:oneCellAnchor>
    <xdr:from>
      <xdr:col>5</xdr:col>
      <xdr:colOff>564931</xdr:colOff>
      <xdr:row>61</xdr:row>
      <xdr:rowOff>183931</xdr:rowOff>
    </xdr:from>
    <xdr:ext cx="998483" cy="342900"/>
    <xdr:sp macro="" textlink="">
      <xdr:nvSpPr>
        <xdr:cNvPr id="551" name="TextBox 550">
          <a:extLst>
            <a:ext uri="{FF2B5EF4-FFF2-40B4-BE49-F238E27FC236}">
              <a16:creationId xmlns:a16="http://schemas.microsoft.com/office/drawing/2014/main" id="{00000000-0008-0000-0200-000027020000}"/>
            </a:ext>
          </a:extLst>
        </xdr:cNvPr>
        <xdr:cNvSpPr txBox="1"/>
      </xdr:nvSpPr>
      <xdr:spPr>
        <a:xfrm>
          <a:off x="3619500" y="12343086"/>
          <a:ext cx="998483"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2.5</a:t>
          </a:r>
          <a:r>
            <a:rPr lang="en-US" sz="800" baseline="0"/>
            <a:t> MHz</a:t>
          </a:r>
          <a:r>
            <a:rPr lang="en-US" sz="800"/>
            <a:t> - 10</a:t>
          </a:r>
          <a:r>
            <a:rPr lang="en-US" sz="800" baseline="0"/>
            <a:t> Mbps</a:t>
          </a:r>
          <a:endParaRPr lang="en-US" sz="800"/>
        </a:p>
        <a:p>
          <a:r>
            <a:rPr lang="en-US" sz="800"/>
            <a:t>25</a:t>
          </a:r>
          <a:r>
            <a:rPr lang="en-US" sz="800" baseline="0"/>
            <a:t> MHz</a:t>
          </a:r>
          <a:r>
            <a:rPr lang="en-US" sz="800"/>
            <a:t> - 100 Mbps</a:t>
          </a:r>
        </a:p>
      </xdr:txBody>
    </xdr:sp>
    <xdr:clientData/>
  </xdr:oneCellAnchor>
  <xdr:oneCellAnchor>
    <xdr:from>
      <xdr:col>1</xdr:col>
      <xdr:colOff>545224</xdr:colOff>
      <xdr:row>54</xdr:row>
      <xdr:rowOff>203638</xdr:rowOff>
    </xdr:from>
    <xdr:ext cx="1083880" cy="505810"/>
    <xdr:sp macro="" textlink="">
      <xdr:nvSpPr>
        <xdr:cNvPr id="657" name="TextBox 656">
          <a:extLst>
            <a:ext uri="{FF2B5EF4-FFF2-40B4-BE49-F238E27FC236}">
              <a16:creationId xmlns:a16="http://schemas.microsoft.com/office/drawing/2014/main" id="{00000000-0008-0000-0200-000091020000}"/>
            </a:ext>
          </a:extLst>
        </xdr:cNvPr>
        <xdr:cNvSpPr txBox="1"/>
      </xdr:nvSpPr>
      <xdr:spPr>
        <a:xfrm>
          <a:off x="1156138" y="10891345"/>
          <a:ext cx="1083880" cy="5058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2.5</a:t>
          </a:r>
          <a:r>
            <a:rPr lang="en-US" sz="800" baseline="0"/>
            <a:t> MHz</a:t>
          </a:r>
          <a:r>
            <a:rPr lang="en-US" sz="800"/>
            <a:t> - 10</a:t>
          </a:r>
          <a:r>
            <a:rPr lang="en-US" sz="800" baseline="0"/>
            <a:t> Mbps</a:t>
          </a:r>
          <a:endParaRPr lang="en-US" sz="800"/>
        </a:p>
        <a:p>
          <a:r>
            <a:rPr lang="en-US" sz="800"/>
            <a:t>25</a:t>
          </a:r>
          <a:r>
            <a:rPr lang="en-US" sz="800" baseline="0"/>
            <a:t> MHz</a:t>
          </a:r>
          <a:r>
            <a:rPr lang="en-US" sz="800"/>
            <a:t> - 100 Mbps</a:t>
          </a:r>
        </a:p>
        <a:p>
          <a:r>
            <a:rPr lang="en-US" sz="800"/>
            <a:t>50</a:t>
          </a:r>
          <a:r>
            <a:rPr lang="en-US" sz="800" baseline="0"/>
            <a:t> MHz -  RMII mode</a:t>
          </a:r>
          <a:endParaRPr lang="en-US" sz="800"/>
        </a:p>
      </xdr:txBody>
    </xdr:sp>
    <xdr:clientData/>
  </xdr:oneCellAnchor>
  <xdr:twoCellAnchor>
    <xdr:from>
      <xdr:col>6</xdr:col>
      <xdr:colOff>479534</xdr:colOff>
      <xdr:row>18</xdr:row>
      <xdr:rowOff>177468</xdr:rowOff>
    </xdr:from>
    <xdr:to>
      <xdr:col>8</xdr:col>
      <xdr:colOff>119309</xdr:colOff>
      <xdr:row>21</xdr:row>
      <xdr:rowOff>1663</xdr:rowOff>
    </xdr:to>
    <xdr:sp macro="" textlink="">
      <xdr:nvSpPr>
        <xdr:cNvPr id="658" name="Rectangle 657">
          <a:hlinkClick xmlns:r="http://schemas.openxmlformats.org/officeDocument/2006/relationships" r:id="rId31"/>
          <a:extLst>
            <a:ext uri="{FF2B5EF4-FFF2-40B4-BE49-F238E27FC236}">
              <a16:creationId xmlns:a16="http://schemas.microsoft.com/office/drawing/2014/main" id="{00000000-0008-0000-0200-000092020000}"/>
            </a:ext>
          </a:extLst>
        </xdr:cNvPr>
        <xdr:cNvSpPr/>
      </xdr:nvSpPr>
      <xdr:spPr>
        <a:xfrm>
          <a:off x="4145017" y="3744416"/>
          <a:ext cx="861602" cy="4416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177362</xdr:colOff>
      <xdr:row>20</xdr:row>
      <xdr:rowOff>144517</xdr:rowOff>
    </xdr:from>
    <xdr:to>
      <xdr:col>6</xdr:col>
      <xdr:colOff>459827</xdr:colOff>
      <xdr:row>20</xdr:row>
      <xdr:rowOff>144517</xdr:rowOff>
    </xdr:to>
    <xdr:cxnSp macro="">
      <xdr:nvCxnSpPr>
        <xdr:cNvPr id="659" name="Straight Arrow Connector 658">
          <a:extLst>
            <a:ext uri="{FF2B5EF4-FFF2-40B4-BE49-F238E27FC236}">
              <a16:creationId xmlns:a16="http://schemas.microsoft.com/office/drawing/2014/main" id="{00000000-0008-0000-0200-000093020000}"/>
            </a:ext>
          </a:extLst>
        </xdr:cNvPr>
        <xdr:cNvCxnSpPr/>
      </xdr:nvCxnSpPr>
      <xdr:spPr>
        <a:xfrm flipH="1">
          <a:off x="2621017" y="4118741"/>
          <a:ext cx="150429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505811</xdr:colOff>
      <xdr:row>123</xdr:row>
      <xdr:rowOff>131380</xdr:rowOff>
    </xdr:from>
    <xdr:to>
      <xdr:col>8</xdr:col>
      <xdr:colOff>145586</xdr:colOff>
      <xdr:row>125</xdr:row>
      <xdr:rowOff>185489</xdr:rowOff>
    </xdr:to>
    <xdr:sp macro="" textlink="">
      <xdr:nvSpPr>
        <xdr:cNvPr id="660" name="Rectangle 659">
          <a:hlinkClick xmlns:r="http://schemas.openxmlformats.org/officeDocument/2006/relationships" r:id="rId31"/>
          <a:extLst>
            <a:ext uri="{FF2B5EF4-FFF2-40B4-BE49-F238E27FC236}">
              <a16:creationId xmlns:a16="http://schemas.microsoft.com/office/drawing/2014/main" id="{00000000-0008-0000-0200-000094020000}"/>
            </a:ext>
          </a:extLst>
        </xdr:cNvPr>
        <xdr:cNvSpPr/>
      </xdr:nvSpPr>
      <xdr:spPr>
        <a:xfrm>
          <a:off x="4171294" y="25415328"/>
          <a:ext cx="861602" cy="4482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177362</xdr:colOff>
      <xdr:row>124</xdr:row>
      <xdr:rowOff>111672</xdr:rowOff>
    </xdr:from>
    <xdr:to>
      <xdr:col>6</xdr:col>
      <xdr:colOff>505810</xdr:colOff>
      <xdr:row>124</xdr:row>
      <xdr:rowOff>111672</xdr:rowOff>
    </xdr:to>
    <xdr:cxnSp macro="">
      <xdr:nvCxnSpPr>
        <xdr:cNvPr id="661" name="Straight Arrow Connector 660">
          <a:extLst>
            <a:ext uri="{FF2B5EF4-FFF2-40B4-BE49-F238E27FC236}">
              <a16:creationId xmlns:a16="http://schemas.microsoft.com/office/drawing/2014/main" id="{00000000-0008-0000-0200-000095020000}"/>
            </a:ext>
          </a:extLst>
        </xdr:cNvPr>
        <xdr:cNvCxnSpPr/>
      </xdr:nvCxnSpPr>
      <xdr:spPr>
        <a:xfrm flipH="1">
          <a:off x="2621017" y="24876672"/>
          <a:ext cx="155027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393662</xdr:colOff>
      <xdr:row>126</xdr:row>
      <xdr:rowOff>186090</xdr:rowOff>
    </xdr:from>
    <xdr:to>
      <xdr:col>41</xdr:col>
      <xdr:colOff>210206</xdr:colOff>
      <xdr:row>127</xdr:row>
      <xdr:rowOff>178154</xdr:rowOff>
    </xdr:to>
    <xdr:sp macro="" textlink="">
      <xdr:nvSpPr>
        <xdr:cNvPr id="668" name="TextBox 667">
          <a:extLst>
            <a:ext uri="{FF2B5EF4-FFF2-40B4-BE49-F238E27FC236}">
              <a16:creationId xmlns:a16="http://schemas.microsoft.com/office/drawing/2014/main" id="{00000000-0008-0000-0200-00009C020000}"/>
            </a:ext>
          </a:extLst>
        </xdr:cNvPr>
        <xdr:cNvSpPr txBox="1"/>
      </xdr:nvSpPr>
      <xdr:spPr>
        <a:xfrm>
          <a:off x="24219300" y="25351797"/>
          <a:ext cx="1038372" cy="189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USB</a:t>
          </a:r>
          <a:r>
            <a:rPr lang="en-US" sz="600" baseline="0">
              <a:solidFill>
                <a:schemeClr val="bg1"/>
              </a:solidFill>
            </a:rPr>
            <a:t> LP/MPC5748 STOP Exit</a:t>
          </a:r>
          <a:endParaRPr lang="en-US" sz="600">
            <a:solidFill>
              <a:schemeClr val="bg1"/>
            </a:solidFill>
          </a:endParaRPr>
        </a:p>
      </xdr:txBody>
    </xdr:sp>
    <xdr:clientData/>
  </xdr:twoCellAnchor>
  <xdr:twoCellAnchor>
    <xdr:from>
      <xdr:col>41</xdr:col>
      <xdr:colOff>596348</xdr:colOff>
      <xdr:row>57</xdr:row>
      <xdr:rowOff>124238</xdr:rowOff>
    </xdr:from>
    <xdr:to>
      <xdr:col>43</xdr:col>
      <xdr:colOff>79101</xdr:colOff>
      <xdr:row>58</xdr:row>
      <xdr:rowOff>194419</xdr:rowOff>
    </xdr:to>
    <xdr:sp macro="" textlink="">
      <xdr:nvSpPr>
        <xdr:cNvPr id="478" name="Rectangle 477">
          <a:extLst>
            <a:ext uri="{FF2B5EF4-FFF2-40B4-BE49-F238E27FC236}">
              <a16:creationId xmlns:a16="http://schemas.microsoft.com/office/drawing/2014/main" id="{00000000-0008-0000-0200-0000DE010000}"/>
            </a:ext>
          </a:extLst>
        </xdr:cNvPr>
        <xdr:cNvSpPr/>
      </xdr:nvSpPr>
      <xdr:spPr>
        <a:xfrm>
          <a:off x="25725783" y="11405151"/>
          <a:ext cx="708579" cy="27724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/(1+(0..31))</a:t>
          </a:r>
          <a:endParaRPr lang="en-US" sz="750"/>
        </a:p>
      </xdr:txBody>
    </xdr:sp>
    <xdr:clientData/>
  </xdr:twoCellAnchor>
  <xdr:twoCellAnchor>
    <xdr:from>
      <xdr:col>4</xdr:col>
      <xdr:colOff>476249</xdr:colOff>
      <xdr:row>6</xdr:row>
      <xdr:rowOff>146538</xdr:rowOff>
    </xdr:from>
    <xdr:to>
      <xdr:col>6</xdr:col>
      <xdr:colOff>116023</xdr:colOff>
      <xdr:row>8</xdr:row>
      <xdr:rowOff>183214</xdr:rowOff>
    </xdr:to>
    <xdr:sp macro="" textlink="">
      <xdr:nvSpPr>
        <xdr:cNvPr id="471" name="Rectangle 470">
          <a:hlinkClick xmlns:r="http://schemas.openxmlformats.org/officeDocument/2006/relationships" r:id="rId31"/>
          <a:extLst>
            <a:ext uri="{FF2B5EF4-FFF2-40B4-BE49-F238E27FC236}">
              <a16:creationId xmlns:a16="http://schemas.microsoft.com/office/drawing/2014/main" id="{00000000-0008-0000-0200-0000D7010000}"/>
            </a:ext>
          </a:extLst>
        </xdr:cNvPr>
        <xdr:cNvSpPr/>
      </xdr:nvSpPr>
      <xdr:spPr>
        <a:xfrm>
          <a:off x="2908787" y="1296865"/>
          <a:ext cx="856044" cy="4469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468924</xdr:colOff>
      <xdr:row>10</xdr:row>
      <xdr:rowOff>146539</xdr:rowOff>
    </xdr:from>
    <xdr:to>
      <xdr:col>6</xdr:col>
      <xdr:colOff>108698</xdr:colOff>
      <xdr:row>12</xdr:row>
      <xdr:rowOff>183215</xdr:rowOff>
    </xdr:to>
    <xdr:sp macro="" textlink="">
      <xdr:nvSpPr>
        <xdr:cNvPr id="484" name="Rectangle 483">
          <a:hlinkClick xmlns:r="http://schemas.openxmlformats.org/officeDocument/2006/relationships" r:id="rId31"/>
          <a:extLst>
            <a:ext uri="{FF2B5EF4-FFF2-40B4-BE49-F238E27FC236}">
              <a16:creationId xmlns:a16="http://schemas.microsoft.com/office/drawing/2014/main" id="{00000000-0008-0000-0200-0000E4010000}"/>
            </a:ext>
          </a:extLst>
        </xdr:cNvPr>
        <xdr:cNvSpPr/>
      </xdr:nvSpPr>
      <xdr:spPr>
        <a:xfrm>
          <a:off x="2901462" y="2117481"/>
          <a:ext cx="856044" cy="4616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124557</xdr:colOff>
      <xdr:row>12</xdr:row>
      <xdr:rowOff>14654</xdr:rowOff>
    </xdr:from>
    <xdr:to>
      <xdr:col>8</xdr:col>
      <xdr:colOff>374388</xdr:colOff>
      <xdr:row>12</xdr:row>
      <xdr:rowOff>14654</xdr:rowOff>
    </xdr:to>
    <xdr:cxnSp macro="">
      <xdr:nvCxnSpPr>
        <xdr:cNvPr id="485" name="Straight Arrow Connector 484">
          <a:extLst>
            <a:ext uri="{FF2B5EF4-FFF2-40B4-BE49-F238E27FC236}">
              <a16:creationId xmlns:a16="http://schemas.microsoft.com/office/drawing/2014/main" id="{00000000-0008-0000-0200-0000E5010000}"/>
            </a:ext>
          </a:extLst>
        </xdr:cNvPr>
        <xdr:cNvCxnSpPr/>
      </xdr:nvCxnSpPr>
      <xdr:spPr>
        <a:xfrm flipH="1">
          <a:off x="3773365" y="2410558"/>
          <a:ext cx="14661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249117</xdr:colOff>
      <xdr:row>8</xdr:row>
      <xdr:rowOff>43962</xdr:rowOff>
    </xdr:from>
    <xdr:to>
      <xdr:col>4</xdr:col>
      <xdr:colOff>454270</xdr:colOff>
      <xdr:row>8</xdr:row>
      <xdr:rowOff>43962</xdr:rowOff>
    </xdr:to>
    <xdr:cxnSp macro="">
      <xdr:nvCxnSpPr>
        <xdr:cNvPr id="670" name="Straight Arrow Connector 669">
          <a:extLst>
            <a:ext uri="{FF2B5EF4-FFF2-40B4-BE49-F238E27FC236}">
              <a16:creationId xmlns:a16="http://schemas.microsoft.com/office/drawing/2014/main" id="{00000000-0008-0000-0200-00009E020000}"/>
            </a:ext>
          </a:extLst>
        </xdr:cNvPr>
        <xdr:cNvCxnSpPr/>
      </xdr:nvCxnSpPr>
      <xdr:spPr>
        <a:xfrm flipH="1">
          <a:off x="1465386" y="1604597"/>
          <a:ext cx="14214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505557</xdr:colOff>
      <xdr:row>34</xdr:row>
      <xdr:rowOff>124558</xdr:rowOff>
    </xdr:from>
    <xdr:to>
      <xdr:col>8</xdr:col>
      <xdr:colOff>145332</xdr:colOff>
      <xdr:row>36</xdr:row>
      <xdr:rowOff>175887</xdr:rowOff>
    </xdr:to>
    <xdr:sp macro="" textlink="">
      <xdr:nvSpPr>
        <xdr:cNvPr id="671" name="Rectangle 670">
          <a:hlinkClick xmlns:r="http://schemas.openxmlformats.org/officeDocument/2006/relationships" r:id="rId31"/>
          <a:extLst>
            <a:ext uri="{FF2B5EF4-FFF2-40B4-BE49-F238E27FC236}">
              <a16:creationId xmlns:a16="http://schemas.microsoft.com/office/drawing/2014/main" id="{00000000-0008-0000-0200-00009F020000}"/>
            </a:ext>
          </a:extLst>
        </xdr:cNvPr>
        <xdr:cNvSpPr/>
      </xdr:nvSpPr>
      <xdr:spPr>
        <a:xfrm>
          <a:off x="4154365" y="7033846"/>
          <a:ext cx="856044" cy="4616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482111</xdr:colOff>
      <xdr:row>38</xdr:row>
      <xdr:rowOff>79131</xdr:rowOff>
    </xdr:from>
    <xdr:to>
      <xdr:col>8</xdr:col>
      <xdr:colOff>121886</xdr:colOff>
      <xdr:row>40</xdr:row>
      <xdr:rowOff>152441</xdr:rowOff>
    </xdr:to>
    <xdr:sp macro="" textlink="">
      <xdr:nvSpPr>
        <xdr:cNvPr id="673" name="Rectangle 672">
          <a:hlinkClick xmlns:r="http://schemas.openxmlformats.org/officeDocument/2006/relationships" r:id="rId31"/>
          <a:extLst>
            <a:ext uri="{FF2B5EF4-FFF2-40B4-BE49-F238E27FC236}">
              <a16:creationId xmlns:a16="http://schemas.microsoft.com/office/drawing/2014/main" id="{00000000-0008-0000-0200-0000A1020000}"/>
            </a:ext>
          </a:extLst>
        </xdr:cNvPr>
        <xdr:cNvSpPr/>
      </xdr:nvSpPr>
      <xdr:spPr>
        <a:xfrm>
          <a:off x="4130919" y="7809035"/>
          <a:ext cx="856044" cy="4616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263770</xdr:colOff>
      <xdr:row>36</xdr:row>
      <xdr:rowOff>29308</xdr:rowOff>
    </xdr:from>
    <xdr:to>
      <xdr:col>6</xdr:col>
      <xdr:colOff>507445</xdr:colOff>
      <xdr:row>36</xdr:row>
      <xdr:rowOff>29308</xdr:rowOff>
    </xdr:to>
    <xdr:cxnSp macro="">
      <xdr:nvCxnSpPr>
        <xdr:cNvPr id="674" name="Straight Arrow Connector 673">
          <a:extLst>
            <a:ext uri="{FF2B5EF4-FFF2-40B4-BE49-F238E27FC236}">
              <a16:creationId xmlns:a16="http://schemas.microsoft.com/office/drawing/2014/main" id="{00000000-0008-0000-0200-0000A2020000}"/>
            </a:ext>
          </a:extLst>
        </xdr:cNvPr>
        <xdr:cNvCxnSpPr/>
      </xdr:nvCxnSpPr>
      <xdr:spPr>
        <a:xfrm flipH="1">
          <a:off x="2696308" y="7348904"/>
          <a:ext cx="14599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307731</xdr:colOff>
      <xdr:row>38</xdr:row>
      <xdr:rowOff>130418</xdr:rowOff>
    </xdr:from>
    <xdr:to>
      <xdr:col>6</xdr:col>
      <xdr:colOff>469346</xdr:colOff>
      <xdr:row>38</xdr:row>
      <xdr:rowOff>130418</xdr:rowOff>
    </xdr:to>
    <xdr:cxnSp macro="">
      <xdr:nvCxnSpPr>
        <xdr:cNvPr id="675" name="Straight Arrow Connector 674">
          <a:extLst>
            <a:ext uri="{FF2B5EF4-FFF2-40B4-BE49-F238E27FC236}">
              <a16:creationId xmlns:a16="http://schemas.microsoft.com/office/drawing/2014/main" id="{00000000-0008-0000-0200-0000A3020000}"/>
            </a:ext>
          </a:extLst>
        </xdr:cNvPr>
        <xdr:cNvCxnSpPr/>
      </xdr:nvCxnSpPr>
      <xdr:spPr>
        <a:xfrm flipH="1">
          <a:off x="2740269" y="7860322"/>
          <a:ext cx="137788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417635</xdr:colOff>
      <xdr:row>44</xdr:row>
      <xdr:rowOff>190501</xdr:rowOff>
    </xdr:from>
    <xdr:to>
      <xdr:col>8</xdr:col>
      <xdr:colOff>138006</xdr:colOff>
      <xdr:row>47</xdr:row>
      <xdr:rowOff>183213</xdr:rowOff>
    </xdr:to>
    <xdr:sp macro="" textlink="">
      <xdr:nvSpPr>
        <xdr:cNvPr id="676" name="Rectangle 675">
          <a:hlinkClick xmlns:r="http://schemas.openxmlformats.org/officeDocument/2006/relationships" r:id="rId31"/>
          <a:extLst>
            <a:ext uri="{FF2B5EF4-FFF2-40B4-BE49-F238E27FC236}">
              <a16:creationId xmlns:a16="http://schemas.microsoft.com/office/drawing/2014/main" id="{00000000-0008-0000-0200-0000A4020000}"/>
            </a:ext>
          </a:extLst>
        </xdr:cNvPr>
        <xdr:cNvSpPr/>
      </xdr:nvSpPr>
      <xdr:spPr>
        <a:xfrm>
          <a:off x="4066443" y="9187963"/>
          <a:ext cx="936640" cy="615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xdr:col>
      <xdr:colOff>153865</xdr:colOff>
      <xdr:row>46</xdr:row>
      <xdr:rowOff>36635</xdr:rowOff>
    </xdr:from>
    <xdr:to>
      <xdr:col>6</xdr:col>
      <xdr:colOff>418058</xdr:colOff>
      <xdr:row>46</xdr:row>
      <xdr:rowOff>36635</xdr:rowOff>
    </xdr:to>
    <xdr:cxnSp macro="">
      <xdr:nvCxnSpPr>
        <xdr:cNvPr id="677" name="Straight Arrow Connector 676">
          <a:extLst>
            <a:ext uri="{FF2B5EF4-FFF2-40B4-BE49-F238E27FC236}">
              <a16:creationId xmlns:a16="http://schemas.microsoft.com/office/drawing/2014/main" id="{00000000-0008-0000-0200-0000A5020000}"/>
            </a:ext>
          </a:extLst>
        </xdr:cNvPr>
        <xdr:cNvCxnSpPr/>
      </xdr:nvCxnSpPr>
      <xdr:spPr>
        <a:xfrm flipH="1">
          <a:off x="1978269" y="9444404"/>
          <a:ext cx="208859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161192</xdr:colOff>
      <xdr:row>47</xdr:row>
      <xdr:rowOff>0</xdr:rowOff>
    </xdr:from>
    <xdr:to>
      <xdr:col>6</xdr:col>
      <xdr:colOff>410731</xdr:colOff>
      <xdr:row>47</xdr:row>
      <xdr:rowOff>0</xdr:rowOff>
    </xdr:to>
    <xdr:cxnSp macro="">
      <xdr:nvCxnSpPr>
        <xdr:cNvPr id="681" name="Straight Arrow Connector 680">
          <a:extLst>
            <a:ext uri="{FF2B5EF4-FFF2-40B4-BE49-F238E27FC236}">
              <a16:creationId xmlns:a16="http://schemas.microsoft.com/office/drawing/2014/main" id="{00000000-0008-0000-0200-0000A9020000}"/>
            </a:ext>
          </a:extLst>
        </xdr:cNvPr>
        <xdr:cNvCxnSpPr/>
      </xdr:nvCxnSpPr>
      <xdr:spPr>
        <a:xfrm flipH="1">
          <a:off x="1985596" y="9620250"/>
          <a:ext cx="207394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556844</xdr:colOff>
      <xdr:row>50</xdr:row>
      <xdr:rowOff>205154</xdr:rowOff>
    </xdr:from>
    <xdr:to>
      <xdr:col>6</xdr:col>
      <xdr:colOff>102577</xdr:colOff>
      <xdr:row>52</xdr:row>
      <xdr:rowOff>190537</xdr:rowOff>
    </xdr:to>
    <xdr:sp macro="" textlink="">
      <xdr:nvSpPr>
        <xdr:cNvPr id="682" name="Rectangle 681">
          <a:hlinkClick xmlns:r="http://schemas.openxmlformats.org/officeDocument/2006/relationships" r:id="rId31"/>
          <a:extLst>
            <a:ext uri="{FF2B5EF4-FFF2-40B4-BE49-F238E27FC236}">
              <a16:creationId xmlns:a16="http://schemas.microsoft.com/office/drawing/2014/main" id="{00000000-0008-0000-0200-0000AA020000}"/>
            </a:ext>
          </a:extLst>
        </xdr:cNvPr>
        <xdr:cNvSpPr/>
      </xdr:nvSpPr>
      <xdr:spPr>
        <a:xfrm>
          <a:off x="2989382" y="10462846"/>
          <a:ext cx="762003" cy="4103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505558</xdr:colOff>
      <xdr:row>57</xdr:row>
      <xdr:rowOff>102577</xdr:rowOff>
    </xdr:from>
    <xdr:to>
      <xdr:col>8</xdr:col>
      <xdr:colOff>117230</xdr:colOff>
      <xdr:row>59</xdr:row>
      <xdr:rowOff>190501</xdr:rowOff>
    </xdr:to>
    <xdr:sp macro="" textlink="">
      <xdr:nvSpPr>
        <xdr:cNvPr id="683" name="Rectangle 682">
          <a:hlinkClick xmlns:r="http://schemas.openxmlformats.org/officeDocument/2006/relationships" r:id="rId31"/>
          <a:extLst>
            <a:ext uri="{FF2B5EF4-FFF2-40B4-BE49-F238E27FC236}">
              <a16:creationId xmlns:a16="http://schemas.microsoft.com/office/drawing/2014/main" id="{00000000-0008-0000-0200-0000AB020000}"/>
            </a:ext>
          </a:extLst>
        </xdr:cNvPr>
        <xdr:cNvSpPr/>
      </xdr:nvSpPr>
      <xdr:spPr>
        <a:xfrm>
          <a:off x="4154366" y="11847635"/>
          <a:ext cx="827941" cy="51288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241789</xdr:colOff>
      <xdr:row>58</xdr:row>
      <xdr:rowOff>14654</xdr:rowOff>
    </xdr:from>
    <xdr:to>
      <xdr:col>6</xdr:col>
      <xdr:colOff>479380</xdr:colOff>
      <xdr:row>58</xdr:row>
      <xdr:rowOff>14654</xdr:rowOff>
    </xdr:to>
    <xdr:cxnSp macro="">
      <xdr:nvCxnSpPr>
        <xdr:cNvPr id="684" name="Straight Arrow Connector 683">
          <a:extLst>
            <a:ext uri="{FF2B5EF4-FFF2-40B4-BE49-F238E27FC236}">
              <a16:creationId xmlns:a16="http://schemas.microsoft.com/office/drawing/2014/main" id="{00000000-0008-0000-0200-0000AC020000}"/>
            </a:ext>
          </a:extLst>
        </xdr:cNvPr>
        <xdr:cNvCxnSpPr/>
      </xdr:nvCxnSpPr>
      <xdr:spPr>
        <a:xfrm flipH="1">
          <a:off x="2674327" y="11972192"/>
          <a:ext cx="14538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247651</xdr:colOff>
      <xdr:row>58</xdr:row>
      <xdr:rowOff>211015</xdr:rowOff>
    </xdr:from>
    <xdr:to>
      <xdr:col>6</xdr:col>
      <xdr:colOff>485242</xdr:colOff>
      <xdr:row>58</xdr:row>
      <xdr:rowOff>211015</xdr:rowOff>
    </xdr:to>
    <xdr:cxnSp macro="">
      <xdr:nvCxnSpPr>
        <xdr:cNvPr id="691" name="Straight Arrow Connector 690">
          <a:extLst>
            <a:ext uri="{FF2B5EF4-FFF2-40B4-BE49-F238E27FC236}">
              <a16:creationId xmlns:a16="http://schemas.microsoft.com/office/drawing/2014/main" id="{00000000-0008-0000-0200-0000B3020000}"/>
            </a:ext>
          </a:extLst>
        </xdr:cNvPr>
        <xdr:cNvCxnSpPr/>
      </xdr:nvCxnSpPr>
      <xdr:spPr>
        <a:xfrm flipH="1">
          <a:off x="2680189" y="12168553"/>
          <a:ext cx="14538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246185</xdr:colOff>
      <xdr:row>59</xdr:row>
      <xdr:rowOff>209549</xdr:rowOff>
    </xdr:from>
    <xdr:to>
      <xdr:col>6</xdr:col>
      <xdr:colOff>483776</xdr:colOff>
      <xdr:row>59</xdr:row>
      <xdr:rowOff>209549</xdr:rowOff>
    </xdr:to>
    <xdr:cxnSp macro="">
      <xdr:nvCxnSpPr>
        <xdr:cNvPr id="692" name="Straight Arrow Connector 691">
          <a:extLst>
            <a:ext uri="{FF2B5EF4-FFF2-40B4-BE49-F238E27FC236}">
              <a16:creationId xmlns:a16="http://schemas.microsoft.com/office/drawing/2014/main" id="{00000000-0008-0000-0200-0000B4020000}"/>
            </a:ext>
          </a:extLst>
        </xdr:cNvPr>
        <xdr:cNvCxnSpPr/>
      </xdr:nvCxnSpPr>
      <xdr:spPr>
        <a:xfrm flipH="1">
          <a:off x="2678723" y="12379568"/>
          <a:ext cx="14538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254517</xdr:colOff>
      <xdr:row>69</xdr:row>
      <xdr:rowOff>73269</xdr:rowOff>
    </xdr:from>
    <xdr:to>
      <xdr:col>8</xdr:col>
      <xdr:colOff>551447</xdr:colOff>
      <xdr:row>69</xdr:row>
      <xdr:rowOff>73269</xdr:rowOff>
    </xdr:to>
    <xdr:cxnSp macro="">
      <xdr:nvCxnSpPr>
        <xdr:cNvPr id="694" name="Straight Arrow Connector 693">
          <a:extLst>
            <a:ext uri="{FF2B5EF4-FFF2-40B4-BE49-F238E27FC236}">
              <a16:creationId xmlns:a16="http://schemas.microsoft.com/office/drawing/2014/main" id="{00000000-0008-0000-0200-0000B6020000}"/>
            </a:ext>
          </a:extLst>
        </xdr:cNvPr>
        <xdr:cNvCxnSpPr/>
      </xdr:nvCxnSpPr>
      <xdr:spPr>
        <a:xfrm flipH="1">
          <a:off x="2700938" y="14250480"/>
          <a:ext cx="2743351"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556460</xdr:colOff>
      <xdr:row>68</xdr:row>
      <xdr:rowOff>35092</xdr:rowOff>
    </xdr:from>
    <xdr:to>
      <xdr:col>10</xdr:col>
      <xdr:colOff>47815</xdr:colOff>
      <xdr:row>69</xdr:row>
      <xdr:rowOff>183173</xdr:rowOff>
    </xdr:to>
    <xdr:sp macro="" textlink="">
      <xdr:nvSpPr>
        <xdr:cNvPr id="695" name="Rectangle 694">
          <a:hlinkClick xmlns:r="http://schemas.openxmlformats.org/officeDocument/2006/relationships" r:id="rId31"/>
          <a:extLst>
            <a:ext uri="{FF2B5EF4-FFF2-40B4-BE49-F238E27FC236}">
              <a16:creationId xmlns:a16="http://schemas.microsoft.com/office/drawing/2014/main" id="{00000000-0008-0000-0200-0000B7020000}"/>
            </a:ext>
          </a:extLst>
        </xdr:cNvPr>
        <xdr:cNvSpPr/>
      </xdr:nvSpPr>
      <xdr:spPr>
        <a:xfrm>
          <a:off x="5449302" y="14001750"/>
          <a:ext cx="714566" cy="3586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238237</xdr:colOff>
      <xdr:row>79</xdr:row>
      <xdr:rowOff>104807</xdr:rowOff>
    </xdr:from>
    <xdr:to>
      <xdr:col>8</xdr:col>
      <xdr:colOff>593481</xdr:colOff>
      <xdr:row>79</xdr:row>
      <xdr:rowOff>104807</xdr:rowOff>
    </xdr:to>
    <xdr:cxnSp macro="">
      <xdr:nvCxnSpPr>
        <xdr:cNvPr id="696" name="Straight Arrow Connector 695">
          <a:extLst>
            <a:ext uri="{FF2B5EF4-FFF2-40B4-BE49-F238E27FC236}">
              <a16:creationId xmlns:a16="http://schemas.microsoft.com/office/drawing/2014/main" id="{00000000-0008-0000-0200-0000B8020000}"/>
            </a:ext>
          </a:extLst>
        </xdr:cNvPr>
        <xdr:cNvCxnSpPr/>
      </xdr:nvCxnSpPr>
      <xdr:spPr>
        <a:xfrm flipH="1">
          <a:off x="2670775" y="16414538"/>
          <a:ext cx="278778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611604</xdr:colOff>
      <xdr:row>78</xdr:row>
      <xdr:rowOff>40106</xdr:rowOff>
    </xdr:from>
    <xdr:to>
      <xdr:col>10</xdr:col>
      <xdr:colOff>37788</xdr:colOff>
      <xdr:row>79</xdr:row>
      <xdr:rowOff>188187</xdr:rowOff>
    </xdr:to>
    <xdr:sp macro="" textlink="">
      <xdr:nvSpPr>
        <xdr:cNvPr id="698" name="Rectangle 697">
          <a:hlinkClick xmlns:r="http://schemas.openxmlformats.org/officeDocument/2006/relationships" r:id="rId31"/>
          <a:extLst>
            <a:ext uri="{FF2B5EF4-FFF2-40B4-BE49-F238E27FC236}">
              <a16:creationId xmlns:a16="http://schemas.microsoft.com/office/drawing/2014/main" id="{00000000-0008-0000-0200-0000BA020000}"/>
            </a:ext>
          </a:extLst>
        </xdr:cNvPr>
        <xdr:cNvSpPr/>
      </xdr:nvSpPr>
      <xdr:spPr>
        <a:xfrm>
          <a:off x="5504446" y="16072185"/>
          <a:ext cx="649395" cy="3586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235354</xdr:colOff>
      <xdr:row>90</xdr:row>
      <xdr:rowOff>132203</xdr:rowOff>
    </xdr:from>
    <xdr:to>
      <xdr:col>8</xdr:col>
      <xdr:colOff>597776</xdr:colOff>
      <xdr:row>90</xdr:row>
      <xdr:rowOff>132203</xdr:rowOff>
    </xdr:to>
    <xdr:cxnSp macro="">
      <xdr:nvCxnSpPr>
        <xdr:cNvPr id="699" name="Straight Arrow Connector 698">
          <a:extLst>
            <a:ext uri="{FF2B5EF4-FFF2-40B4-BE49-F238E27FC236}">
              <a16:creationId xmlns:a16="http://schemas.microsoft.com/office/drawing/2014/main" id="{00000000-0008-0000-0200-0000BB020000}"/>
            </a:ext>
          </a:extLst>
        </xdr:cNvPr>
        <xdr:cNvCxnSpPr/>
      </xdr:nvCxnSpPr>
      <xdr:spPr>
        <a:xfrm flipH="1">
          <a:off x="2679009" y="18564720"/>
          <a:ext cx="280607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6569</xdr:colOff>
      <xdr:row>89</xdr:row>
      <xdr:rowOff>26276</xdr:rowOff>
    </xdr:from>
    <xdr:to>
      <xdr:col>10</xdr:col>
      <xdr:colOff>43667</xdr:colOff>
      <xdr:row>90</xdr:row>
      <xdr:rowOff>187495</xdr:rowOff>
    </xdr:to>
    <xdr:sp macro="" textlink="">
      <xdr:nvSpPr>
        <xdr:cNvPr id="700" name="Rectangle 699">
          <a:hlinkClick xmlns:r="http://schemas.openxmlformats.org/officeDocument/2006/relationships" r:id="rId31"/>
          <a:extLst>
            <a:ext uri="{FF2B5EF4-FFF2-40B4-BE49-F238E27FC236}">
              <a16:creationId xmlns:a16="http://schemas.microsoft.com/office/drawing/2014/main" id="{00000000-0008-0000-0200-0000BC020000}"/>
            </a:ext>
          </a:extLst>
        </xdr:cNvPr>
        <xdr:cNvSpPr/>
      </xdr:nvSpPr>
      <xdr:spPr>
        <a:xfrm>
          <a:off x="5504793" y="18261724"/>
          <a:ext cx="648012" cy="3582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604345</xdr:colOff>
      <xdr:row>100</xdr:row>
      <xdr:rowOff>177362</xdr:rowOff>
    </xdr:from>
    <xdr:to>
      <xdr:col>8</xdr:col>
      <xdr:colOff>30530</xdr:colOff>
      <xdr:row>102</xdr:row>
      <xdr:rowOff>161219</xdr:rowOff>
    </xdr:to>
    <xdr:sp macro="" textlink="">
      <xdr:nvSpPr>
        <xdr:cNvPr id="701" name="Rectangle 700">
          <a:hlinkClick xmlns:r="http://schemas.openxmlformats.org/officeDocument/2006/relationships" r:id="rId31"/>
          <a:extLst>
            <a:ext uri="{FF2B5EF4-FFF2-40B4-BE49-F238E27FC236}">
              <a16:creationId xmlns:a16="http://schemas.microsoft.com/office/drawing/2014/main" id="{00000000-0008-0000-0200-0000BD020000}"/>
            </a:ext>
          </a:extLst>
        </xdr:cNvPr>
        <xdr:cNvSpPr/>
      </xdr:nvSpPr>
      <xdr:spPr>
        <a:xfrm>
          <a:off x="4269828" y="20679103"/>
          <a:ext cx="648012" cy="3714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183932</xdr:colOff>
      <xdr:row>102</xdr:row>
      <xdr:rowOff>40593</xdr:rowOff>
    </xdr:from>
    <xdr:to>
      <xdr:col>6</xdr:col>
      <xdr:colOff>597776</xdr:colOff>
      <xdr:row>102</xdr:row>
      <xdr:rowOff>40593</xdr:rowOff>
    </xdr:to>
    <xdr:cxnSp macro="">
      <xdr:nvCxnSpPr>
        <xdr:cNvPr id="702" name="Straight Arrow Connector 701">
          <a:extLst>
            <a:ext uri="{FF2B5EF4-FFF2-40B4-BE49-F238E27FC236}">
              <a16:creationId xmlns:a16="http://schemas.microsoft.com/office/drawing/2014/main" id="{00000000-0008-0000-0200-0000BE020000}"/>
            </a:ext>
          </a:extLst>
        </xdr:cNvPr>
        <xdr:cNvCxnSpPr/>
      </xdr:nvCxnSpPr>
      <xdr:spPr>
        <a:xfrm flipH="1">
          <a:off x="2627587" y="20929903"/>
          <a:ext cx="163567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604345</xdr:colOff>
      <xdr:row>102</xdr:row>
      <xdr:rowOff>203638</xdr:rowOff>
    </xdr:from>
    <xdr:to>
      <xdr:col>10</xdr:col>
      <xdr:colOff>30529</xdr:colOff>
      <xdr:row>104</xdr:row>
      <xdr:rowOff>187495</xdr:rowOff>
    </xdr:to>
    <xdr:sp macro="" textlink="">
      <xdr:nvSpPr>
        <xdr:cNvPr id="703" name="Rectangle 702">
          <a:hlinkClick xmlns:r="http://schemas.openxmlformats.org/officeDocument/2006/relationships" r:id="rId31"/>
          <a:extLst>
            <a:ext uri="{FF2B5EF4-FFF2-40B4-BE49-F238E27FC236}">
              <a16:creationId xmlns:a16="http://schemas.microsoft.com/office/drawing/2014/main" id="{00000000-0008-0000-0200-0000BF020000}"/>
            </a:ext>
          </a:extLst>
        </xdr:cNvPr>
        <xdr:cNvSpPr/>
      </xdr:nvSpPr>
      <xdr:spPr>
        <a:xfrm>
          <a:off x="5491655" y="21125793"/>
          <a:ext cx="648012" cy="404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190501</xdr:colOff>
      <xdr:row>104</xdr:row>
      <xdr:rowOff>144517</xdr:rowOff>
    </xdr:from>
    <xdr:to>
      <xdr:col>8</xdr:col>
      <xdr:colOff>597776</xdr:colOff>
      <xdr:row>104</xdr:row>
      <xdr:rowOff>144517</xdr:rowOff>
    </xdr:to>
    <xdr:cxnSp macro="">
      <xdr:nvCxnSpPr>
        <xdr:cNvPr id="704" name="Straight Arrow Connector 703">
          <a:extLst>
            <a:ext uri="{FF2B5EF4-FFF2-40B4-BE49-F238E27FC236}">
              <a16:creationId xmlns:a16="http://schemas.microsoft.com/office/drawing/2014/main" id="{00000000-0008-0000-0200-0000C0020000}"/>
            </a:ext>
          </a:extLst>
        </xdr:cNvPr>
        <xdr:cNvCxnSpPr/>
      </xdr:nvCxnSpPr>
      <xdr:spPr>
        <a:xfrm flipH="1">
          <a:off x="2634156" y="21487086"/>
          <a:ext cx="285093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591207</xdr:colOff>
      <xdr:row>106</xdr:row>
      <xdr:rowOff>151086</xdr:rowOff>
    </xdr:from>
    <xdr:to>
      <xdr:col>8</xdr:col>
      <xdr:colOff>17392</xdr:colOff>
      <xdr:row>108</xdr:row>
      <xdr:rowOff>167788</xdr:rowOff>
    </xdr:to>
    <xdr:sp macro="" textlink="">
      <xdr:nvSpPr>
        <xdr:cNvPr id="705" name="Rectangle 704">
          <a:hlinkClick xmlns:r="http://schemas.openxmlformats.org/officeDocument/2006/relationships" r:id="rId31"/>
          <a:extLst>
            <a:ext uri="{FF2B5EF4-FFF2-40B4-BE49-F238E27FC236}">
              <a16:creationId xmlns:a16="http://schemas.microsoft.com/office/drawing/2014/main" id="{00000000-0008-0000-0200-0000C1020000}"/>
            </a:ext>
          </a:extLst>
        </xdr:cNvPr>
        <xdr:cNvSpPr/>
      </xdr:nvSpPr>
      <xdr:spPr>
        <a:xfrm>
          <a:off x="4256690" y="21914069"/>
          <a:ext cx="648012" cy="404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177362</xdr:colOff>
      <xdr:row>108</xdr:row>
      <xdr:rowOff>0</xdr:rowOff>
    </xdr:from>
    <xdr:to>
      <xdr:col>6</xdr:col>
      <xdr:colOff>591207</xdr:colOff>
      <xdr:row>108</xdr:row>
      <xdr:rowOff>0</xdr:rowOff>
    </xdr:to>
    <xdr:cxnSp macro="">
      <xdr:nvCxnSpPr>
        <xdr:cNvPr id="706" name="Straight Arrow Connector 705">
          <a:extLst>
            <a:ext uri="{FF2B5EF4-FFF2-40B4-BE49-F238E27FC236}">
              <a16:creationId xmlns:a16="http://schemas.microsoft.com/office/drawing/2014/main" id="{00000000-0008-0000-0200-0000C2020000}"/>
            </a:ext>
          </a:extLst>
        </xdr:cNvPr>
        <xdr:cNvCxnSpPr/>
      </xdr:nvCxnSpPr>
      <xdr:spPr>
        <a:xfrm flipH="1">
          <a:off x="2621017" y="22150552"/>
          <a:ext cx="163567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604345</xdr:colOff>
      <xdr:row>108</xdr:row>
      <xdr:rowOff>197069</xdr:rowOff>
    </xdr:from>
    <xdr:to>
      <xdr:col>10</xdr:col>
      <xdr:colOff>30529</xdr:colOff>
      <xdr:row>110</xdr:row>
      <xdr:rowOff>180927</xdr:rowOff>
    </xdr:to>
    <xdr:sp macro="" textlink="">
      <xdr:nvSpPr>
        <xdr:cNvPr id="707" name="Rectangle 706">
          <a:hlinkClick xmlns:r="http://schemas.openxmlformats.org/officeDocument/2006/relationships" r:id="rId31"/>
          <a:extLst>
            <a:ext uri="{FF2B5EF4-FFF2-40B4-BE49-F238E27FC236}">
              <a16:creationId xmlns:a16="http://schemas.microsoft.com/office/drawing/2014/main" id="{00000000-0008-0000-0200-0000C3020000}"/>
            </a:ext>
          </a:extLst>
        </xdr:cNvPr>
        <xdr:cNvSpPr/>
      </xdr:nvSpPr>
      <xdr:spPr>
        <a:xfrm>
          <a:off x="5491655" y="22354190"/>
          <a:ext cx="648012" cy="404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190500</xdr:colOff>
      <xdr:row>110</xdr:row>
      <xdr:rowOff>137949</xdr:rowOff>
    </xdr:from>
    <xdr:to>
      <xdr:col>8</xdr:col>
      <xdr:colOff>597775</xdr:colOff>
      <xdr:row>110</xdr:row>
      <xdr:rowOff>137949</xdr:rowOff>
    </xdr:to>
    <xdr:cxnSp macro="">
      <xdr:nvCxnSpPr>
        <xdr:cNvPr id="708" name="Straight Arrow Connector 707">
          <a:extLst>
            <a:ext uri="{FF2B5EF4-FFF2-40B4-BE49-F238E27FC236}">
              <a16:creationId xmlns:a16="http://schemas.microsoft.com/office/drawing/2014/main" id="{00000000-0008-0000-0200-0000C4020000}"/>
            </a:ext>
          </a:extLst>
        </xdr:cNvPr>
        <xdr:cNvCxnSpPr/>
      </xdr:nvCxnSpPr>
      <xdr:spPr>
        <a:xfrm flipH="1">
          <a:off x="2634155" y="22715483"/>
          <a:ext cx="285093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597775</xdr:colOff>
      <xdr:row>112</xdr:row>
      <xdr:rowOff>85397</xdr:rowOff>
    </xdr:from>
    <xdr:to>
      <xdr:col>8</xdr:col>
      <xdr:colOff>4253</xdr:colOff>
      <xdr:row>113</xdr:row>
      <xdr:rowOff>167789</xdr:rowOff>
    </xdr:to>
    <xdr:sp macro="" textlink="">
      <xdr:nvSpPr>
        <xdr:cNvPr id="709" name="Rectangle 708">
          <a:hlinkClick xmlns:r="http://schemas.openxmlformats.org/officeDocument/2006/relationships" r:id="rId31"/>
          <a:extLst>
            <a:ext uri="{FF2B5EF4-FFF2-40B4-BE49-F238E27FC236}">
              <a16:creationId xmlns:a16="http://schemas.microsoft.com/office/drawing/2014/main" id="{00000000-0008-0000-0200-0000C5020000}"/>
            </a:ext>
          </a:extLst>
        </xdr:cNvPr>
        <xdr:cNvSpPr/>
      </xdr:nvSpPr>
      <xdr:spPr>
        <a:xfrm>
          <a:off x="4263258" y="23083345"/>
          <a:ext cx="628305" cy="2794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183931</xdr:colOff>
      <xdr:row>113</xdr:row>
      <xdr:rowOff>0</xdr:rowOff>
    </xdr:from>
    <xdr:to>
      <xdr:col>6</xdr:col>
      <xdr:colOff>578069</xdr:colOff>
      <xdr:row>113</xdr:row>
      <xdr:rowOff>0</xdr:rowOff>
    </xdr:to>
    <xdr:cxnSp macro="">
      <xdr:nvCxnSpPr>
        <xdr:cNvPr id="710" name="Straight Arrow Connector 709">
          <a:extLst>
            <a:ext uri="{FF2B5EF4-FFF2-40B4-BE49-F238E27FC236}">
              <a16:creationId xmlns:a16="http://schemas.microsoft.com/office/drawing/2014/main" id="{00000000-0008-0000-0200-0000C6020000}"/>
            </a:ext>
          </a:extLst>
        </xdr:cNvPr>
        <xdr:cNvCxnSpPr/>
      </xdr:nvCxnSpPr>
      <xdr:spPr>
        <a:xfrm flipH="1">
          <a:off x="2627586" y="23195017"/>
          <a:ext cx="16159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604345</xdr:colOff>
      <xdr:row>113</xdr:row>
      <xdr:rowOff>190500</xdr:rowOff>
    </xdr:from>
    <xdr:to>
      <xdr:col>10</xdr:col>
      <xdr:colOff>30529</xdr:colOff>
      <xdr:row>115</xdr:row>
      <xdr:rowOff>174357</xdr:rowOff>
    </xdr:to>
    <xdr:sp macro="" textlink="">
      <xdr:nvSpPr>
        <xdr:cNvPr id="711" name="Rectangle 710">
          <a:hlinkClick xmlns:r="http://schemas.openxmlformats.org/officeDocument/2006/relationships" r:id="rId31"/>
          <a:extLst>
            <a:ext uri="{FF2B5EF4-FFF2-40B4-BE49-F238E27FC236}">
              <a16:creationId xmlns:a16="http://schemas.microsoft.com/office/drawing/2014/main" id="{00000000-0008-0000-0200-0000C7020000}"/>
            </a:ext>
          </a:extLst>
        </xdr:cNvPr>
        <xdr:cNvSpPr/>
      </xdr:nvSpPr>
      <xdr:spPr>
        <a:xfrm>
          <a:off x="5491655" y="23398655"/>
          <a:ext cx="648012" cy="404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183932</xdr:colOff>
      <xdr:row>115</xdr:row>
      <xdr:rowOff>144517</xdr:rowOff>
    </xdr:from>
    <xdr:to>
      <xdr:col>8</xdr:col>
      <xdr:colOff>591207</xdr:colOff>
      <xdr:row>115</xdr:row>
      <xdr:rowOff>144517</xdr:rowOff>
    </xdr:to>
    <xdr:cxnSp macro="">
      <xdr:nvCxnSpPr>
        <xdr:cNvPr id="712" name="Straight Arrow Connector 711">
          <a:extLst>
            <a:ext uri="{FF2B5EF4-FFF2-40B4-BE49-F238E27FC236}">
              <a16:creationId xmlns:a16="http://schemas.microsoft.com/office/drawing/2014/main" id="{00000000-0008-0000-0200-0000C8020000}"/>
            </a:ext>
          </a:extLst>
        </xdr:cNvPr>
        <xdr:cNvCxnSpPr/>
      </xdr:nvCxnSpPr>
      <xdr:spPr>
        <a:xfrm flipH="1">
          <a:off x="2627587" y="23773086"/>
          <a:ext cx="285093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177362</xdr:colOff>
      <xdr:row>118</xdr:row>
      <xdr:rowOff>183931</xdr:rowOff>
    </xdr:from>
    <xdr:to>
      <xdr:col>6</xdr:col>
      <xdr:colOff>558362</xdr:colOff>
      <xdr:row>118</xdr:row>
      <xdr:rowOff>183931</xdr:rowOff>
    </xdr:to>
    <xdr:cxnSp macro="">
      <xdr:nvCxnSpPr>
        <xdr:cNvPr id="713" name="Straight Arrow Connector 712">
          <a:extLst>
            <a:ext uri="{FF2B5EF4-FFF2-40B4-BE49-F238E27FC236}">
              <a16:creationId xmlns:a16="http://schemas.microsoft.com/office/drawing/2014/main" id="{00000000-0008-0000-0200-0000C9020000}"/>
            </a:ext>
          </a:extLst>
        </xdr:cNvPr>
        <xdr:cNvCxnSpPr/>
      </xdr:nvCxnSpPr>
      <xdr:spPr>
        <a:xfrm flipH="1">
          <a:off x="2621017" y="24429983"/>
          <a:ext cx="16028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604345</xdr:colOff>
      <xdr:row>117</xdr:row>
      <xdr:rowOff>144518</xdr:rowOff>
    </xdr:from>
    <xdr:to>
      <xdr:col>8</xdr:col>
      <xdr:colOff>30530</xdr:colOff>
      <xdr:row>119</xdr:row>
      <xdr:rowOff>167789</xdr:rowOff>
    </xdr:to>
    <xdr:sp macro="" textlink="">
      <xdr:nvSpPr>
        <xdr:cNvPr id="714" name="Rectangle 713">
          <a:hlinkClick xmlns:r="http://schemas.openxmlformats.org/officeDocument/2006/relationships" r:id="rId31"/>
          <a:extLst>
            <a:ext uri="{FF2B5EF4-FFF2-40B4-BE49-F238E27FC236}">
              <a16:creationId xmlns:a16="http://schemas.microsoft.com/office/drawing/2014/main" id="{00000000-0008-0000-0200-0000CA020000}"/>
            </a:ext>
          </a:extLst>
        </xdr:cNvPr>
        <xdr:cNvSpPr/>
      </xdr:nvSpPr>
      <xdr:spPr>
        <a:xfrm>
          <a:off x="4269828" y="24193501"/>
          <a:ext cx="648012" cy="41084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8</xdr:col>
      <xdr:colOff>597776</xdr:colOff>
      <xdr:row>119</xdr:row>
      <xdr:rowOff>197068</xdr:rowOff>
    </xdr:from>
    <xdr:to>
      <xdr:col>10</xdr:col>
      <xdr:colOff>23960</xdr:colOff>
      <xdr:row>121</xdr:row>
      <xdr:rowOff>180926</xdr:rowOff>
    </xdr:to>
    <xdr:sp macro="" textlink="">
      <xdr:nvSpPr>
        <xdr:cNvPr id="715" name="Rectangle 714">
          <a:hlinkClick xmlns:r="http://schemas.openxmlformats.org/officeDocument/2006/relationships" r:id="rId31"/>
          <a:extLst>
            <a:ext uri="{FF2B5EF4-FFF2-40B4-BE49-F238E27FC236}">
              <a16:creationId xmlns:a16="http://schemas.microsoft.com/office/drawing/2014/main" id="{00000000-0008-0000-0200-0000CB020000}"/>
            </a:ext>
          </a:extLst>
        </xdr:cNvPr>
        <xdr:cNvSpPr/>
      </xdr:nvSpPr>
      <xdr:spPr>
        <a:xfrm>
          <a:off x="5485086" y="24640189"/>
          <a:ext cx="648012" cy="404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170793</xdr:colOff>
      <xdr:row>121</xdr:row>
      <xdr:rowOff>105103</xdr:rowOff>
    </xdr:from>
    <xdr:to>
      <xdr:col>8</xdr:col>
      <xdr:colOff>571500</xdr:colOff>
      <xdr:row>121</xdr:row>
      <xdr:rowOff>105103</xdr:rowOff>
    </xdr:to>
    <xdr:cxnSp macro="">
      <xdr:nvCxnSpPr>
        <xdr:cNvPr id="716" name="Straight Arrow Connector 715">
          <a:extLst>
            <a:ext uri="{FF2B5EF4-FFF2-40B4-BE49-F238E27FC236}">
              <a16:creationId xmlns:a16="http://schemas.microsoft.com/office/drawing/2014/main" id="{00000000-0008-0000-0200-0000CC020000}"/>
            </a:ext>
          </a:extLst>
        </xdr:cNvPr>
        <xdr:cNvCxnSpPr/>
      </xdr:nvCxnSpPr>
      <xdr:spPr>
        <a:xfrm flipH="1">
          <a:off x="2614448" y="24968637"/>
          <a:ext cx="28443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6569</xdr:colOff>
      <xdr:row>126</xdr:row>
      <xdr:rowOff>183931</xdr:rowOff>
    </xdr:from>
    <xdr:to>
      <xdr:col>10</xdr:col>
      <xdr:colOff>43667</xdr:colOff>
      <xdr:row>128</xdr:row>
      <xdr:rowOff>180926</xdr:rowOff>
    </xdr:to>
    <xdr:sp macro="" textlink="">
      <xdr:nvSpPr>
        <xdr:cNvPr id="717" name="Rectangle 716">
          <a:hlinkClick xmlns:r="http://schemas.openxmlformats.org/officeDocument/2006/relationships" r:id="rId31"/>
          <a:extLst>
            <a:ext uri="{FF2B5EF4-FFF2-40B4-BE49-F238E27FC236}">
              <a16:creationId xmlns:a16="http://schemas.microsoft.com/office/drawing/2014/main" id="{00000000-0008-0000-0200-0000CD020000}"/>
            </a:ext>
          </a:extLst>
        </xdr:cNvPr>
        <xdr:cNvSpPr/>
      </xdr:nvSpPr>
      <xdr:spPr>
        <a:xfrm>
          <a:off x="5504793" y="26072224"/>
          <a:ext cx="648012" cy="4042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216776</xdr:colOff>
      <xdr:row>128</xdr:row>
      <xdr:rowOff>45983</xdr:rowOff>
    </xdr:from>
    <xdr:to>
      <xdr:col>9</xdr:col>
      <xdr:colOff>6569</xdr:colOff>
      <xdr:row>128</xdr:row>
      <xdr:rowOff>45983</xdr:rowOff>
    </xdr:to>
    <xdr:cxnSp macro="">
      <xdr:nvCxnSpPr>
        <xdr:cNvPr id="718" name="Straight Arrow Connector 717">
          <a:extLst>
            <a:ext uri="{FF2B5EF4-FFF2-40B4-BE49-F238E27FC236}">
              <a16:creationId xmlns:a16="http://schemas.microsoft.com/office/drawing/2014/main" id="{00000000-0008-0000-0200-0000CE020000}"/>
            </a:ext>
          </a:extLst>
        </xdr:cNvPr>
        <xdr:cNvCxnSpPr/>
      </xdr:nvCxnSpPr>
      <xdr:spPr>
        <a:xfrm flipH="1">
          <a:off x="2660431" y="26341552"/>
          <a:ext cx="28443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597776</xdr:colOff>
      <xdr:row>130</xdr:row>
      <xdr:rowOff>98534</xdr:rowOff>
    </xdr:from>
    <xdr:to>
      <xdr:col>10</xdr:col>
      <xdr:colOff>23960</xdr:colOff>
      <xdr:row>131</xdr:row>
      <xdr:rowOff>180926</xdr:rowOff>
    </xdr:to>
    <xdr:sp macro="" textlink="">
      <xdr:nvSpPr>
        <xdr:cNvPr id="719" name="Rectangle 718">
          <a:hlinkClick xmlns:r="http://schemas.openxmlformats.org/officeDocument/2006/relationships" r:id="rId31"/>
          <a:extLst>
            <a:ext uri="{FF2B5EF4-FFF2-40B4-BE49-F238E27FC236}">
              <a16:creationId xmlns:a16="http://schemas.microsoft.com/office/drawing/2014/main" id="{00000000-0008-0000-0200-0000CF020000}"/>
            </a:ext>
          </a:extLst>
        </xdr:cNvPr>
        <xdr:cNvSpPr/>
      </xdr:nvSpPr>
      <xdr:spPr>
        <a:xfrm>
          <a:off x="5485086" y="26827655"/>
          <a:ext cx="648012" cy="2794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256191</xdr:colOff>
      <xdr:row>131</xdr:row>
      <xdr:rowOff>85396</xdr:rowOff>
    </xdr:from>
    <xdr:to>
      <xdr:col>8</xdr:col>
      <xdr:colOff>571500</xdr:colOff>
      <xdr:row>131</xdr:row>
      <xdr:rowOff>85396</xdr:rowOff>
    </xdr:to>
    <xdr:cxnSp macro="">
      <xdr:nvCxnSpPr>
        <xdr:cNvPr id="720" name="Straight Arrow Connector 719">
          <a:extLst>
            <a:ext uri="{FF2B5EF4-FFF2-40B4-BE49-F238E27FC236}">
              <a16:creationId xmlns:a16="http://schemas.microsoft.com/office/drawing/2014/main" id="{00000000-0008-0000-0200-0000D0020000}"/>
            </a:ext>
          </a:extLst>
        </xdr:cNvPr>
        <xdr:cNvCxnSpPr/>
      </xdr:nvCxnSpPr>
      <xdr:spPr>
        <a:xfrm flipH="1">
          <a:off x="2699846" y="27011586"/>
          <a:ext cx="275896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597775</xdr:colOff>
      <xdr:row>174</xdr:row>
      <xdr:rowOff>124810</xdr:rowOff>
    </xdr:from>
    <xdr:to>
      <xdr:col>9</xdr:col>
      <xdr:colOff>23960</xdr:colOff>
      <xdr:row>176</xdr:row>
      <xdr:rowOff>161219</xdr:rowOff>
    </xdr:to>
    <xdr:sp macro="" textlink="">
      <xdr:nvSpPr>
        <xdr:cNvPr id="721" name="Rectangle 720">
          <a:hlinkClick xmlns:r="http://schemas.openxmlformats.org/officeDocument/2006/relationships" r:id="rId31"/>
          <a:extLst>
            <a:ext uri="{FF2B5EF4-FFF2-40B4-BE49-F238E27FC236}">
              <a16:creationId xmlns:a16="http://schemas.microsoft.com/office/drawing/2014/main" id="{00000000-0008-0000-0200-0000D1020000}"/>
            </a:ext>
          </a:extLst>
        </xdr:cNvPr>
        <xdr:cNvSpPr/>
      </xdr:nvSpPr>
      <xdr:spPr>
        <a:xfrm>
          <a:off x="4874172" y="35406724"/>
          <a:ext cx="648012" cy="4174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164225</xdr:colOff>
      <xdr:row>175</xdr:row>
      <xdr:rowOff>131379</xdr:rowOff>
    </xdr:from>
    <xdr:to>
      <xdr:col>7</xdr:col>
      <xdr:colOff>578069</xdr:colOff>
      <xdr:row>175</xdr:row>
      <xdr:rowOff>131379</xdr:rowOff>
    </xdr:to>
    <xdr:cxnSp macro="">
      <xdr:nvCxnSpPr>
        <xdr:cNvPr id="722" name="Straight Arrow Connector 721">
          <a:extLst>
            <a:ext uri="{FF2B5EF4-FFF2-40B4-BE49-F238E27FC236}">
              <a16:creationId xmlns:a16="http://schemas.microsoft.com/office/drawing/2014/main" id="{00000000-0008-0000-0200-0000D2020000}"/>
            </a:ext>
          </a:extLst>
        </xdr:cNvPr>
        <xdr:cNvCxnSpPr/>
      </xdr:nvCxnSpPr>
      <xdr:spPr>
        <a:xfrm flipH="1">
          <a:off x="2607880" y="35603793"/>
          <a:ext cx="224658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177363</xdr:colOff>
      <xdr:row>17</xdr:row>
      <xdr:rowOff>19707</xdr:rowOff>
    </xdr:from>
    <xdr:to>
      <xdr:col>42</xdr:col>
      <xdr:colOff>558362</xdr:colOff>
      <xdr:row>17</xdr:row>
      <xdr:rowOff>19707</xdr:rowOff>
    </xdr:to>
    <xdr:cxnSp macro="">
      <xdr:nvCxnSpPr>
        <xdr:cNvPr id="723" name="Straight Arrow Connector 722">
          <a:extLst>
            <a:ext uri="{FF2B5EF4-FFF2-40B4-BE49-F238E27FC236}">
              <a16:creationId xmlns:a16="http://schemas.microsoft.com/office/drawing/2014/main" id="{00000000-0008-0000-0200-0000D3020000}"/>
            </a:ext>
          </a:extLst>
        </xdr:cNvPr>
        <xdr:cNvCxnSpPr/>
      </xdr:nvCxnSpPr>
      <xdr:spPr>
        <a:xfrm>
          <a:off x="24003001" y="3481552"/>
          <a:ext cx="221374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545225</xdr:colOff>
      <xdr:row>15</xdr:row>
      <xdr:rowOff>164224</xdr:rowOff>
    </xdr:from>
    <xdr:to>
      <xdr:col>44</xdr:col>
      <xdr:colOff>91965</xdr:colOff>
      <xdr:row>17</xdr:row>
      <xdr:rowOff>185488</xdr:rowOff>
    </xdr:to>
    <xdr:sp macro="" textlink="">
      <xdr:nvSpPr>
        <xdr:cNvPr id="724" name="Rectangle 723">
          <a:hlinkClick xmlns:r="http://schemas.openxmlformats.org/officeDocument/2006/relationships" r:id="rId31"/>
          <a:extLst>
            <a:ext uri="{FF2B5EF4-FFF2-40B4-BE49-F238E27FC236}">
              <a16:creationId xmlns:a16="http://schemas.microsoft.com/office/drawing/2014/main" id="{00000000-0008-0000-0200-0000D4020000}"/>
            </a:ext>
          </a:extLst>
        </xdr:cNvPr>
        <xdr:cNvSpPr/>
      </xdr:nvSpPr>
      <xdr:spPr>
        <a:xfrm>
          <a:off x="26203604" y="3205655"/>
          <a:ext cx="768568" cy="4416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35</xdr:col>
      <xdr:colOff>584638</xdr:colOff>
      <xdr:row>21</xdr:row>
      <xdr:rowOff>157656</xdr:rowOff>
    </xdr:from>
    <xdr:to>
      <xdr:col>37</xdr:col>
      <xdr:colOff>131379</xdr:colOff>
      <xdr:row>24</xdr:row>
      <xdr:rowOff>1558</xdr:rowOff>
    </xdr:to>
    <xdr:sp macro="" textlink="">
      <xdr:nvSpPr>
        <xdr:cNvPr id="725" name="Rectangle 724">
          <a:hlinkClick xmlns:r="http://schemas.openxmlformats.org/officeDocument/2006/relationships" r:id="rId31"/>
          <a:extLst>
            <a:ext uri="{FF2B5EF4-FFF2-40B4-BE49-F238E27FC236}">
              <a16:creationId xmlns:a16="http://schemas.microsoft.com/office/drawing/2014/main" id="{00000000-0008-0000-0200-0000D5020000}"/>
            </a:ext>
          </a:extLst>
        </xdr:cNvPr>
        <xdr:cNvSpPr/>
      </xdr:nvSpPr>
      <xdr:spPr>
        <a:xfrm>
          <a:off x="21966621" y="4460328"/>
          <a:ext cx="768568" cy="4416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37</xdr:col>
      <xdr:colOff>151087</xdr:colOff>
      <xdr:row>23</xdr:row>
      <xdr:rowOff>65690</xdr:rowOff>
    </xdr:from>
    <xdr:to>
      <xdr:col>39</xdr:col>
      <xdr:colOff>354724</xdr:colOff>
      <xdr:row>23</xdr:row>
      <xdr:rowOff>65690</xdr:rowOff>
    </xdr:to>
    <xdr:cxnSp macro="">
      <xdr:nvCxnSpPr>
        <xdr:cNvPr id="726" name="Straight Arrow Connector 725">
          <a:extLst>
            <a:ext uri="{FF2B5EF4-FFF2-40B4-BE49-F238E27FC236}">
              <a16:creationId xmlns:a16="http://schemas.microsoft.com/office/drawing/2014/main" id="{00000000-0008-0000-0200-0000D6020000}"/>
            </a:ext>
          </a:extLst>
        </xdr:cNvPr>
        <xdr:cNvCxnSpPr/>
      </xdr:nvCxnSpPr>
      <xdr:spPr>
        <a:xfrm>
          <a:off x="22754897" y="4775638"/>
          <a:ext cx="14254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32845</xdr:colOff>
      <xdr:row>125</xdr:row>
      <xdr:rowOff>33186</xdr:rowOff>
    </xdr:from>
    <xdr:to>
      <xdr:col>39</xdr:col>
      <xdr:colOff>429453</xdr:colOff>
      <xdr:row>125</xdr:row>
      <xdr:rowOff>36879</xdr:rowOff>
    </xdr:to>
    <xdr:cxnSp macro="">
      <xdr:nvCxnSpPr>
        <xdr:cNvPr id="727" name="Straight Arrow Connector 726">
          <a:extLst>
            <a:ext uri="{FF2B5EF4-FFF2-40B4-BE49-F238E27FC236}">
              <a16:creationId xmlns:a16="http://schemas.microsoft.com/office/drawing/2014/main" id="{00000000-0008-0000-0200-0000D7020000}"/>
            </a:ext>
          </a:extLst>
        </xdr:cNvPr>
        <xdr:cNvCxnSpPr/>
      </xdr:nvCxnSpPr>
      <xdr:spPr>
        <a:xfrm>
          <a:off x="23247569" y="25796669"/>
          <a:ext cx="1007522" cy="3693"/>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532086</xdr:colOff>
      <xdr:row>118</xdr:row>
      <xdr:rowOff>124811</xdr:rowOff>
    </xdr:from>
    <xdr:to>
      <xdr:col>36</xdr:col>
      <xdr:colOff>78826</xdr:colOff>
      <xdr:row>120</xdr:row>
      <xdr:rowOff>192058</xdr:rowOff>
    </xdr:to>
    <xdr:sp macro="" textlink="">
      <xdr:nvSpPr>
        <xdr:cNvPr id="728" name="Rectangle 727">
          <a:hlinkClick xmlns:r="http://schemas.openxmlformats.org/officeDocument/2006/relationships" r:id="rId31"/>
          <a:extLst>
            <a:ext uri="{FF2B5EF4-FFF2-40B4-BE49-F238E27FC236}">
              <a16:creationId xmlns:a16="http://schemas.microsoft.com/office/drawing/2014/main" id="{00000000-0008-0000-0200-0000D8020000}"/>
            </a:ext>
          </a:extLst>
        </xdr:cNvPr>
        <xdr:cNvSpPr/>
      </xdr:nvSpPr>
      <xdr:spPr>
        <a:xfrm>
          <a:off x="21303155" y="24456259"/>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36</xdr:col>
      <xdr:colOff>85396</xdr:colOff>
      <xdr:row>120</xdr:row>
      <xdr:rowOff>13138</xdr:rowOff>
    </xdr:from>
    <xdr:to>
      <xdr:col>38</xdr:col>
      <xdr:colOff>39414</xdr:colOff>
      <xdr:row>120</xdr:row>
      <xdr:rowOff>13138</xdr:rowOff>
    </xdr:to>
    <xdr:cxnSp macro="">
      <xdr:nvCxnSpPr>
        <xdr:cNvPr id="729" name="Straight Arrow Connector 728">
          <a:extLst>
            <a:ext uri="{FF2B5EF4-FFF2-40B4-BE49-F238E27FC236}">
              <a16:creationId xmlns:a16="http://schemas.microsoft.com/office/drawing/2014/main" id="{00000000-0008-0000-0200-0000D9020000}"/>
            </a:ext>
          </a:extLst>
        </xdr:cNvPr>
        <xdr:cNvCxnSpPr/>
      </xdr:nvCxnSpPr>
      <xdr:spPr>
        <a:xfrm>
          <a:off x="22078293" y="24751862"/>
          <a:ext cx="1175845"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558360</xdr:colOff>
      <xdr:row>124</xdr:row>
      <xdr:rowOff>131379</xdr:rowOff>
    </xdr:from>
    <xdr:to>
      <xdr:col>35</xdr:col>
      <xdr:colOff>105100</xdr:colOff>
      <xdr:row>126</xdr:row>
      <xdr:rowOff>198626</xdr:rowOff>
    </xdr:to>
    <xdr:sp macro="" textlink="">
      <xdr:nvSpPr>
        <xdr:cNvPr id="730" name="Rectangle 729">
          <a:hlinkClick xmlns:r="http://schemas.openxmlformats.org/officeDocument/2006/relationships" r:id="rId31"/>
          <a:extLst>
            <a:ext uri="{FF2B5EF4-FFF2-40B4-BE49-F238E27FC236}">
              <a16:creationId xmlns:a16="http://schemas.microsoft.com/office/drawing/2014/main" id="{00000000-0008-0000-0200-0000DA020000}"/>
            </a:ext>
          </a:extLst>
        </xdr:cNvPr>
        <xdr:cNvSpPr/>
      </xdr:nvSpPr>
      <xdr:spPr>
        <a:xfrm>
          <a:off x="20718515" y="25697793"/>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35</xdr:col>
      <xdr:colOff>111672</xdr:colOff>
      <xdr:row>126</xdr:row>
      <xdr:rowOff>75952</xdr:rowOff>
    </xdr:from>
    <xdr:to>
      <xdr:col>39</xdr:col>
      <xdr:colOff>429454</xdr:colOff>
      <xdr:row>126</xdr:row>
      <xdr:rowOff>75952</xdr:rowOff>
    </xdr:to>
    <xdr:cxnSp macro="">
      <xdr:nvCxnSpPr>
        <xdr:cNvPr id="731" name="Straight Arrow Connector 730">
          <a:extLst>
            <a:ext uri="{FF2B5EF4-FFF2-40B4-BE49-F238E27FC236}">
              <a16:creationId xmlns:a16="http://schemas.microsoft.com/office/drawing/2014/main" id="{00000000-0008-0000-0200-0000DB020000}"/>
            </a:ext>
          </a:extLst>
        </xdr:cNvPr>
        <xdr:cNvCxnSpPr/>
      </xdr:nvCxnSpPr>
      <xdr:spPr>
        <a:xfrm>
          <a:off x="21493655" y="26049642"/>
          <a:ext cx="276143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564931</xdr:colOff>
      <xdr:row>128</xdr:row>
      <xdr:rowOff>151086</xdr:rowOff>
    </xdr:from>
    <xdr:to>
      <xdr:col>35</xdr:col>
      <xdr:colOff>111671</xdr:colOff>
      <xdr:row>130</xdr:row>
      <xdr:rowOff>205195</xdr:rowOff>
    </xdr:to>
    <xdr:sp macro="" textlink="">
      <xdr:nvSpPr>
        <xdr:cNvPr id="732" name="Rectangle 731">
          <a:hlinkClick xmlns:r="http://schemas.openxmlformats.org/officeDocument/2006/relationships" r:id="rId31"/>
          <a:extLst>
            <a:ext uri="{FF2B5EF4-FFF2-40B4-BE49-F238E27FC236}">
              <a16:creationId xmlns:a16="http://schemas.microsoft.com/office/drawing/2014/main" id="{00000000-0008-0000-0200-0000DC020000}"/>
            </a:ext>
          </a:extLst>
        </xdr:cNvPr>
        <xdr:cNvSpPr/>
      </xdr:nvSpPr>
      <xdr:spPr>
        <a:xfrm>
          <a:off x="20725086" y="26545189"/>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38</xdr:col>
      <xdr:colOff>39414</xdr:colOff>
      <xdr:row>127</xdr:row>
      <xdr:rowOff>72257</xdr:rowOff>
    </xdr:from>
    <xdr:to>
      <xdr:col>39</xdr:col>
      <xdr:colOff>429455</xdr:colOff>
      <xdr:row>127</xdr:row>
      <xdr:rowOff>72257</xdr:rowOff>
    </xdr:to>
    <xdr:cxnSp macro="">
      <xdr:nvCxnSpPr>
        <xdr:cNvPr id="733" name="Straight Arrow Connector 732">
          <a:extLst>
            <a:ext uri="{FF2B5EF4-FFF2-40B4-BE49-F238E27FC236}">
              <a16:creationId xmlns:a16="http://schemas.microsoft.com/office/drawing/2014/main" id="{00000000-0008-0000-0200-0000DD020000}"/>
            </a:ext>
          </a:extLst>
        </xdr:cNvPr>
        <xdr:cNvCxnSpPr/>
      </xdr:nvCxnSpPr>
      <xdr:spPr>
        <a:xfrm>
          <a:off x="23254138" y="26256154"/>
          <a:ext cx="100095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45983</xdr:colOff>
      <xdr:row>127</xdr:row>
      <xdr:rowOff>72257</xdr:rowOff>
    </xdr:from>
    <xdr:to>
      <xdr:col>38</xdr:col>
      <xdr:colOff>45983</xdr:colOff>
      <xdr:row>130</xdr:row>
      <xdr:rowOff>0</xdr:rowOff>
    </xdr:to>
    <xdr:cxnSp macro="">
      <xdr:nvCxnSpPr>
        <xdr:cNvPr id="734" name="Straight Arrow Connector 733">
          <a:extLst>
            <a:ext uri="{FF2B5EF4-FFF2-40B4-BE49-F238E27FC236}">
              <a16:creationId xmlns:a16="http://schemas.microsoft.com/office/drawing/2014/main" id="{00000000-0008-0000-0200-0000DE020000}"/>
            </a:ext>
          </a:extLst>
        </xdr:cNvPr>
        <xdr:cNvCxnSpPr/>
      </xdr:nvCxnSpPr>
      <xdr:spPr>
        <a:xfrm flipV="1">
          <a:off x="23260707" y="26256154"/>
          <a:ext cx="0" cy="55836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118242</xdr:colOff>
      <xdr:row>130</xdr:row>
      <xdr:rowOff>6569</xdr:rowOff>
    </xdr:from>
    <xdr:to>
      <xdr:col>38</xdr:col>
      <xdr:colOff>52552</xdr:colOff>
      <xdr:row>130</xdr:row>
      <xdr:rowOff>6569</xdr:rowOff>
    </xdr:to>
    <xdr:cxnSp macro="">
      <xdr:nvCxnSpPr>
        <xdr:cNvPr id="735" name="Straight Arrow Connector 734">
          <a:extLst>
            <a:ext uri="{FF2B5EF4-FFF2-40B4-BE49-F238E27FC236}">
              <a16:creationId xmlns:a16="http://schemas.microsoft.com/office/drawing/2014/main" id="{00000000-0008-0000-0200-0000DF020000}"/>
            </a:ext>
          </a:extLst>
        </xdr:cNvPr>
        <xdr:cNvCxnSpPr/>
      </xdr:nvCxnSpPr>
      <xdr:spPr>
        <a:xfrm>
          <a:off x="21500225" y="26821086"/>
          <a:ext cx="176705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551792</xdr:colOff>
      <xdr:row>130</xdr:row>
      <xdr:rowOff>144517</xdr:rowOff>
    </xdr:from>
    <xdr:to>
      <xdr:col>37</xdr:col>
      <xdr:colOff>98533</xdr:colOff>
      <xdr:row>132</xdr:row>
      <xdr:rowOff>198626</xdr:rowOff>
    </xdr:to>
    <xdr:sp macro="" textlink="">
      <xdr:nvSpPr>
        <xdr:cNvPr id="736" name="Rectangle 735">
          <a:hlinkClick xmlns:r="http://schemas.openxmlformats.org/officeDocument/2006/relationships" r:id="rId31"/>
          <a:extLst>
            <a:ext uri="{FF2B5EF4-FFF2-40B4-BE49-F238E27FC236}">
              <a16:creationId xmlns:a16="http://schemas.microsoft.com/office/drawing/2014/main" id="{00000000-0008-0000-0200-0000E0020000}"/>
            </a:ext>
          </a:extLst>
        </xdr:cNvPr>
        <xdr:cNvSpPr/>
      </xdr:nvSpPr>
      <xdr:spPr>
        <a:xfrm>
          <a:off x="21933775" y="26959034"/>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37</xdr:col>
      <xdr:colOff>105103</xdr:colOff>
      <xdr:row>132</xdr:row>
      <xdr:rowOff>19707</xdr:rowOff>
    </xdr:from>
    <xdr:to>
      <xdr:col>39</xdr:col>
      <xdr:colOff>137948</xdr:colOff>
      <xdr:row>132</xdr:row>
      <xdr:rowOff>19707</xdr:rowOff>
    </xdr:to>
    <xdr:cxnSp macro="">
      <xdr:nvCxnSpPr>
        <xdr:cNvPr id="737" name="Straight Arrow Connector 736">
          <a:extLst>
            <a:ext uri="{FF2B5EF4-FFF2-40B4-BE49-F238E27FC236}">
              <a16:creationId xmlns:a16="http://schemas.microsoft.com/office/drawing/2014/main" id="{00000000-0008-0000-0200-0000E1020000}"/>
            </a:ext>
          </a:extLst>
        </xdr:cNvPr>
        <xdr:cNvCxnSpPr/>
      </xdr:nvCxnSpPr>
      <xdr:spPr>
        <a:xfrm>
          <a:off x="22708913" y="27254638"/>
          <a:ext cx="125467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131379</xdr:colOff>
      <xdr:row>128</xdr:row>
      <xdr:rowOff>98535</xdr:rowOff>
    </xdr:from>
    <xdr:to>
      <xdr:col>39</xdr:col>
      <xdr:colOff>131379</xdr:colOff>
      <xdr:row>132</xdr:row>
      <xdr:rowOff>32847</xdr:rowOff>
    </xdr:to>
    <xdr:cxnSp macro="">
      <xdr:nvCxnSpPr>
        <xdr:cNvPr id="742" name="Straight Arrow Connector 741">
          <a:extLst>
            <a:ext uri="{FF2B5EF4-FFF2-40B4-BE49-F238E27FC236}">
              <a16:creationId xmlns:a16="http://schemas.microsoft.com/office/drawing/2014/main" id="{00000000-0008-0000-0200-0000E6020000}"/>
            </a:ext>
          </a:extLst>
        </xdr:cNvPr>
        <xdr:cNvCxnSpPr/>
      </xdr:nvCxnSpPr>
      <xdr:spPr>
        <a:xfrm flipV="1">
          <a:off x="23957017" y="26492638"/>
          <a:ext cx="0" cy="77514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39</xdr:col>
      <xdr:colOff>118241</xdr:colOff>
      <xdr:row>128</xdr:row>
      <xdr:rowOff>85397</xdr:rowOff>
    </xdr:from>
    <xdr:to>
      <xdr:col>39</xdr:col>
      <xdr:colOff>449162</xdr:colOff>
      <xdr:row>128</xdr:row>
      <xdr:rowOff>85397</xdr:rowOff>
    </xdr:to>
    <xdr:cxnSp macro="">
      <xdr:nvCxnSpPr>
        <xdr:cNvPr id="743" name="Straight Arrow Connector 742">
          <a:extLst>
            <a:ext uri="{FF2B5EF4-FFF2-40B4-BE49-F238E27FC236}">
              <a16:creationId xmlns:a16="http://schemas.microsoft.com/office/drawing/2014/main" id="{00000000-0008-0000-0200-0000E7020000}"/>
            </a:ext>
          </a:extLst>
        </xdr:cNvPr>
        <xdr:cNvCxnSpPr/>
      </xdr:nvCxnSpPr>
      <xdr:spPr>
        <a:xfrm>
          <a:off x="23943879" y="26479500"/>
          <a:ext cx="3309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558363</xdr:colOff>
      <xdr:row>143</xdr:row>
      <xdr:rowOff>124810</xdr:rowOff>
    </xdr:from>
    <xdr:to>
      <xdr:col>35</xdr:col>
      <xdr:colOff>105103</xdr:colOff>
      <xdr:row>145</xdr:row>
      <xdr:rowOff>192057</xdr:rowOff>
    </xdr:to>
    <xdr:sp macro="" textlink="">
      <xdr:nvSpPr>
        <xdr:cNvPr id="744" name="Rectangle 743">
          <a:hlinkClick xmlns:r="http://schemas.openxmlformats.org/officeDocument/2006/relationships" r:id="rId31"/>
          <a:extLst>
            <a:ext uri="{FF2B5EF4-FFF2-40B4-BE49-F238E27FC236}">
              <a16:creationId xmlns:a16="http://schemas.microsoft.com/office/drawing/2014/main" id="{00000000-0008-0000-0200-0000E8020000}"/>
            </a:ext>
          </a:extLst>
        </xdr:cNvPr>
        <xdr:cNvSpPr/>
      </xdr:nvSpPr>
      <xdr:spPr>
        <a:xfrm>
          <a:off x="20718518" y="29573482"/>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35</xdr:col>
      <xdr:colOff>118242</xdr:colOff>
      <xdr:row>144</xdr:row>
      <xdr:rowOff>13138</xdr:rowOff>
    </xdr:from>
    <xdr:to>
      <xdr:col>37</xdr:col>
      <xdr:colOff>387569</xdr:colOff>
      <xdr:row>144</xdr:row>
      <xdr:rowOff>13138</xdr:rowOff>
    </xdr:to>
    <xdr:cxnSp macro="">
      <xdr:nvCxnSpPr>
        <xdr:cNvPr id="745" name="Straight Arrow Connector 744">
          <a:extLst>
            <a:ext uri="{FF2B5EF4-FFF2-40B4-BE49-F238E27FC236}">
              <a16:creationId xmlns:a16="http://schemas.microsoft.com/office/drawing/2014/main" id="{00000000-0008-0000-0200-0000E9020000}"/>
            </a:ext>
          </a:extLst>
        </xdr:cNvPr>
        <xdr:cNvCxnSpPr/>
      </xdr:nvCxnSpPr>
      <xdr:spPr>
        <a:xfrm>
          <a:off x="21500225" y="29658879"/>
          <a:ext cx="14911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118242</xdr:colOff>
      <xdr:row>144</xdr:row>
      <xdr:rowOff>197069</xdr:rowOff>
    </xdr:from>
    <xdr:to>
      <xdr:col>37</xdr:col>
      <xdr:colOff>387569</xdr:colOff>
      <xdr:row>144</xdr:row>
      <xdr:rowOff>197069</xdr:rowOff>
    </xdr:to>
    <xdr:cxnSp macro="">
      <xdr:nvCxnSpPr>
        <xdr:cNvPr id="746" name="Straight Arrow Connector 745">
          <a:extLst>
            <a:ext uri="{FF2B5EF4-FFF2-40B4-BE49-F238E27FC236}">
              <a16:creationId xmlns:a16="http://schemas.microsoft.com/office/drawing/2014/main" id="{00000000-0008-0000-0200-0000EA020000}"/>
            </a:ext>
          </a:extLst>
        </xdr:cNvPr>
        <xdr:cNvCxnSpPr/>
      </xdr:nvCxnSpPr>
      <xdr:spPr>
        <a:xfrm>
          <a:off x="21500225" y="29862517"/>
          <a:ext cx="14911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545224</xdr:colOff>
      <xdr:row>147</xdr:row>
      <xdr:rowOff>85397</xdr:rowOff>
    </xdr:from>
    <xdr:to>
      <xdr:col>35</xdr:col>
      <xdr:colOff>91964</xdr:colOff>
      <xdr:row>149</xdr:row>
      <xdr:rowOff>185489</xdr:rowOff>
    </xdr:to>
    <xdr:sp macro="" textlink="">
      <xdr:nvSpPr>
        <xdr:cNvPr id="747" name="Rectangle 746">
          <a:hlinkClick xmlns:r="http://schemas.openxmlformats.org/officeDocument/2006/relationships" r:id="rId31"/>
          <a:extLst>
            <a:ext uri="{FF2B5EF4-FFF2-40B4-BE49-F238E27FC236}">
              <a16:creationId xmlns:a16="http://schemas.microsoft.com/office/drawing/2014/main" id="{00000000-0008-0000-0200-0000EB020000}"/>
            </a:ext>
          </a:extLst>
        </xdr:cNvPr>
        <xdr:cNvSpPr/>
      </xdr:nvSpPr>
      <xdr:spPr>
        <a:xfrm>
          <a:off x="20705379" y="30381466"/>
          <a:ext cx="768568" cy="4876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35</xdr:col>
      <xdr:colOff>105103</xdr:colOff>
      <xdr:row>147</xdr:row>
      <xdr:rowOff>131379</xdr:rowOff>
    </xdr:from>
    <xdr:to>
      <xdr:col>37</xdr:col>
      <xdr:colOff>374430</xdr:colOff>
      <xdr:row>147</xdr:row>
      <xdr:rowOff>131379</xdr:rowOff>
    </xdr:to>
    <xdr:cxnSp macro="">
      <xdr:nvCxnSpPr>
        <xdr:cNvPr id="748" name="Straight Arrow Connector 747">
          <a:extLst>
            <a:ext uri="{FF2B5EF4-FFF2-40B4-BE49-F238E27FC236}">
              <a16:creationId xmlns:a16="http://schemas.microsoft.com/office/drawing/2014/main" id="{00000000-0008-0000-0200-0000EC020000}"/>
            </a:ext>
          </a:extLst>
        </xdr:cNvPr>
        <xdr:cNvCxnSpPr/>
      </xdr:nvCxnSpPr>
      <xdr:spPr>
        <a:xfrm>
          <a:off x="21487086" y="30427448"/>
          <a:ext cx="14911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85397</xdr:colOff>
      <xdr:row>170</xdr:row>
      <xdr:rowOff>19707</xdr:rowOff>
    </xdr:from>
    <xdr:to>
      <xdr:col>39</xdr:col>
      <xdr:colOff>408036</xdr:colOff>
      <xdr:row>170</xdr:row>
      <xdr:rowOff>19707</xdr:rowOff>
    </xdr:to>
    <xdr:cxnSp macro="">
      <xdr:nvCxnSpPr>
        <xdr:cNvPr id="749" name="Straight Arrow Connector 748">
          <a:extLst>
            <a:ext uri="{FF2B5EF4-FFF2-40B4-BE49-F238E27FC236}">
              <a16:creationId xmlns:a16="http://schemas.microsoft.com/office/drawing/2014/main" id="{00000000-0008-0000-0200-0000ED020000}"/>
            </a:ext>
          </a:extLst>
        </xdr:cNvPr>
        <xdr:cNvCxnSpPr/>
      </xdr:nvCxnSpPr>
      <xdr:spPr>
        <a:xfrm>
          <a:off x="22689207" y="34782673"/>
          <a:ext cx="15444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538655</xdr:colOff>
      <xdr:row>169</xdr:row>
      <xdr:rowOff>32845</xdr:rowOff>
    </xdr:from>
    <xdr:to>
      <xdr:col>37</xdr:col>
      <xdr:colOff>85396</xdr:colOff>
      <xdr:row>171</xdr:row>
      <xdr:rowOff>172351</xdr:rowOff>
    </xdr:to>
    <xdr:sp macro="" textlink="">
      <xdr:nvSpPr>
        <xdr:cNvPr id="750" name="Rectangle 749">
          <a:hlinkClick xmlns:r="http://schemas.openxmlformats.org/officeDocument/2006/relationships" r:id="rId31"/>
          <a:extLst>
            <a:ext uri="{FF2B5EF4-FFF2-40B4-BE49-F238E27FC236}">
              <a16:creationId xmlns:a16="http://schemas.microsoft.com/office/drawing/2014/main" id="{00000000-0008-0000-0200-0000EE020000}"/>
            </a:ext>
          </a:extLst>
        </xdr:cNvPr>
        <xdr:cNvSpPr/>
      </xdr:nvSpPr>
      <xdr:spPr>
        <a:xfrm>
          <a:off x="21920638" y="34605311"/>
          <a:ext cx="768568" cy="5205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35</xdr:col>
      <xdr:colOff>558363</xdr:colOff>
      <xdr:row>174</xdr:row>
      <xdr:rowOff>32845</xdr:rowOff>
    </xdr:from>
    <xdr:to>
      <xdr:col>37</xdr:col>
      <xdr:colOff>105104</xdr:colOff>
      <xdr:row>176</xdr:row>
      <xdr:rowOff>192058</xdr:rowOff>
    </xdr:to>
    <xdr:sp macro="" textlink="">
      <xdr:nvSpPr>
        <xdr:cNvPr id="751" name="Rectangle 750">
          <a:hlinkClick xmlns:r="http://schemas.openxmlformats.org/officeDocument/2006/relationships" r:id="rId31"/>
          <a:extLst>
            <a:ext uri="{FF2B5EF4-FFF2-40B4-BE49-F238E27FC236}">
              <a16:creationId xmlns:a16="http://schemas.microsoft.com/office/drawing/2014/main" id="{00000000-0008-0000-0200-0000EF020000}"/>
            </a:ext>
          </a:extLst>
        </xdr:cNvPr>
        <xdr:cNvSpPr/>
      </xdr:nvSpPr>
      <xdr:spPr>
        <a:xfrm>
          <a:off x="21940346" y="35623500"/>
          <a:ext cx="768568" cy="54678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37</xdr:col>
      <xdr:colOff>105104</xdr:colOff>
      <xdr:row>175</xdr:row>
      <xdr:rowOff>6569</xdr:rowOff>
    </xdr:from>
    <xdr:to>
      <xdr:col>42</xdr:col>
      <xdr:colOff>353538</xdr:colOff>
      <xdr:row>175</xdr:row>
      <xdr:rowOff>15331</xdr:rowOff>
    </xdr:to>
    <xdr:cxnSp macro="">
      <xdr:nvCxnSpPr>
        <xdr:cNvPr id="752" name="Straight Arrow Connector 751">
          <a:extLst>
            <a:ext uri="{FF2B5EF4-FFF2-40B4-BE49-F238E27FC236}">
              <a16:creationId xmlns:a16="http://schemas.microsoft.com/office/drawing/2014/main" id="{00000000-0008-0000-0200-0000F0020000}"/>
            </a:ext>
          </a:extLst>
        </xdr:cNvPr>
        <xdr:cNvCxnSpPr>
          <a:endCxn id="611" idx="1"/>
        </xdr:cNvCxnSpPr>
      </xdr:nvCxnSpPr>
      <xdr:spPr>
        <a:xfrm>
          <a:off x="22708914" y="35787724"/>
          <a:ext cx="3303003" cy="876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59121</xdr:colOff>
      <xdr:row>185</xdr:row>
      <xdr:rowOff>72258</xdr:rowOff>
    </xdr:from>
    <xdr:to>
      <xdr:col>39</xdr:col>
      <xdr:colOff>358815</xdr:colOff>
      <xdr:row>185</xdr:row>
      <xdr:rowOff>72258</xdr:rowOff>
    </xdr:to>
    <xdr:cxnSp macro="">
      <xdr:nvCxnSpPr>
        <xdr:cNvPr id="753" name="Straight Arrow Connector 752">
          <a:extLst>
            <a:ext uri="{FF2B5EF4-FFF2-40B4-BE49-F238E27FC236}">
              <a16:creationId xmlns:a16="http://schemas.microsoft.com/office/drawing/2014/main" id="{00000000-0008-0000-0200-0000F1020000}"/>
            </a:ext>
          </a:extLst>
        </xdr:cNvPr>
        <xdr:cNvCxnSpPr/>
      </xdr:nvCxnSpPr>
      <xdr:spPr>
        <a:xfrm>
          <a:off x="22662931" y="37830672"/>
          <a:ext cx="15215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525517</xdr:colOff>
      <xdr:row>184</xdr:row>
      <xdr:rowOff>98534</xdr:rowOff>
    </xdr:from>
    <xdr:to>
      <xdr:col>37</xdr:col>
      <xdr:colOff>72258</xdr:colOff>
      <xdr:row>186</xdr:row>
      <xdr:rowOff>178920</xdr:rowOff>
    </xdr:to>
    <xdr:sp macro="" textlink="">
      <xdr:nvSpPr>
        <xdr:cNvPr id="754" name="Rectangle 753">
          <a:hlinkClick xmlns:r="http://schemas.openxmlformats.org/officeDocument/2006/relationships" r:id="rId31"/>
          <a:extLst>
            <a:ext uri="{FF2B5EF4-FFF2-40B4-BE49-F238E27FC236}">
              <a16:creationId xmlns:a16="http://schemas.microsoft.com/office/drawing/2014/main" id="{00000000-0008-0000-0200-0000F2020000}"/>
            </a:ext>
          </a:extLst>
        </xdr:cNvPr>
        <xdr:cNvSpPr/>
      </xdr:nvSpPr>
      <xdr:spPr>
        <a:xfrm>
          <a:off x="21907500" y="37666448"/>
          <a:ext cx="768568" cy="4613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35</xdr:col>
      <xdr:colOff>538656</xdr:colOff>
      <xdr:row>194</xdr:row>
      <xdr:rowOff>78827</xdr:rowOff>
    </xdr:from>
    <xdr:to>
      <xdr:col>37</xdr:col>
      <xdr:colOff>85397</xdr:colOff>
      <xdr:row>196</xdr:row>
      <xdr:rowOff>185489</xdr:rowOff>
    </xdr:to>
    <xdr:sp macro="" textlink="">
      <xdr:nvSpPr>
        <xdr:cNvPr id="755" name="Rectangle 754">
          <a:hlinkClick xmlns:r="http://schemas.openxmlformats.org/officeDocument/2006/relationships" r:id="rId31"/>
          <a:extLst>
            <a:ext uri="{FF2B5EF4-FFF2-40B4-BE49-F238E27FC236}">
              <a16:creationId xmlns:a16="http://schemas.microsoft.com/office/drawing/2014/main" id="{00000000-0008-0000-0200-0000F3020000}"/>
            </a:ext>
          </a:extLst>
        </xdr:cNvPr>
        <xdr:cNvSpPr/>
      </xdr:nvSpPr>
      <xdr:spPr>
        <a:xfrm>
          <a:off x="21920639" y="39617430"/>
          <a:ext cx="768568" cy="4876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37</xdr:col>
      <xdr:colOff>91966</xdr:colOff>
      <xdr:row>195</xdr:row>
      <xdr:rowOff>52551</xdr:rowOff>
    </xdr:from>
    <xdr:to>
      <xdr:col>39</xdr:col>
      <xdr:colOff>424504</xdr:colOff>
      <xdr:row>195</xdr:row>
      <xdr:rowOff>52551</xdr:rowOff>
    </xdr:to>
    <xdr:cxnSp macro="">
      <xdr:nvCxnSpPr>
        <xdr:cNvPr id="756" name="Straight Arrow Connector 755">
          <a:extLst>
            <a:ext uri="{FF2B5EF4-FFF2-40B4-BE49-F238E27FC236}">
              <a16:creationId xmlns:a16="http://schemas.microsoft.com/office/drawing/2014/main" id="{00000000-0008-0000-0200-0000F4020000}"/>
            </a:ext>
          </a:extLst>
        </xdr:cNvPr>
        <xdr:cNvCxnSpPr/>
      </xdr:nvCxnSpPr>
      <xdr:spPr>
        <a:xfrm>
          <a:off x="22695776" y="39781654"/>
          <a:ext cx="15543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446689</xdr:colOff>
      <xdr:row>134</xdr:row>
      <xdr:rowOff>118242</xdr:rowOff>
    </xdr:from>
    <xdr:to>
      <xdr:col>38</xdr:col>
      <xdr:colOff>223772</xdr:colOff>
      <xdr:row>138</xdr:row>
      <xdr:rowOff>201115</xdr:rowOff>
    </xdr:to>
    <xdr:sp macro="" textlink="">
      <xdr:nvSpPr>
        <xdr:cNvPr id="757" name="Rectangle 756">
          <a:extLst>
            <a:ext uri="{FF2B5EF4-FFF2-40B4-BE49-F238E27FC236}">
              <a16:creationId xmlns:a16="http://schemas.microsoft.com/office/drawing/2014/main" id="{00000000-0008-0000-0200-0000F5020000}"/>
            </a:ext>
          </a:extLst>
        </xdr:cNvPr>
        <xdr:cNvSpPr/>
      </xdr:nvSpPr>
      <xdr:spPr>
        <a:xfrm>
          <a:off x="22439586" y="27773587"/>
          <a:ext cx="998910" cy="8777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Flash Control</a:t>
          </a:r>
          <a:endParaRPr lang="en-US" sz="1100" baseline="0"/>
        </a:p>
        <a:p>
          <a:pPr algn="ctr"/>
          <a:r>
            <a:rPr lang="en-US" sz="900"/>
            <a:t>MC_ME_&lt;Mode&gt;_MC[FLAON]</a:t>
          </a:r>
        </a:p>
      </xdr:txBody>
    </xdr:sp>
    <xdr:clientData/>
  </xdr:twoCellAnchor>
  <xdr:oneCellAnchor>
    <xdr:from>
      <xdr:col>36</xdr:col>
      <xdr:colOff>558361</xdr:colOff>
      <xdr:row>139</xdr:row>
      <xdr:rowOff>197068</xdr:rowOff>
    </xdr:from>
    <xdr:ext cx="1294088" cy="362607"/>
    <xdr:sp macro="" textlink="">
      <xdr:nvSpPr>
        <xdr:cNvPr id="758" name="TextBox 757">
          <a:extLst>
            <a:ext uri="{FF2B5EF4-FFF2-40B4-BE49-F238E27FC236}">
              <a16:creationId xmlns:a16="http://schemas.microsoft.com/office/drawing/2014/main" id="{00000000-0008-0000-0200-0000F6020000}"/>
            </a:ext>
          </a:extLst>
        </xdr:cNvPr>
        <xdr:cNvSpPr txBox="1"/>
      </xdr:nvSpPr>
      <xdr:spPr>
        <a:xfrm>
          <a:off x="22551258" y="28857465"/>
          <a:ext cx="1294088"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1</a:t>
          </a:r>
          <a:r>
            <a:rPr lang="en-US" sz="800" baseline="0"/>
            <a:t> - Flash is powered down</a:t>
          </a:r>
          <a:endParaRPr lang="en-US" sz="800"/>
        </a:p>
        <a:p>
          <a:r>
            <a:rPr lang="en-US" sz="800"/>
            <a:t>3</a:t>
          </a:r>
          <a:r>
            <a:rPr lang="en-US" sz="800" baseline="0"/>
            <a:t> - Flash is in RUN mode</a:t>
          </a:r>
          <a:endParaRPr lang="en-US" sz="800"/>
        </a:p>
      </xdr:txBody>
    </xdr:sp>
    <xdr:clientData/>
  </xdr:oneCellAnchor>
  <xdr:twoCellAnchor>
    <xdr:from>
      <xdr:col>41</xdr:col>
      <xdr:colOff>512380</xdr:colOff>
      <xdr:row>133</xdr:row>
      <xdr:rowOff>111673</xdr:rowOff>
    </xdr:from>
    <xdr:to>
      <xdr:col>43</xdr:col>
      <xdr:colOff>59121</xdr:colOff>
      <xdr:row>135</xdr:row>
      <xdr:rowOff>178920</xdr:rowOff>
    </xdr:to>
    <xdr:sp macro="" textlink="">
      <xdr:nvSpPr>
        <xdr:cNvPr id="759" name="Rectangle 758">
          <a:hlinkClick xmlns:r="http://schemas.openxmlformats.org/officeDocument/2006/relationships" r:id="rId31"/>
          <a:extLst>
            <a:ext uri="{FF2B5EF4-FFF2-40B4-BE49-F238E27FC236}">
              <a16:creationId xmlns:a16="http://schemas.microsoft.com/office/drawing/2014/main" id="{00000000-0008-0000-0200-0000F7020000}"/>
            </a:ext>
          </a:extLst>
        </xdr:cNvPr>
        <xdr:cNvSpPr/>
      </xdr:nvSpPr>
      <xdr:spPr>
        <a:xfrm>
          <a:off x="25559846" y="27556811"/>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41</xdr:col>
      <xdr:colOff>525516</xdr:colOff>
      <xdr:row>137</xdr:row>
      <xdr:rowOff>131380</xdr:rowOff>
    </xdr:from>
    <xdr:to>
      <xdr:col>43</xdr:col>
      <xdr:colOff>72257</xdr:colOff>
      <xdr:row>139</xdr:row>
      <xdr:rowOff>185490</xdr:rowOff>
    </xdr:to>
    <xdr:sp macro="" textlink="">
      <xdr:nvSpPr>
        <xdr:cNvPr id="760" name="Rectangle 759">
          <a:hlinkClick xmlns:r="http://schemas.openxmlformats.org/officeDocument/2006/relationships" r:id="rId31"/>
          <a:extLst>
            <a:ext uri="{FF2B5EF4-FFF2-40B4-BE49-F238E27FC236}">
              <a16:creationId xmlns:a16="http://schemas.microsoft.com/office/drawing/2014/main" id="{00000000-0008-0000-0200-0000F8020000}"/>
            </a:ext>
          </a:extLst>
        </xdr:cNvPr>
        <xdr:cNvSpPr/>
      </xdr:nvSpPr>
      <xdr:spPr>
        <a:xfrm>
          <a:off x="25572982" y="28391070"/>
          <a:ext cx="768568" cy="4745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38</xdr:col>
      <xdr:colOff>236483</xdr:colOff>
      <xdr:row>135</xdr:row>
      <xdr:rowOff>19707</xdr:rowOff>
    </xdr:from>
    <xdr:to>
      <xdr:col>41</xdr:col>
      <xdr:colOff>505810</xdr:colOff>
      <xdr:row>135</xdr:row>
      <xdr:rowOff>19707</xdr:rowOff>
    </xdr:to>
    <xdr:cxnSp macro="">
      <xdr:nvCxnSpPr>
        <xdr:cNvPr id="761" name="Straight Arrow Connector 760">
          <a:extLst>
            <a:ext uri="{FF2B5EF4-FFF2-40B4-BE49-F238E27FC236}">
              <a16:creationId xmlns:a16="http://schemas.microsoft.com/office/drawing/2014/main" id="{00000000-0008-0000-0200-0000F9020000}"/>
            </a:ext>
          </a:extLst>
        </xdr:cNvPr>
        <xdr:cNvCxnSpPr/>
      </xdr:nvCxnSpPr>
      <xdr:spPr>
        <a:xfrm>
          <a:off x="23451207" y="27872121"/>
          <a:ext cx="21020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231228</xdr:colOff>
      <xdr:row>138</xdr:row>
      <xdr:rowOff>27589</xdr:rowOff>
    </xdr:from>
    <xdr:to>
      <xdr:col>41</xdr:col>
      <xdr:colOff>500555</xdr:colOff>
      <xdr:row>138</xdr:row>
      <xdr:rowOff>27589</xdr:rowOff>
    </xdr:to>
    <xdr:cxnSp macro="">
      <xdr:nvCxnSpPr>
        <xdr:cNvPr id="762" name="Straight Arrow Connector 761">
          <a:extLst>
            <a:ext uri="{FF2B5EF4-FFF2-40B4-BE49-F238E27FC236}">
              <a16:creationId xmlns:a16="http://schemas.microsoft.com/office/drawing/2014/main" id="{00000000-0008-0000-0200-0000FA020000}"/>
            </a:ext>
          </a:extLst>
        </xdr:cNvPr>
        <xdr:cNvCxnSpPr/>
      </xdr:nvCxnSpPr>
      <xdr:spPr>
        <a:xfrm>
          <a:off x="23445952" y="28497486"/>
          <a:ext cx="21020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59121</xdr:colOff>
      <xdr:row>135</xdr:row>
      <xdr:rowOff>32845</xdr:rowOff>
    </xdr:from>
    <xdr:to>
      <xdr:col>46</xdr:col>
      <xdr:colOff>387569</xdr:colOff>
      <xdr:row>135</xdr:row>
      <xdr:rowOff>32845</xdr:rowOff>
    </xdr:to>
    <xdr:cxnSp macro="">
      <xdr:nvCxnSpPr>
        <xdr:cNvPr id="763" name="Straight Arrow Connector 762">
          <a:extLst>
            <a:ext uri="{FF2B5EF4-FFF2-40B4-BE49-F238E27FC236}">
              <a16:creationId xmlns:a16="http://schemas.microsoft.com/office/drawing/2014/main" id="{00000000-0008-0000-0200-0000FB020000}"/>
            </a:ext>
          </a:extLst>
        </xdr:cNvPr>
        <xdr:cNvCxnSpPr/>
      </xdr:nvCxnSpPr>
      <xdr:spPr>
        <a:xfrm>
          <a:off x="26328414" y="27885259"/>
          <a:ext cx="21611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43</xdr:col>
      <xdr:colOff>86711</xdr:colOff>
      <xdr:row>138</xdr:row>
      <xdr:rowOff>40727</xdr:rowOff>
    </xdr:from>
    <xdr:to>
      <xdr:col>46</xdr:col>
      <xdr:colOff>415159</xdr:colOff>
      <xdr:row>138</xdr:row>
      <xdr:rowOff>40727</xdr:rowOff>
    </xdr:to>
    <xdr:cxnSp macro="">
      <xdr:nvCxnSpPr>
        <xdr:cNvPr id="764" name="Straight Arrow Connector 763">
          <a:extLst>
            <a:ext uri="{FF2B5EF4-FFF2-40B4-BE49-F238E27FC236}">
              <a16:creationId xmlns:a16="http://schemas.microsoft.com/office/drawing/2014/main" id="{00000000-0008-0000-0200-0000FC020000}"/>
            </a:ext>
          </a:extLst>
        </xdr:cNvPr>
        <xdr:cNvCxnSpPr/>
      </xdr:nvCxnSpPr>
      <xdr:spPr>
        <a:xfrm>
          <a:off x="26356004" y="28510624"/>
          <a:ext cx="21611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367862</xdr:colOff>
      <xdr:row>189</xdr:row>
      <xdr:rowOff>83123</xdr:rowOff>
    </xdr:from>
    <xdr:to>
      <xdr:col>4</xdr:col>
      <xdr:colOff>153111</xdr:colOff>
      <xdr:row>194</xdr:row>
      <xdr:rowOff>31311</xdr:rowOff>
    </xdr:to>
    <xdr:sp macro="" textlink="">
      <xdr:nvSpPr>
        <xdr:cNvPr id="669" name="Rectangle 668">
          <a:extLst>
            <a:ext uri="{FF2B5EF4-FFF2-40B4-BE49-F238E27FC236}">
              <a16:creationId xmlns:a16="http://schemas.microsoft.com/office/drawing/2014/main" id="{00000000-0008-0000-0200-00009D020000}"/>
            </a:ext>
          </a:extLst>
        </xdr:cNvPr>
        <xdr:cNvSpPr/>
      </xdr:nvSpPr>
      <xdr:spPr>
        <a:xfrm>
          <a:off x="1589690" y="38734916"/>
          <a:ext cx="1007076" cy="94010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JDC</a:t>
          </a:r>
          <a:endParaRPr lang="en-US" sz="1100"/>
        </a:p>
      </xdr:txBody>
    </xdr:sp>
    <xdr:clientData/>
  </xdr:twoCellAnchor>
  <xdr:twoCellAnchor>
    <xdr:from>
      <xdr:col>6</xdr:col>
      <xdr:colOff>512381</xdr:colOff>
      <xdr:row>189</xdr:row>
      <xdr:rowOff>52552</xdr:rowOff>
    </xdr:from>
    <xdr:to>
      <xdr:col>8</xdr:col>
      <xdr:colOff>59122</xdr:colOff>
      <xdr:row>192</xdr:row>
      <xdr:rowOff>17729</xdr:rowOff>
    </xdr:to>
    <xdr:sp macro="" textlink="">
      <xdr:nvSpPr>
        <xdr:cNvPr id="765" name="Rectangle 764">
          <a:hlinkClick xmlns:r="http://schemas.openxmlformats.org/officeDocument/2006/relationships" r:id="rId31"/>
          <a:extLst>
            <a:ext uri="{FF2B5EF4-FFF2-40B4-BE49-F238E27FC236}">
              <a16:creationId xmlns:a16="http://schemas.microsoft.com/office/drawing/2014/main" id="{00000000-0008-0000-0200-0000FD020000}"/>
            </a:ext>
          </a:extLst>
        </xdr:cNvPr>
        <xdr:cNvSpPr/>
      </xdr:nvSpPr>
      <xdr:spPr>
        <a:xfrm>
          <a:off x="4177864" y="38704345"/>
          <a:ext cx="768568" cy="5695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xdr:col>
      <xdr:colOff>157657</xdr:colOff>
      <xdr:row>191</xdr:row>
      <xdr:rowOff>13897</xdr:rowOff>
    </xdr:from>
    <xdr:to>
      <xdr:col>6</xdr:col>
      <xdr:colOff>492673</xdr:colOff>
      <xdr:row>191</xdr:row>
      <xdr:rowOff>13897</xdr:rowOff>
    </xdr:to>
    <xdr:cxnSp macro="">
      <xdr:nvCxnSpPr>
        <xdr:cNvPr id="766" name="Straight Arrow Connector 765">
          <a:extLst>
            <a:ext uri="{FF2B5EF4-FFF2-40B4-BE49-F238E27FC236}">
              <a16:creationId xmlns:a16="http://schemas.microsoft.com/office/drawing/2014/main" id="{00000000-0008-0000-0200-0000FE020000}"/>
            </a:ext>
          </a:extLst>
        </xdr:cNvPr>
        <xdr:cNvCxnSpPr/>
      </xdr:nvCxnSpPr>
      <xdr:spPr>
        <a:xfrm flipH="1">
          <a:off x="2601312" y="39072966"/>
          <a:ext cx="15568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72766</xdr:colOff>
      <xdr:row>190</xdr:row>
      <xdr:rowOff>118493</xdr:rowOff>
    </xdr:from>
    <xdr:to>
      <xdr:col>23</xdr:col>
      <xdr:colOff>308742</xdr:colOff>
      <xdr:row>190</xdr:row>
      <xdr:rowOff>118493</xdr:rowOff>
    </xdr:to>
    <xdr:cxnSp macro="">
      <xdr:nvCxnSpPr>
        <xdr:cNvPr id="767" name="Straight Arrow Connector 766">
          <a:extLst>
            <a:ext uri="{FF2B5EF4-FFF2-40B4-BE49-F238E27FC236}">
              <a16:creationId xmlns:a16="http://schemas.microsoft.com/office/drawing/2014/main" id="{00000000-0008-0000-0200-0000FF020000}"/>
            </a:ext>
          </a:extLst>
        </xdr:cNvPr>
        <xdr:cNvCxnSpPr/>
      </xdr:nvCxnSpPr>
      <xdr:spPr>
        <a:xfrm flipH="1">
          <a:off x="4960076" y="38967355"/>
          <a:ext cx="939968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32</xdr:col>
      <xdr:colOff>268617</xdr:colOff>
      <xdr:row>11</xdr:row>
      <xdr:rowOff>113395</xdr:rowOff>
    </xdr:from>
    <xdr:to>
      <xdr:col>33</xdr:col>
      <xdr:colOff>386577</xdr:colOff>
      <xdr:row>12</xdr:row>
      <xdr:rowOff>143718</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19839985" y="2289106"/>
          <a:ext cx="729566" cy="2208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clientData/>
  </xdr:twoCellAnchor>
  <xdr:twoCellAnchor>
    <xdr:from>
      <xdr:col>9</xdr:col>
      <xdr:colOff>275650</xdr:colOff>
      <xdr:row>4</xdr:row>
      <xdr:rowOff>26169</xdr:rowOff>
    </xdr:from>
    <xdr:to>
      <xdr:col>9</xdr:col>
      <xdr:colOff>275650</xdr:colOff>
      <xdr:row>108</xdr:row>
      <xdr:rowOff>175847</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a:off x="5748862" y="817477"/>
          <a:ext cx="0" cy="20371985"/>
        </a:xfrm>
        <a:prstGeom prst="straightConnector1">
          <a:avLst/>
        </a:prstGeom>
        <a:ln w="19050">
          <a:solidFill>
            <a:schemeClr val="accent6">
              <a:lumMod val="5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384545</xdr:colOff>
      <xdr:row>1</xdr:row>
      <xdr:rowOff>67832</xdr:rowOff>
    </xdr:from>
    <xdr:ext cx="1057275" cy="419101"/>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300-000004000000}"/>
            </a:ext>
          </a:extLst>
        </xdr:cNvPr>
        <xdr:cNvSpPr txBox="1"/>
      </xdr:nvSpPr>
      <xdr:spPr>
        <a:xfrm>
          <a:off x="5249622" y="25833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FS80</a:t>
          </a:r>
        </a:p>
      </xdr:txBody>
    </xdr:sp>
    <xdr:clientData/>
  </xdr:oneCellAnchor>
  <xdr:oneCellAnchor>
    <xdr:from>
      <xdr:col>10</xdr:col>
      <xdr:colOff>377220</xdr:colOff>
      <xdr:row>1</xdr:row>
      <xdr:rowOff>53181</xdr:rowOff>
    </xdr:from>
    <xdr:ext cx="1057275" cy="419101"/>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300-000005000000}"/>
            </a:ext>
          </a:extLst>
        </xdr:cNvPr>
        <xdr:cNvSpPr txBox="1"/>
      </xdr:nvSpPr>
      <xdr:spPr>
        <a:xfrm>
          <a:off x="6458566" y="24368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twoCellAnchor>
    <xdr:from>
      <xdr:col>11</xdr:col>
      <xdr:colOff>290233</xdr:colOff>
      <xdr:row>4</xdr:row>
      <xdr:rowOff>13879</xdr:rowOff>
    </xdr:from>
    <xdr:to>
      <xdr:col>11</xdr:col>
      <xdr:colOff>290233</xdr:colOff>
      <xdr:row>108</xdr:row>
      <xdr:rowOff>178270</xdr:rowOff>
    </xdr:to>
    <xdr:cxnSp macro="">
      <xdr:nvCxnSpPr>
        <xdr:cNvPr id="6" name="Straight Arrow Connector 5">
          <a:extLst>
            <a:ext uri="{FF2B5EF4-FFF2-40B4-BE49-F238E27FC236}">
              <a16:creationId xmlns:a16="http://schemas.microsoft.com/office/drawing/2014/main" id="{00000000-0008-0000-0300-000006000000}"/>
            </a:ext>
          </a:extLst>
        </xdr:cNvPr>
        <xdr:cNvCxnSpPr/>
      </xdr:nvCxnSpPr>
      <xdr:spPr>
        <a:xfrm>
          <a:off x="7017891" y="805958"/>
          <a:ext cx="0" cy="20026523"/>
        </a:xfrm>
        <a:prstGeom prst="straightConnector1">
          <a:avLst/>
        </a:prstGeom>
        <a:ln w="19050">
          <a:solidFill>
            <a:schemeClr val="bg2">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324714</xdr:colOff>
      <xdr:row>5</xdr:row>
      <xdr:rowOff>80234</xdr:rowOff>
    </xdr:from>
    <xdr:to>
      <xdr:col>29</xdr:col>
      <xdr:colOff>156925</xdr:colOff>
      <xdr:row>10</xdr:row>
      <xdr:rowOff>76126</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16783914" y="1034391"/>
          <a:ext cx="1051411" cy="976552"/>
          <a:chOff x="21770914" y="23947083"/>
          <a:chExt cx="1054118" cy="797009"/>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21782331" y="23964432"/>
            <a:ext cx="1042701" cy="779660"/>
            <a:chOff x="21612277" y="22624897"/>
            <a:chExt cx="1035312" cy="779660"/>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SSCM</a:t>
              </a: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11</xdr:col>
      <xdr:colOff>281970</xdr:colOff>
      <xdr:row>6</xdr:row>
      <xdr:rowOff>5804</xdr:rowOff>
    </xdr:from>
    <xdr:to>
      <xdr:col>27</xdr:col>
      <xdr:colOff>324714</xdr:colOff>
      <xdr:row>6</xdr:row>
      <xdr:rowOff>6152</xdr:rowOff>
    </xdr:to>
    <xdr:cxnSp macro="">
      <xdr:nvCxnSpPr>
        <xdr:cNvPr id="12" name="Straight Arrow Connector 11">
          <a:extLst>
            <a:ext uri="{FF2B5EF4-FFF2-40B4-BE49-F238E27FC236}">
              <a16:creationId xmlns:a16="http://schemas.microsoft.com/office/drawing/2014/main" id="{00000000-0008-0000-0300-00000C000000}"/>
            </a:ext>
          </a:extLst>
        </xdr:cNvPr>
        <xdr:cNvCxnSpPr>
          <a:endCxn id="9" idx="1"/>
        </xdr:cNvCxnSpPr>
      </xdr:nvCxnSpPr>
      <xdr:spPr>
        <a:xfrm>
          <a:off x="6971451" y="1185439"/>
          <a:ext cx="9772898" cy="348"/>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266021</xdr:colOff>
      <xdr:row>9</xdr:row>
      <xdr:rowOff>133705</xdr:rowOff>
    </xdr:from>
    <xdr:to>
      <xdr:col>27</xdr:col>
      <xdr:colOff>336050</xdr:colOff>
      <xdr:row>9</xdr:row>
      <xdr:rowOff>133705</xdr:rowOff>
    </xdr:to>
    <xdr:cxnSp macro="">
      <xdr:nvCxnSpPr>
        <xdr:cNvPr id="13" name="Straight Arrow Connector 12">
          <a:extLst>
            <a:ext uri="{FF2B5EF4-FFF2-40B4-BE49-F238E27FC236}">
              <a16:creationId xmlns:a16="http://schemas.microsoft.com/office/drawing/2014/main" id="{00000000-0008-0000-0300-00000D000000}"/>
            </a:ext>
          </a:extLst>
        </xdr:cNvPr>
        <xdr:cNvCxnSpPr>
          <a:endCxn id="11" idx="1"/>
        </xdr:cNvCxnSpPr>
      </xdr:nvCxnSpPr>
      <xdr:spPr>
        <a:xfrm>
          <a:off x="16077521" y="1914147"/>
          <a:ext cx="678164"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263637</xdr:colOff>
      <xdr:row>6</xdr:row>
      <xdr:rowOff>11784</xdr:rowOff>
    </xdr:from>
    <xdr:to>
      <xdr:col>26</xdr:col>
      <xdr:colOff>263637</xdr:colOff>
      <xdr:row>9</xdr:row>
      <xdr:rowOff>128647</xdr:rowOff>
    </xdr:to>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V="1">
          <a:off x="16075137" y="1191419"/>
          <a:ext cx="0" cy="717670"/>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399198</xdr:colOff>
      <xdr:row>8</xdr:row>
      <xdr:rowOff>86149</xdr:rowOff>
    </xdr:from>
    <xdr:to>
      <xdr:col>2</xdr:col>
      <xdr:colOff>225331</xdr:colOff>
      <xdr:row>12</xdr:row>
      <xdr:rowOff>159956</xdr:rowOff>
    </xdr:to>
    <xdr:grpSp>
      <xdr:nvGrpSpPr>
        <xdr:cNvPr id="15" name="Group 14">
          <a:extLst>
            <a:ext uri="{FF2B5EF4-FFF2-40B4-BE49-F238E27FC236}">
              <a16:creationId xmlns:a16="http://schemas.microsoft.com/office/drawing/2014/main" id="{00000000-0008-0000-0300-00000F000000}"/>
            </a:ext>
          </a:extLst>
        </xdr:cNvPr>
        <xdr:cNvGrpSpPr/>
      </xdr:nvGrpSpPr>
      <xdr:grpSpPr>
        <a:xfrm>
          <a:off x="399198" y="1630027"/>
          <a:ext cx="1045333" cy="855686"/>
          <a:chOff x="1589646" y="38415002"/>
          <a:chExt cx="1042402" cy="771330"/>
        </a:xfrm>
      </xdr:grpSpPr>
      <xdr:grpSp>
        <xdr:nvGrpSpPr>
          <xdr:cNvPr id="16" name="Group 15">
            <a:extLst>
              <a:ext uri="{FF2B5EF4-FFF2-40B4-BE49-F238E27FC236}">
                <a16:creationId xmlns:a16="http://schemas.microsoft.com/office/drawing/2014/main" id="{00000000-0008-0000-0300-000010000000}"/>
              </a:ext>
            </a:extLst>
          </xdr:cNvPr>
          <xdr:cNvGrpSpPr/>
        </xdr:nvGrpSpPr>
        <xdr:grpSpPr>
          <a:xfrm>
            <a:off x="1589646" y="38415002"/>
            <a:ext cx="1042402" cy="771330"/>
            <a:chOff x="1604006" y="26098866"/>
            <a:chExt cx="1042593" cy="771330"/>
          </a:xfrm>
        </xdr:grpSpPr>
        <xdr:sp macro="" textlink="">
          <xdr:nvSpPr>
            <xdr:cNvPr id="18" name="Rectangle 17">
              <a:extLst>
                <a:ext uri="{FF2B5EF4-FFF2-40B4-BE49-F238E27FC236}">
                  <a16:creationId xmlns:a16="http://schemas.microsoft.com/office/drawing/2014/main" id="{00000000-0008-0000-0300-000012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CMP0:3</a:t>
              </a:r>
              <a:endParaRPr lang="en-US" sz="1100"/>
            </a:p>
          </xdr:txBody>
        </xdr:sp>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926394" y="26670366"/>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882722" y="38429656"/>
            <a:ext cx="720073"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9</xdr:col>
      <xdr:colOff>0</xdr:colOff>
      <xdr:row>7</xdr:row>
      <xdr:rowOff>71776</xdr:rowOff>
    </xdr:from>
    <xdr:to>
      <xdr:col>11</xdr:col>
      <xdr:colOff>289297</xdr:colOff>
      <xdr:row>7</xdr:row>
      <xdr:rowOff>71776</xdr:rowOff>
    </xdr:to>
    <xdr:cxnSp macro="">
      <xdr:nvCxnSpPr>
        <xdr:cNvPr id="20" name="Straight Arrow Connector 19">
          <a:extLst>
            <a:ext uri="{FF2B5EF4-FFF2-40B4-BE49-F238E27FC236}">
              <a16:creationId xmlns:a16="http://schemas.microsoft.com/office/drawing/2014/main" id="{00000000-0008-0000-0300-000014000000}"/>
            </a:ext>
          </a:extLst>
        </xdr:cNvPr>
        <xdr:cNvCxnSpPr/>
      </xdr:nvCxnSpPr>
      <xdr:spPr>
        <a:xfrm flipH="1">
          <a:off x="5498224" y="1438121"/>
          <a:ext cx="1511125"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225331</xdr:colOff>
      <xdr:row>12</xdr:row>
      <xdr:rowOff>44189</xdr:rowOff>
    </xdr:from>
    <xdr:to>
      <xdr:col>4</xdr:col>
      <xdr:colOff>10958</xdr:colOff>
      <xdr:row>12</xdr:row>
      <xdr:rowOff>44189</xdr:rowOff>
    </xdr:to>
    <xdr:cxnSp macro="">
      <xdr:nvCxnSpPr>
        <xdr:cNvPr id="21" name="Straight Arrow Connector 20">
          <a:extLst>
            <a:ext uri="{FF2B5EF4-FFF2-40B4-BE49-F238E27FC236}">
              <a16:creationId xmlns:a16="http://schemas.microsoft.com/office/drawing/2014/main" id="{00000000-0008-0000-0300-000015000000}"/>
            </a:ext>
          </a:extLst>
        </xdr:cNvPr>
        <xdr:cNvCxnSpPr>
          <a:endCxn id="19" idx="3"/>
        </xdr:cNvCxnSpPr>
      </xdr:nvCxnSpPr>
      <xdr:spPr>
        <a:xfrm flipH="1">
          <a:off x="1441600" y="2432766"/>
          <a:ext cx="10018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1539</xdr:colOff>
      <xdr:row>9</xdr:row>
      <xdr:rowOff>39259</xdr:rowOff>
    </xdr:from>
    <xdr:to>
      <xdr:col>4</xdr:col>
      <xdr:colOff>1539</xdr:colOff>
      <xdr:row>12</xdr:row>
      <xdr:rowOff>48051</xdr:rowOff>
    </xdr:to>
    <xdr:cxnSp macro="">
      <xdr:nvCxnSpPr>
        <xdr:cNvPr id="22" name="Straight Arrow Connector 21">
          <a:extLst>
            <a:ext uri="{FF2B5EF4-FFF2-40B4-BE49-F238E27FC236}">
              <a16:creationId xmlns:a16="http://schemas.microsoft.com/office/drawing/2014/main" id="{00000000-0008-0000-0300-000016000000}"/>
            </a:ext>
          </a:extLst>
        </xdr:cNvPr>
        <xdr:cNvCxnSpPr/>
      </xdr:nvCxnSpPr>
      <xdr:spPr>
        <a:xfrm flipV="1">
          <a:off x="2434077" y="1819701"/>
          <a:ext cx="0" cy="61692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421181</xdr:colOff>
      <xdr:row>5</xdr:row>
      <xdr:rowOff>54645</xdr:rowOff>
    </xdr:from>
    <xdr:to>
      <xdr:col>6</xdr:col>
      <xdr:colOff>203822</xdr:colOff>
      <xdr:row>10</xdr:row>
      <xdr:rowOff>174405</xdr:rowOff>
    </xdr:to>
    <xdr:sp macro="" textlink="">
      <xdr:nvSpPr>
        <xdr:cNvPr id="23" name="Rectangle 22">
          <a:extLst>
            <a:ext uri="{FF2B5EF4-FFF2-40B4-BE49-F238E27FC236}">
              <a16:creationId xmlns:a16="http://schemas.microsoft.com/office/drawing/2014/main" id="{00000000-0008-0000-0300-000017000000}"/>
            </a:ext>
          </a:extLst>
        </xdr:cNvPr>
        <xdr:cNvSpPr/>
      </xdr:nvSpPr>
      <xdr:spPr>
        <a:xfrm>
          <a:off x="2853719" y="1043780"/>
          <a:ext cx="998911" cy="110889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00" baseline="0"/>
            <a:t>LPU_MDIS[CMP_n]</a:t>
          </a:r>
          <a:endParaRPr lang="en-US" sz="800"/>
        </a:p>
      </xdr:txBody>
    </xdr:sp>
    <xdr:clientData/>
  </xdr:twoCellAnchor>
  <xdr:oneCellAnchor>
    <xdr:from>
      <xdr:col>4</xdr:col>
      <xdr:colOff>553066</xdr:colOff>
      <xdr:row>11</xdr:row>
      <xdr:rowOff>212174</xdr:rowOff>
    </xdr:from>
    <xdr:ext cx="1589484" cy="657597"/>
    <xdr:sp macro="" textlink="">
      <xdr:nvSpPr>
        <xdr:cNvPr id="24" name="TextBox 23">
          <a:extLst>
            <a:ext uri="{FF2B5EF4-FFF2-40B4-BE49-F238E27FC236}">
              <a16:creationId xmlns:a16="http://schemas.microsoft.com/office/drawing/2014/main" id="{00000000-0008-0000-0300-000018000000}"/>
            </a:ext>
          </a:extLst>
        </xdr:cNvPr>
        <xdr:cNvSpPr txBox="1"/>
      </xdr:nvSpPr>
      <xdr:spPr>
        <a:xfrm>
          <a:off x="2985604" y="2388270"/>
          <a:ext cx="1589484"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2</xdr:col>
      <xdr:colOff>196078</xdr:colOff>
      <xdr:row>9</xdr:row>
      <xdr:rowOff>24773</xdr:rowOff>
    </xdr:from>
    <xdr:to>
      <xdr:col>4</xdr:col>
      <xdr:colOff>443163</xdr:colOff>
      <xdr:row>9</xdr:row>
      <xdr:rowOff>24773</xdr:rowOff>
    </xdr:to>
    <xdr:cxnSp macro="">
      <xdr:nvCxnSpPr>
        <xdr:cNvPr id="25" name="Straight Arrow Connector 24">
          <a:extLst>
            <a:ext uri="{FF2B5EF4-FFF2-40B4-BE49-F238E27FC236}">
              <a16:creationId xmlns:a16="http://schemas.microsoft.com/office/drawing/2014/main" id="{00000000-0008-0000-0300-000019000000}"/>
            </a:ext>
          </a:extLst>
        </xdr:cNvPr>
        <xdr:cNvCxnSpPr>
          <a:endCxn id="17" idx="3"/>
        </xdr:cNvCxnSpPr>
      </xdr:nvCxnSpPr>
      <xdr:spPr>
        <a:xfrm flipH="1">
          <a:off x="1412347" y="1805215"/>
          <a:ext cx="14633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374003</xdr:colOff>
      <xdr:row>1</xdr:row>
      <xdr:rowOff>60514</xdr:rowOff>
    </xdr:from>
    <xdr:ext cx="1057275" cy="419101"/>
    <xdr:sp macro="" textlink="">
      <xdr:nvSpPr>
        <xdr:cNvPr id="26" name="TextBox 25">
          <a:hlinkClick xmlns:r="http://schemas.openxmlformats.org/officeDocument/2006/relationships" r:id="rId3"/>
          <a:extLst>
            <a:ext uri="{FF2B5EF4-FFF2-40B4-BE49-F238E27FC236}">
              <a16:creationId xmlns:a16="http://schemas.microsoft.com/office/drawing/2014/main" id="{00000000-0008-0000-0300-00001A000000}"/>
            </a:ext>
          </a:extLst>
        </xdr:cNvPr>
        <xdr:cNvSpPr txBox="1"/>
      </xdr:nvSpPr>
      <xdr:spPr>
        <a:xfrm>
          <a:off x="7671618" y="25101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a:t>
          </a:r>
        </a:p>
      </xdr:txBody>
    </xdr:sp>
    <xdr:clientData/>
  </xdr:oneCellAnchor>
  <xdr:twoCellAnchor>
    <xdr:from>
      <xdr:col>13</xdr:col>
      <xdr:colOff>298658</xdr:colOff>
      <xdr:row>4</xdr:row>
      <xdr:rowOff>12742</xdr:rowOff>
    </xdr:from>
    <xdr:to>
      <xdr:col>13</xdr:col>
      <xdr:colOff>298658</xdr:colOff>
      <xdr:row>108</xdr:row>
      <xdr:rowOff>178270</xdr:rowOff>
    </xdr:to>
    <xdr:cxnSp macro="">
      <xdr:nvCxnSpPr>
        <xdr:cNvPr id="27" name="Straight Arrow Connector 26">
          <a:extLst>
            <a:ext uri="{FF2B5EF4-FFF2-40B4-BE49-F238E27FC236}">
              <a16:creationId xmlns:a16="http://schemas.microsoft.com/office/drawing/2014/main" id="{00000000-0008-0000-0300-00001B000000}"/>
            </a:ext>
          </a:extLst>
        </xdr:cNvPr>
        <xdr:cNvCxnSpPr/>
      </xdr:nvCxnSpPr>
      <xdr:spPr>
        <a:xfrm flipV="1">
          <a:off x="8249526" y="804821"/>
          <a:ext cx="0" cy="20027660"/>
        </a:xfrm>
        <a:prstGeom prst="straightConnector1">
          <a:avLst/>
        </a:prstGeom>
        <a:ln w="38100">
          <a:solidFill>
            <a:schemeClr val="accent2"/>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303951</xdr:colOff>
      <xdr:row>15</xdr:row>
      <xdr:rowOff>13183</xdr:rowOff>
    </xdr:from>
    <xdr:to>
      <xdr:col>27</xdr:col>
      <xdr:colOff>335970</xdr:colOff>
      <xdr:row>15</xdr:row>
      <xdr:rowOff>14848</xdr:rowOff>
    </xdr:to>
    <xdr:cxnSp macro="">
      <xdr:nvCxnSpPr>
        <xdr:cNvPr id="28" name="Straight Arrow Connector 27">
          <a:extLst>
            <a:ext uri="{FF2B5EF4-FFF2-40B4-BE49-F238E27FC236}">
              <a16:creationId xmlns:a16="http://schemas.microsoft.com/office/drawing/2014/main" id="{00000000-0008-0000-0300-00001C000000}"/>
            </a:ext>
          </a:extLst>
        </xdr:cNvPr>
        <xdr:cNvCxnSpPr>
          <a:endCxn id="33" idx="1"/>
        </xdr:cNvCxnSpPr>
      </xdr:nvCxnSpPr>
      <xdr:spPr>
        <a:xfrm>
          <a:off x="8209701" y="2980587"/>
          <a:ext cx="8545904" cy="1665"/>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335970</xdr:colOff>
      <xdr:row>11</xdr:row>
      <xdr:rowOff>132654</xdr:rowOff>
    </xdr:from>
    <xdr:to>
      <xdr:col>29</xdr:col>
      <xdr:colOff>171584</xdr:colOff>
      <xdr:row>15</xdr:row>
      <xdr:rowOff>105861</xdr:rowOff>
    </xdr:to>
    <xdr:grpSp>
      <xdr:nvGrpSpPr>
        <xdr:cNvPr id="29" name="Group 28">
          <a:extLst>
            <a:ext uri="{FF2B5EF4-FFF2-40B4-BE49-F238E27FC236}">
              <a16:creationId xmlns:a16="http://schemas.microsoft.com/office/drawing/2014/main" id="{00000000-0008-0000-0300-00001D000000}"/>
            </a:ext>
          </a:extLst>
        </xdr:cNvPr>
        <xdr:cNvGrpSpPr/>
      </xdr:nvGrpSpPr>
      <xdr:grpSpPr>
        <a:xfrm>
          <a:off x="16795170" y="2259628"/>
          <a:ext cx="1054814" cy="735207"/>
          <a:chOff x="24162576" y="1967445"/>
          <a:chExt cx="1056546" cy="778503"/>
        </a:xfrm>
      </xdr:grpSpPr>
      <xdr:grpSp>
        <xdr:nvGrpSpPr>
          <xdr:cNvPr id="30" name="Group 29">
            <a:extLst>
              <a:ext uri="{FF2B5EF4-FFF2-40B4-BE49-F238E27FC236}">
                <a16:creationId xmlns:a16="http://schemas.microsoft.com/office/drawing/2014/main" id="{00000000-0008-0000-0300-00001E000000}"/>
              </a:ext>
            </a:extLst>
          </xdr:cNvPr>
          <xdr:cNvGrpSpPr/>
        </xdr:nvGrpSpPr>
        <xdr:grpSpPr>
          <a:xfrm>
            <a:off x="24162576" y="1967445"/>
            <a:ext cx="1056546" cy="778503"/>
            <a:chOff x="24162576" y="1967445"/>
            <a:chExt cx="1056546" cy="778503"/>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24214225" y="1967445"/>
              <a:ext cx="1004897" cy="7633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SWT0</a:t>
              </a:r>
              <a:endParaRPr lang="en-US" sz="1100"/>
            </a:p>
          </xdr:txBody>
        </xdr: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24162576" y="2560592"/>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Timer Clock</a:t>
              </a:r>
            </a:p>
          </xdr:txBody>
        </xdr:sp>
      </xdr:grpSp>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24162576" y="1967445"/>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11</xdr:col>
      <xdr:colOff>289295</xdr:colOff>
      <xdr:row>12</xdr:row>
      <xdr:rowOff>13803</xdr:rowOff>
    </xdr:from>
    <xdr:to>
      <xdr:col>27</xdr:col>
      <xdr:colOff>335970</xdr:colOff>
      <xdr:row>12</xdr:row>
      <xdr:rowOff>13803</xdr:rowOff>
    </xdr:to>
    <xdr:cxnSp macro="">
      <xdr:nvCxnSpPr>
        <xdr:cNvPr id="34" name="Straight Arrow Connector 33">
          <a:extLst>
            <a:ext uri="{FF2B5EF4-FFF2-40B4-BE49-F238E27FC236}">
              <a16:creationId xmlns:a16="http://schemas.microsoft.com/office/drawing/2014/main" id="{00000000-0008-0000-0300-000022000000}"/>
            </a:ext>
          </a:extLst>
        </xdr:cNvPr>
        <xdr:cNvCxnSpPr>
          <a:endCxn id="31" idx="1"/>
        </xdr:cNvCxnSpPr>
      </xdr:nvCxnSpPr>
      <xdr:spPr>
        <a:xfrm>
          <a:off x="6978776" y="2402380"/>
          <a:ext cx="9776829"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377220</xdr:colOff>
      <xdr:row>17</xdr:row>
      <xdr:rowOff>123517</xdr:rowOff>
    </xdr:from>
    <xdr:to>
      <xdr:col>2</xdr:col>
      <xdr:colOff>209400</xdr:colOff>
      <xdr:row>21</xdr:row>
      <xdr:rowOff>168748</xdr:rowOff>
    </xdr:to>
    <xdr:grpSp>
      <xdr:nvGrpSpPr>
        <xdr:cNvPr id="35" name="Group 34">
          <a:extLst>
            <a:ext uri="{FF2B5EF4-FFF2-40B4-BE49-F238E27FC236}">
              <a16:creationId xmlns:a16="http://schemas.microsoft.com/office/drawing/2014/main" id="{00000000-0008-0000-0300-000023000000}"/>
            </a:ext>
          </a:extLst>
        </xdr:cNvPr>
        <xdr:cNvGrpSpPr/>
      </xdr:nvGrpSpPr>
      <xdr:grpSpPr>
        <a:xfrm>
          <a:off x="377220" y="3383552"/>
          <a:ext cx="1051380" cy="820483"/>
          <a:chOff x="1604006" y="26098866"/>
          <a:chExt cx="1048449" cy="771330"/>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STM0</a:t>
            </a:r>
            <a:endParaRPr lang="en-US" sz="1100"/>
          </a:p>
        </xdr:txBody>
      </xdr:sp>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1932250" y="26676228"/>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Module Clock</a:t>
            </a:r>
          </a:p>
        </xdr:txBody>
      </xdr:sp>
    </xdr:grpSp>
    <xdr:clientData/>
  </xdr:twoCellAnchor>
  <xdr:twoCellAnchor>
    <xdr:from>
      <xdr:col>2</xdr:col>
      <xdr:colOff>174231</xdr:colOff>
      <xdr:row>18</xdr:row>
      <xdr:rowOff>31734</xdr:rowOff>
    </xdr:from>
    <xdr:to>
      <xdr:col>9</xdr:col>
      <xdr:colOff>281969</xdr:colOff>
      <xdr:row>18</xdr:row>
      <xdr:rowOff>31734</xdr:rowOff>
    </xdr:to>
    <xdr:cxnSp macro="">
      <xdr:nvCxnSpPr>
        <xdr:cNvPr id="39" name="Straight Arrow Connector 38">
          <a:extLst>
            <a:ext uri="{FF2B5EF4-FFF2-40B4-BE49-F238E27FC236}">
              <a16:creationId xmlns:a16="http://schemas.microsoft.com/office/drawing/2014/main" id="{00000000-0008-0000-0300-000027000000}"/>
            </a:ext>
          </a:extLst>
        </xdr:cNvPr>
        <xdr:cNvCxnSpPr>
          <a:endCxn id="37" idx="3"/>
        </xdr:cNvCxnSpPr>
      </xdr:nvCxnSpPr>
      <xdr:spPr>
        <a:xfrm flipH="1">
          <a:off x="1390500" y="3570638"/>
          <a:ext cx="4364681"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387424</xdr:colOff>
      <xdr:row>18</xdr:row>
      <xdr:rowOff>161642</xdr:rowOff>
    </xdr:from>
    <xdr:to>
      <xdr:col>6</xdr:col>
      <xdr:colOff>164507</xdr:colOff>
      <xdr:row>23</xdr:row>
      <xdr:rowOff>174527</xdr:rowOff>
    </xdr:to>
    <xdr:sp macro="" textlink="">
      <xdr:nvSpPr>
        <xdr:cNvPr id="40" name="Rectangle 39">
          <a:extLst>
            <a:ext uri="{FF2B5EF4-FFF2-40B4-BE49-F238E27FC236}">
              <a16:creationId xmlns:a16="http://schemas.microsoft.com/office/drawing/2014/main" id="{00000000-0008-0000-0300-000028000000}"/>
            </a:ext>
          </a:extLst>
        </xdr:cNvPr>
        <xdr:cNvSpPr/>
      </xdr:nvSpPr>
      <xdr:spPr>
        <a:xfrm>
          <a:off x="2819962" y="3700546"/>
          <a:ext cx="993353" cy="10020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STM0 Clock Selector </a:t>
          </a:r>
          <a:r>
            <a:rPr lang="en-US" sz="900"/>
            <a:t>STM0_CR[CSL]</a:t>
          </a:r>
        </a:p>
      </xdr:txBody>
    </xdr:sp>
    <xdr:clientData/>
  </xdr:twoCellAnchor>
  <xdr:twoCellAnchor>
    <xdr:from>
      <xdr:col>6</xdr:col>
      <xdr:colOff>172656</xdr:colOff>
      <xdr:row>20</xdr:row>
      <xdr:rowOff>104344</xdr:rowOff>
    </xdr:from>
    <xdr:to>
      <xdr:col>15</xdr:col>
      <xdr:colOff>289297</xdr:colOff>
      <xdr:row>20</xdr:row>
      <xdr:rowOff>104344</xdr:rowOff>
    </xdr:to>
    <xdr:cxnSp macro="">
      <xdr:nvCxnSpPr>
        <xdr:cNvPr id="41" name="Straight Arrow Connector 40">
          <a:extLst>
            <a:ext uri="{FF2B5EF4-FFF2-40B4-BE49-F238E27FC236}">
              <a16:creationId xmlns:a16="http://schemas.microsoft.com/office/drawing/2014/main" id="{00000000-0008-0000-0300-000029000000}"/>
            </a:ext>
          </a:extLst>
        </xdr:cNvPr>
        <xdr:cNvCxnSpPr/>
      </xdr:nvCxnSpPr>
      <xdr:spPr>
        <a:xfrm flipH="1">
          <a:off x="3821464" y="4031575"/>
          <a:ext cx="5589852"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209400</xdr:colOff>
      <xdr:row>21</xdr:row>
      <xdr:rowOff>58844</xdr:rowOff>
    </xdr:from>
    <xdr:to>
      <xdr:col>4</xdr:col>
      <xdr:colOff>363157</xdr:colOff>
      <xdr:row>21</xdr:row>
      <xdr:rowOff>58844</xdr:rowOff>
    </xdr:to>
    <xdr:cxnSp macro="">
      <xdr:nvCxnSpPr>
        <xdr:cNvPr id="42" name="Straight Arrow Connector 41">
          <a:extLst>
            <a:ext uri="{FF2B5EF4-FFF2-40B4-BE49-F238E27FC236}">
              <a16:creationId xmlns:a16="http://schemas.microsoft.com/office/drawing/2014/main" id="{00000000-0008-0000-0300-00002A000000}"/>
            </a:ext>
          </a:extLst>
        </xdr:cNvPr>
        <xdr:cNvCxnSpPr>
          <a:endCxn id="38" idx="3"/>
        </xdr:cNvCxnSpPr>
      </xdr:nvCxnSpPr>
      <xdr:spPr>
        <a:xfrm flipH="1">
          <a:off x="1425669" y="4198556"/>
          <a:ext cx="13700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185844</xdr:colOff>
      <xdr:row>23</xdr:row>
      <xdr:rowOff>9143</xdr:rowOff>
    </xdr:from>
    <xdr:to>
      <xdr:col>9</xdr:col>
      <xdr:colOff>281969</xdr:colOff>
      <xdr:row>23</xdr:row>
      <xdr:rowOff>9143</xdr:rowOff>
    </xdr:to>
    <xdr:cxnSp macro="">
      <xdr:nvCxnSpPr>
        <xdr:cNvPr id="43" name="Straight Arrow Connector 42">
          <a:extLst>
            <a:ext uri="{FF2B5EF4-FFF2-40B4-BE49-F238E27FC236}">
              <a16:creationId xmlns:a16="http://schemas.microsoft.com/office/drawing/2014/main" id="{00000000-0008-0000-0300-00002B000000}"/>
            </a:ext>
          </a:extLst>
        </xdr:cNvPr>
        <xdr:cNvCxnSpPr/>
      </xdr:nvCxnSpPr>
      <xdr:spPr>
        <a:xfrm flipH="1">
          <a:off x="3834652" y="4537181"/>
          <a:ext cx="1920529"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281970</xdr:colOff>
      <xdr:row>4</xdr:row>
      <xdr:rowOff>8486</xdr:rowOff>
    </xdr:from>
    <xdr:to>
      <xdr:col>15</xdr:col>
      <xdr:colOff>281970</xdr:colOff>
      <xdr:row>108</xdr:row>
      <xdr:rowOff>183173</xdr:rowOff>
    </xdr:to>
    <xdr:cxnSp macro="">
      <xdr:nvCxnSpPr>
        <xdr:cNvPr id="44" name="Straight Arrow Connector 43">
          <a:extLst>
            <a:ext uri="{FF2B5EF4-FFF2-40B4-BE49-F238E27FC236}">
              <a16:creationId xmlns:a16="http://schemas.microsoft.com/office/drawing/2014/main" id="{00000000-0008-0000-0300-00002C000000}"/>
            </a:ext>
          </a:extLst>
        </xdr:cNvPr>
        <xdr:cNvCxnSpPr/>
      </xdr:nvCxnSpPr>
      <xdr:spPr>
        <a:xfrm>
          <a:off x="9403989" y="799794"/>
          <a:ext cx="0" cy="20396994"/>
        </a:xfrm>
        <a:prstGeom prst="straightConnector1">
          <a:avLst/>
        </a:prstGeom>
        <a:ln w="19050">
          <a:solidFill>
            <a:srgbClr val="FF000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377219</xdr:colOff>
      <xdr:row>1</xdr:row>
      <xdr:rowOff>60507</xdr:rowOff>
    </xdr:from>
    <xdr:ext cx="1057275" cy="419101"/>
    <xdr:sp macro="" textlink="">
      <xdr:nvSpPr>
        <xdr:cNvPr id="45" name="TextBox 44">
          <a:hlinkClick xmlns:r="http://schemas.openxmlformats.org/officeDocument/2006/relationships" r:id="rId4"/>
          <a:extLst>
            <a:ext uri="{FF2B5EF4-FFF2-40B4-BE49-F238E27FC236}">
              <a16:creationId xmlns:a16="http://schemas.microsoft.com/office/drawing/2014/main" id="{00000000-0008-0000-0300-00002D000000}"/>
            </a:ext>
          </a:extLst>
        </xdr:cNvPr>
        <xdr:cNvSpPr txBox="1"/>
      </xdr:nvSpPr>
      <xdr:spPr>
        <a:xfrm>
          <a:off x="8891104" y="25100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4</xdr:col>
      <xdr:colOff>569632</xdr:colOff>
      <xdr:row>24</xdr:row>
      <xdr:rowOff>202297</xdr:rowOff>
    </xdr:from>
    <xdr:ext cx="683070" cy="395321"/>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3021284" y="4981362"/>
          <a:ext cx="683070" cy="3953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FS80</a:t>
          </a:r>
        </a:p>
        <a:p>
          <a:r>
            <a:rPr lang="en-US" sz="800"/>
            <a:t>1 - FXOSC</a:t>
          </a:r>
        </a:p>
      </xdr:txBody>
    </xdr:sp>
    <xdr:clientData/>
  </xdr:oneCellAnchor>
  <xdr:twoCellAnchor>
    <xdr:from>
      <xdr:col>6</xdr:col>
      <xdr:colOff>420437</xdr:colOff>
      <xdr:row>29</xdr:row>
      <xdr:rowOff>60068</xdr:rowOff>
    </xdr:from>
    <xdr:to>
      <xdr:col>8</xdr:col>
      <xdr:colOff>197521</xdr:colOff>
      <xdr:row>33</xdr:row>
      <xdr:rowOff>193278</xdr:rowOff>
    </xdr:to>
    <xdr:sp macro="" textlink="">
      <xdr:nvSpPr>
        <xdr:cNvPr id="47" name="Rectangle 46">
          <a:extLst>
            <a:ext uri="{FF2B5EF4-FFF2-40B4-BE49-F238E27FC236}">
              <a16:creationId xmlns:a16="http://schemas.microsoft.com/office/drawing/2014/main" id="{00000000-0008-0000-0300-00002F000000}"/>
            </a:ext>
          </a:extLst>
        </xdr:cNvPr>
        <xdr:cNvSpPr/>
      </xdr:nvSpPr>
      <xdr:spPr>
        <a:xfrm>
          <a:off x="4085920" y="5788206"/>
          <a:ext cx="998911" cy="92148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RTC Clock Selector</a:t>
          </a:r>
        </a:p>
        <a:p>
          <a:pPr algn="ctr"/>
          <a:r>
            <a:rPr lang="en-US" sz="800"/>
            <a:t>RTC_RTCC[CLKSEL]</a:t>
          </a:r>
        </a:p>
      </xdr:txBody>
    </xdr:sp>
    <xdr:clientData/>
  </xdr:twoCellAnchor>
  <xdr:twoCellAnchor>
    <xdr:from>
      <xdr:col>8</xdr:col>
      <xdr:colOff>236483</xdr:colOff>
      <xdr:row>29</xdr:row>
      <xdr:rowOff>179504</xdr:rowOff>
    </xdr:from>
    <xdr:to>
      <xdr:col>15</xdr:col>
      <xdr:colOff>267317</xdr:colOff>
      <xdr:row>29</xdr:row>
      <xdr:rowOff>179504</xdr:rowOff>
    </xdr:to>
    <xdr:cxnSp macro="">
      <xdr:nvCxnSpPr>
        <xdr:cNvPr id="48" name="Straight Arrow Connector 47">
          <a:extLst>
            <a:ext uri="{FF2B5EF4-FFF2-40B4-BE49-F238E27FC236}">
              <a16:creationId xmlns:a16="http://schemas.microsoft.com/office/drawing/2014/main" id="{00000000-0008-0000-0300-000030000000}"/>
            </a:ext>
          </a:extLst>
        </xdr:cNvPr>
        <xdr:cNvCxnSpPr/>
      </xdr:nvCxnSpPr>
      <xdr:spPr>
        <a:xfrm flipH="1">
          <a:off x="5123793" y="5907642"/>
          <a:ext cx="4307231"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236483</xdr:colOff>
      <xdr:row>31</xdr:row>
      <xdr:rowOff>16727</xdr:rowOff>
    </xdr:from>
    <xdr:to>
      <xdr:col>17</xdr:col>
      <xdr:colOff>303952</xdr:colOff>
      <xdr:row>31</xdr:row>
      <xdr:rowOff>16727</xdr:rowOff>
    </xdr:to>
    <xdr:cxnSp macro="">
      <xdr:nvCxnSpPr>
        <xdr:cNvPr id="49" name="Straight Arrow Connector 48">
          <a:extLst>
            <a:ext uri="{FF2B5EF4-FFF2-40B4-BE49-F238E27FC236}">
              <a16:creationId xmlns:a16="http://schemas.microsoft.com/office/drawing/2014/main" id="{00000000-0008-0000-0300-000031000000}"/>
            </a:ext>
          </a:extLst>
        </xdr:cNvPr>
        <xdr:cNvCxnSpPr/>
      </xdr:nvCxnSpPr>
      <xdr:spPr>
        <a:xfrm flipH="1">
          <a:off x="5123793" y="6125865"/>
          <a:ext cx="5565693"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243052</xdr:colOff>
      <xdr:row>32</xdr:row>
      <xdr:rowOff>99031</xdr:rowOff>
    </xdr:from>
    <xdr:to>
      <xdr:col>19</xdr:col>
      <xdr:colOff>289299</xdr:colOff>
      <xdr:row>32</xdr:row>
      <xdr:rowOff>99031</xdr:rowOff>
    </xdr:to>
    <xdr:cxnSp macro="">
      <xdr:nvCxnSpPr>
        <xdr:cNvPr id="50" name="Straight Arrow Connector 49">
          <a:extLst>
            <a:ext uri="{FF2B5EF4-FFF2-40B4-BE49-F238E27FC236}">
              <a16:creationId xmlns:a16="http://schemas.microsoft.com/office/drawing/2014/main" id="{00000000-0008-0000-0300-000032000000}"/>
            </a:ext>
          </a:extLst>
        </xdr:cNvPr>
        <xdr:cNvCxnSpPr/>
      </xdr:nvCxnSpPr>
      <xdr:spPr>
        <a:xfrm flipH="1">
          <a:off x="5130362" y="6405238"/>
          <a:ext cx="6766299"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243052</xdr:colOff>
      <xdr:row>33</xdr:row>
      <xdr:rowOff>94687</xdr:rowOff>
    </xdr:from>
    <xdr:to>
      <xdr:col>21</xdr:col>
      <xdr:colOff>325932</xdr:colOff>
      <xdr:row>33</xdr:row>
      <xdr:rowOff>94687</xdr:rowOff>
    </xdr:to>
    <xdr:cxnSp macro="">
      <xdr:nvCxnSpPr>
        <xdr:cNvPr id="51" name="Straight Arrow Connector 50">
          <a:extLst>
            <a:ext uri="{FF2B5EF4-FFF2-40B4-BE49-F238E27FC236}">
              <a16:creationId xmlns:a16="http://schemas.microsoft.com/office/drawing/2014/main" id="{00000000-0008-0000-0300-000033000000}"/>
            </a:ext>
          </a:extLst>
        </xdr:cNvPr>
        <xdr:cNvCxnSpPr/>
      </xdr:nvCxnSpPr>
      <xdr:spPr>
        <a:xfrm flipH="1">
          <a:off x="5130362" y="6611101"/>
          <a:ext cx="8024760" cy="0"/>
        </a:xfrm>
        <a:prstGeom prst="straightConnector1">
          <a:avLst/>
        </a:prstGeom>
        <a:ln w="38100">
          <a:solidFill>
            <a:schemeClr val="accent3">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202052</xdr:colOff>
      <xdr:row>31</xdr:row>
      <xdr:rowOff>11493</xdr:rowOff>
    </xdr:from>
    <xdr:to>
      <xdr:col>3</xdr:col>
      <xdr:colOff>525518</xdr:colOff>
      <xdr:row>31</xdr:row>
      <xdr:rowOff>11493</xdr:rowOff>
    </xdr:to>
    <xdr:cxnSp macro="">
      <xdr:nvCxnSpPr>
        <xdr:cNvPr id="52" name="Straight Arrow Connector 51">
          <a:extLst>
            <a:ext uri="{FF2B5EF4-FFF2-40B4-BE49-F238E27FC236}">
              <a16:creationId xmlns:a16="http://schemas.microsoft.com/office/drawing/2014/main" id="{00000000-0008-0000-0300-000034000000}"/>
            </a:ext>
          </a:extLst>
        </xdr:cNvPr>
        <xdr:cNvCxnSpPr/>
      </xdr:nvCxnSpPr>
      <xdr:spPr>
        <a:xfrm flipH="1">
          <a:off x="1423880" y="6192890"/>
          <a:ext cx="93437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552621</xdr:colOff>
      <xdr:row>34</xdr:row>
      <xdr:rowOff>204919</xdr:rowOff>
    </xdr:from>
    <xdr:ext cx="997659" cy="614796"/>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4218104" y="6931540"/>
          <a:ext cx="997659" cy="6147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SXOSC</a:t>
          </a:r>
        </a:p>
        <a:p>
          <a:r>
            <a:rPr lang="en-US" sz="800"/>
            <a:t>1 - SIRC_DIV_CLK</a:t>
          </a:r>
        </a:p>
        <a:p>
          <a:r>
            <a:rPr lang="en-US" sz="800"/>
            <a:t>2</a:t>
          </a:r>
          <a:r>
            <a:rPr lang="en-US" sz="800" baseline="0"/>
            <a:t> - FIRC</a:t>
          </a:r>
        </a:p>
        <a:p>
          <a:r>
            <a:rPr lang="en-US" sz="800" baseline="0"/>
            <a:t>3 - FXOSC</a:t>
          </a:r>
          <a:endParaRPr lang="en-US" sz="800"/>
        </a:p>
      </xdr:txBody>
    </xdr:sp>
    <xdr:clientData/>
  </xdr:oneCellAnchor>
  <xdr:twoCellAnchor>
    <xdr:from>
      <xdr:col>0</xdr:col>
      <xdr:colOff>362567</xdr:colOff>
      <xdr:row>27</xdr:row>
      <xdr:rowOff>111745</xdr:rowOff>
    </xdr:from>
    <xdr:to>
      <xdr:col>2</xdr:col>
      <xdr:colOff>202051</xdr:colOff>
      <xdr:row>31</xdr:row>
      <xdr:rowOff>163218</xdr:rowOff>
    </xdr:to>
    <xdr:grpSp>
      <xdr:nvGrpSpPr>
        <xdr:cNvPr id="54" name="Group 53">
          <a:extLst>
            <a:ext uri="{FF2B5EF4-FFF2-40B4-BE49-F238E27FC236}">
              <a16:creationId xmlns:a16="http://schemas.microsoft.com/office/drawing/2014/main" id="{00000000-0008-0000-0300-000036000000}"/>
            </a:ext>
          </a:extLst>
        </xdr:cNvPr>
        <xdr:cNvGrpSpPr/>
      </xdr:nvGrpSpPr>
      <xdr:grpSpPr>
        <a:xfrm>
          <a:off x="362567" y="5313223"/>
          <a:ext cx="1058684" cy="846604"/>
          <a:chOff x="1585290" y="23772213"/>
          <a:chExt cx="1053921" cy="833391"/>
        </a:xfrm>
      </xdr:grpSpPr>
      <xdr:sp macro="" textlink="">
        <xdr:nvSpPr>
          <xdr:cNvPr id="55" name="Rectangle 54">
            <a:extLst>
              <a:ext uri="{FF2B5EF4-FFF2-40B4-BE49-F238E27FC236}">
                <a16:creationId xmlns:a16="http://schemas.microsoft.com/office/drawing/2014/main" id="{00000000-0008-0000-0300-000037000000}"/>
              </a:ext>
            </a:extLst>
          </xdr:cNvPr>
          <xdr:cNvSpPr/>
        </xdr:nvSpPr>
        <xdr:spPr>
          <a:xfrm>
            <a:off x="1585290" y="23798097"/>
            <a:ext cx="999933" cy="80750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RTC-API</a:t>
            </a:r>
            <a:endParaRPr lang="en-US" sz="1100"/>
          </a:p>
        </xdr:txBody>
      </xdr:sp>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2018891" y="24363416"/>
            <a:ext cx="620320"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RTC Counter</a:t>
            </a:r>
          </a:p>
        </xdr:txBody>
      </xdr:sp>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2004604" y="23772213"/>
            <a:ext cx="620320"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6</xdr:col>
      <xdr:colOff>32845</xdr:colOff>
      <xdr:row>28</xdr:row>
      <xdr:rowOff>12685</xdr:rowOff>
    </xdr:from>
    <xdr:to>
      <xdr:col>11</xdr:col>
      <xdr:colOff>296625</xdr:colOff>
      <xdr:row>28</xdr:row>
      <xdr:rowOff>12685</xdr:rowOff>
    </xdr:to>
    <xdr:cxnSp macro="">
      <xdr:nvCxnSpPr>
        <xdr:cNvPr id="58" name="Straight Arrow Connector 57">
          <a:extLst>
            <a:ext uri="{FF2B5EF4-FFF2-40B4-BE49-F238E27FC236}">
              <a16:creationId xmlns:a16="http://schemas.microsoft.com/office/drawing/2014/main" id="{00000000-0008-0000-0300-00003A000000}"/>
            </a:ext>
          </a:extLst>
        </xdr:cNvPr>
        <xdr:cNvCxnSpPr/>
      </xdr:nvCxnSpPr>
      <xdr:spPr>
        <a:xfrm flipH="1">
          <a:off x="3698328" y="5550323"/>
          <a:ext cx="3318349"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16</xdr:col>
      <xdr:colOff>377219</xdr:colOff>
      <xdr:row>1</xdr:row>
      <xdr:rowOff>64332</xdr:rowOff>
    </xdr:from>
    <xdr:ext cx="1057275" cy="419101"/>
    <xdr:sp macro="" textlink="">
      <xdr:nvSpPr>
        <xdr:cNvPr id="59" name="TextBox 58">
          <a:hlinkClick xmlns:r="http://schemas.openxmlformats.org/officeDocument/2006/relationships" r:id="rId5"/>
          <a:extLst>
            <a:ext uri="{FF2B5EF4-FFF2-40B4-BE49-F238E27FC236}">
              <a16:creationId xmlns:a16="http://schemas.microsoft.com/office/drawing/2014/main" id="{00000000-0008-0000-0300-00003B000000}"/>
            </a:ext>
          </a:extLst>
        </xdr:cNvPr>
        <xdr:cNvSpPr txBox="1"/>
      </xdr:nvSpPr>
      <xdr:spPr>
        <a:xfrm>
          <a:off x="10107373" y="25483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a:t>
          </a:r>
        </a:p>
      </xdr:txBody>
    </xdr:sp>
    <xdr:clientData/>
  </xdr:oneCellAnchor>
  <xdr:twoCellAnchor>
    <xdr:from>
      <xdr:col>17</xdr:col>
      <xdr:colOff>289249</xdr:colOff>
      <xdr:row>4</xdr:row>
      <xdr:rowOff>15494</xdr:rowOff>
    </xdr:from>
    <xdr:to>
      <xdr:col>17</xdr:col>
      <xdr:colOff>289249</xdr:colOff>
      <xdr:row>108</xdr:row>
      <xdr:rowOff>175847</xdr:rowOff>
    </xdr:to>
    <xdr:cxnSp macro="">
      <xdr:nvCxnSpPr>
        <xdr:cNvPr id="60" name="Straight Arrow Connector 59">
          <a:extLst>
            <a:ext uri="{FF2B5EF4-FFF2-40B4-BE49-F238E27FC236}">
              <a16:creationId xmlns:a16="http://schemas.microsoft.com/office/drawing/2014/main" id="{00000000-0008-0000-0300-00003C000000}"/>
            </a:ext>
          </a:extLst>
        </xdr:cNvPr>
        <xdr:cNvCxnSpPr/>
      </xdr:nvCxnSpPr>
      <xdr:spPr>
        <a:xfrm>
          <a:off x="10627537" y="806802"/>
          <a:ext cx="0" cy="20382660"/>
        </a:xfrm>
        <a:prstGeom prst="straightConnector1">
          <a:avLst/>
        </a:prstGeom>
        <a:ln w="19050">
          <a:solidFill>
            <a:schemeClr val="tx2">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18</xdr:col>
      <xdr:colOff>369893</xdr:colOff>
      <xdr:row>1</xdr:row>
      <xdr:rowOff>53181</xdr:rowOff>
    </xdr:from>
    <xdr:ext cx="1057275" cy="419101"/>
    <xdr:sp macro="" textlink="">
      <xdr:nvSpPr>
        <xdr:cNvPr id="61" name="TextBox 60">
          <a:hlinkClick xmlns:r="http://schemas.openxmlformats.org/officeDocument/2006/relationships" r:id="rId6"/>
          <a:extLst>
            <a:ext uri="{FF2B5EF4-FFF2-40B4-BE49-F238E27FC236}">
              <a16:creationId xmlns:a16="http://schemas.microsoft.com/office/drawing/2014/main" id="{00000000-0008-0000-0300-00003D000000}"/>
            </a:ext>
          </a:extLst>
        </xdr:cNvPr>
        <xdr:cNvSpPr txBox="1"/>
      </xdr:nvSpPr>
      <xdr:spPr>
        <a:xfrm>
          <a:off x="11316316" y="24368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SXOSC</a:t>
          </a:r>
        </a:p>
      </xdr:txBody>
    </xdr:sp>
    <xdr:clientData/>
  </xdr:oneCellAnchor>
  <xdr:twoCellAnchor>
    <xdr:from>
      <xdr:col>19</xdr:col>
      <xdr:colOff>286265</xdr:colOff>
      <xdr:row>4</xdr:row>
      <xdr:rowOff>5412</xdr:rowOff>
    </xdr:from>
    <xdr:to>
      <xdr:col>19</xdr:col>
      <xdr:colOff>286265</xdr:colOff>
      <xdr:row>108</xdr:row>
      <xdr:rowOff>168520</xdr:rowOff>
    </xdr:to>
    <xdr:cxnSp macro="">
      <xdr:nvCxnSpPr>
        <xdr:cNvPr id="62" name="Straight Arrow Connector 61">
          <a:extLst>
            <a:ext uri="{FF2B5EF4-FFF2-40B4-BE49-F238E27FC236}">
              <a16:creationId xmlns:a16="http://schemas.microsoft.com/office/drawing/2014/main" id="{00000000-0008-0000-0300-00003E000000}"/>
            </a:ext>
          </a:extLst>
        </xdr:cNvPr>
        <xdr:cNvCxnSpPr/>
      </xdr:nvCxnSpPr>
      <xdr:spPr>
        <a:xfrm flipV="1">
          <a:off x="11840823" y="796720"/>
          <a:ext cx="0" cy="20385415"/>
        </a:xfrm>
        <a:prstGeom prst="straightConnector1">
          <a:avLst/>
        </a:prstGeom>
        <a:ln w="38100">
          <a:solidFill>
            <a:srgbClr val="92D05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307843</xdr:colOff>
      <xdr:row>4</xdr:row>
      <xdr:rowOff>8465</xdr:rowOff>
    </xdr:from>
    <xdr:to>
      <xdr:col>21</xdr:col>
      <xdr:colOff>307843</xdr:colOff>
      <xdr:row>108</xdr:row>
      <xdr:rowOff>175847</xdr:rowOff>
    </xdr:to>
    <xdr:cxnSp macro="">
      <xdr:nvCxnSpPr>
        <xdr:cNvPr id="63" name="Straight Arrow Connector 62">
          <a:extLst>
            <a:ext uri="{FF2B5EF4-FFF2-40B4-BE49-F238E27FC236}">
              <a16:creationId xmlns:a16="http://schemas.microsoft.com/office/drawing/2014/main" id="{00000000-0008-0000-0300-00003F000000}"/>
            </a:ext>
          </a:extLst>
        </xdr:cNvPr>
        <xdr:cNvCxnSpPr/>
      </xdr:nvCxnSpPr>
      <xdr:spPr>
        <a:xfrm flipV="1">
          <a:off x="13078670" y="799773"/>
          <a:ext cx="0" cy="20389689"/>
        </a:xfrm>
        <a:prstGeom prst="straightConnector1">
          <a:avLst/>
        </a:prstGeom>
        <a:ln w="38100">
          <a:solidFill>
            <a:schemeClr val="accent3">
              <a:lumMod val="75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20</xdr:col>
      <xdr:colOff>384547</xdr:colOff>
      <xdr:row>1</xdr:row>
      <xdr:rowOff>53180</xdr:rowOff>
    </xdr:from>
    <xdr:ext cx="1057275" cy="419101"/>
    <xdr:sp macro="" textlink="">
      <xdr:nvSpPr>
        <xdr:cNvPr id="64" name="TextBox 63">
          <a:hlinkClick xmlns:r="http://schemas.openxmlformats.org/officeDocument/2006/relationships" r:id="rId7"/>
          <a:extLst>
            <a:ext uri="{FF2B5EF4-FFF2-40B4-BE49-F238E27FC236}">
              <a16:creationId xmlns:a16="http://schemas.microsoft.com/office/drawing/2014/main" id="{00000000-0008-0000-0300-000040000000}"/>
            </a:ext>
          </a:extLst>
        </xdr:cNvPr>
        <xdr:cNvSpPr txBox="1"/>
      </xdr:nvSpPr>
      <xdr:spPr>
        <a:xfrm>
          <a:off x="12547239" y="24368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SIRC_DIV_CLK</a:t>
          </a:r>
        </a:p>
      </xdr:txBody>
    </xdr:sp>
    <xdr:clientData/>
  </xdr:oneCellAnchor>
  <xdr:twoCellAnchor>
    <xdr:from>
      <xdr:col>27</xdr:col>
      <xdr:colOff>377947</xdr:colOff>
      <xdr:row>19</xdr:row>
      <xdr:rowOff>56998</xdr:rowOff>
    </xdr:from>
    <xdr:to>
      <xdr:col>29</xdr:col>
      <xdr:colOff>210158</xdr:colOff>
      <xdr:row>23</xdr:row>
      <xdr:rowOff>125098</xdr:rowOff>
    </xdr:to>
    <xdr:grpSp>
      <xdr:nvGrpSpPr>
        <xdr:cNvPr id="65" name="Group 64">
          <a:extLst>
            <a:ext uri="{FF2B5EF4-FFF2-40B4-BE49-F238E27FC236}">
              <a16:creationId xmlns:a16="http://schemas.microsoft.com/office/drawing/2014/main" id="{00000000-0008-0000-0300-000041000000}"/>
            </a:ext>
          </a:extLst>
        </xdr:cNvPr>
        <xdr:cNvGrpSpPr/>
      </xdr:nvGrpSpPr>
      <xdr:grpSpPr>
        <a:xfrm>
          <a:off x="16837147" y="3694720"/>
          <a:ext cx="1051411" cy="856604"/>
          <a:chOff x="21770914" y="23964432"/>
          <a:chExt cx="1054118" cy="779660"/>
        </a:xfrm>
      </xdr:grpSpPr>
      <xdr:grpSp>
        <xdr:nvGrpSpPr>
          <xdr:cNvPr id="66" name="Group 65">
            <a:extLst>
              <a:ext uri="{FF2B5EF4-FFF2-40B4-BE49-F238E27FC236}">
                <a16:creationId xmlns:a16="http://schemas.microsoft.com/office/drawing/2014/main" id="{00000000-0008-0000-0300-000042000000}"/>
              </a:ext>
            </a:extLst>
          </xdr:cNvPr>
          <xdr:cNvGrpSpPr/>
        </xdr:nvGrpSpPr>
        <xdr:grpSpPr>
          <a:xfrm>
            <a:off x="21782331" y="23964432"/>
            <a:ext cx="1042701" cy="779660"/>
            <a:chOff x="21612277" y="22624897"/>
            <a:chExt cx="1035312" cy="779660"/>
          </a:xfrm>
        </xdr:grpSpPr>
        <xdr:sp macro="" textlink="">
          <xdr:nvSpPr>
            <xdr:cNvPr id="68" name="Rectangle 67">
              <a:extLst>
                <a:ext uri="{FF2B5EF4-FFF2-40B4-BE49-F238E27FC236}">
                  <a16:creationId xmlns:a16="http://schemas.microsoft.com/office/drawing/2014/main" id="{00000000-0008-0000-0300-000044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WKPU</a:t>
              </a:r>
            </a:p>
          </xdr:txBody>
        </xdr:sp>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67" name="TextBox 66">
            <a:extLst>
              <a:ext uri="{FF2B5EF4-FFF2-40B4-BE49-F238E27FC236}">
                <a16:creationId xmlns:a16="http://schemas.microsoft.com/office/drawing/2014/main" id="{00000000-0008-0000-0300-000043000000}"/>
              </a:ext>
            </a:extLst>
          </xdr:cNvPr>
          <xdr:cNvSpPr txBox="1"/>
        </xdr:nvSpPr>
        <xdr:spPr>
          <a:xfrm>
            <a:off x="21770914" y="2399456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11</xdr:col>
      <xdr:colOff>274643</xdr:colOff>
      <xdr:row>19</xdr:row>
      <xdr:rowOff>133882</xdr:rowOff>
    </xdr:from>
    <xdr:to>
      <xdr:col>23</xdr:col>
      <xdr:colOff>604345</xdr:colOff>
      <xdr:row>19</xdr:row>
      <xdr:rowOff>133882</xdr:rowOff>
    </xdr:to>
    <xdr:cxnSp macro="">
      <xdr:nvCxnSpPr>
        <xdr:cNvPr id="70" name="Straight Arrow Connector 69">
          <a:extLst>
            <a:ext uri="{FF2B5EF4-FFF2-40B4-BE49-F238E27FC236}">
              <a16:creationId xmlns:a16="http://schemas.microsoft.com/office/drawing/2014/main" id="{00000000-0008-0000-0300-000046000000}"/>
            </a:ext>
          </a:extLst>
        </xdr:cNvPr>
        <xdr:cNvCxnSpPr/>
      </xdr:nvCxnSpPr>
      <xdr:spPr>
        <a:xfrm>
          <a:off x="6994695" y="3891330"/>
          <a:ext cx="7660667"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330792</xdr:colOff>
      <xdr:row>23</xdr:row>
      <xdr:rowOff>28994</xdr:rowOff>
    </xdr:from>
    <xdr:to>
      <xdr:col>27</xdr:col>
      <xdr:colOff>389363</xdr:colOff>
      <xdr:row>23</xdr:row>
      <xdr:rowOff>28994</xdr:rowOff>
    </xdr:to>
    <xdr:cxnSp macro="">
      <xdr:nvCxnSpPr>
        <xdr:cNvPr id="71" name="Straight Arrow Connector 70">
          <a:extLst>
            <a:ext uri="{FF2B5EF4-FFF2-40B4-BE49-F238E27FC236}">
              <a16:creationId xmlns:a16="http://schemas.microsoft.com/office/drawing/2014/main" id="{00000000-0008-0000-0300-000047000000}"/>
            </a:ext>
          </a:extLst>
        </xdr:cNvPr>
        <xdr:cNvCxnSpPr>
          <a:endCxn id="69" idx="1"/>
        </xdr:cNvCxnSpPr>
      </xdr:nvCxnSpPr>
      <xdr:spPr>
        <a:xfrm>
          <a:off x="16214551" y="4581287"/>
          <a:ext cx="66948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336828</xdr:colOff>
      <xdr:row>20</xdr:row>
      <xdr:rowOff>13138</xdr:rowOff>
    </xdr:from>
    <xdr:to>
      <xdr:col>26</xdr:col>
      <xdr:colOff>336828</xdr:colOff>
      <xdr:row>23</xdr:row>
      <xdr:rowOff>33440</xdr:rowOff>
    </xdr:to>
    <xdr:cxnSp macro="">
      <xdr:nvCxnSpPr>
        <xdr:cNvPr id="72" name="Straight Arrow Connector 71">
          <a:extLst>
            <a:ext uri="{FF2B5EF4-FFF2-40B4-BE49-F238E27FC236}">
              <a16:creationId xmlns:a16="http://schemas.microsoft.com/office/drawing/2014/main" id="{00000000-0008-0000-0300-000048000000}"/>
            </a:ext>
          </a:extLst>
        </xdr:cNvPr>
        <xdr:cNvCxnSpPr/>
      </xdr:nvCxnSpPr>
      <xdr:spPr>
        <a:xfrm flipV="1">
          <a:off x="16220587" y="3967655"/>
          <a:ext cx="0" cy="61807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399199</xdr:colOff>
      <xdr:row>38</xdr:row>
      <xdr:rowOff>166014</xdr:rowOff>
    </xdr:from>
    <xdr:to>
      <xdr:col>2</xdr:col>
      <xdr:colOff>196024</xdr:colOff>
      <xdr:row>42</xdr:row>
      <xdr:rowOff>175344</xdr:rowOff>
    </xdr:to>
    <xdr:grpSp>
      <xdr:nvGrpSpPr>
        <xdr:cNvPr id="73" name="Group 72">
          <a:extLst>
            <a:ext uri="{FF2B5EF4-FFF2-40B4-BE49-F238E27FC236}">
              <a16:creationId xmlns:a16="http://schemas.microsoft.com/office/drawing/2014/main" id="{00000000-0008-0000-0300-000049000000}"/>
            </a:ext>
          </a:extLst>
        </xdr:cNvPr>
        <xdr:cNvGrpSpPr/>
      </xdr:nvGrpSpPr>
      <xdr:grpSpPr>
        <a:xfrm>
          <a:off x="399199" y="7527597"/>
          <a:ext cx="1016025" cy="758077"/>
          <a:chOff x="1604006" y="26098866"/>
          <a:chExt cx="1013280" cy="771330"/>
        </a:xfrm>
      </xdr:grpSpPr>
      <xdr:sp macro="" textlink="">
        <xdr:nvSpPr>
          <xdr:cNvPr id="74" name="Rectangle 73">
            <a:extLst>
              <a:ext uri="{FF2B5EF4-FFF2-40B4-BE49-F238E27FC236}">
                <a16:creationId xmlns:a16="http://schemas.microsoft.com/office/drawing/2014/main" id="{00000000-0008-0000-0300-00004A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PMC_DIG</a:t>
            </a:r>
            <a:endParaRPr lang="en-US" sz="1100"/>
          </a:p>
        </xdr:txBody>
      </xdr:sp>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2</xdr:col>
      <xdr:colOff>196024</xdr:colOff>
      <xdr:row>39</xdr:row>
      <xdr:rowOff>74231</xdr:rowOff>
    </xdr:from>
    <xdr:to>
      <xdr:col>11</xdr:col>
      <xdr:colOff>281970</xdr:colOff>
      <xdr:row>39</xdr:row>
      <xdr:rowOff>74231</xdr:rowOff>
    </xdr:to>
    <xdr:cxnSp macro="">
      <xdr:nvCxnSpPr>
        <xdr:cNvPr id="76" name="Straight Arrow Connector 75">
          <a:extLst>
            <a:ext uri="{FF2B5EF4-FFF2-40B4-BE49-F238E27FC236}">
              <a16:creationId xmlns:a16="http://schemas.microsoft.com/office/drawing/2014/main" id="{00000000-0008-0000-0300-00004C000000}"/>
            </a:ext>
          </a:extLst>
        </xdr:cNvPr>
        <xdr:cNvCxnSpPr>
          <a:endCxn id="75" idx="3"/>
        </xdr:cNvCxnSpPr>
      </xdr:nvCxnSpPr>
      <xdr:spPr>
        <a:xfrm flipH="1">
          <a:off x="1419235" y="7583942"/>
          <a:ext cx="559039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369893</xdr:colOff>
      <xdr:row>44</xdr:row>
      <xdr:rowOff>19477</xdr:rowOff>
    </xdr:from>
    <xdr:to>
      <xdr:col>2</xdr:col>
      <xdr:colOff>202073</xdr:colOff>
      <xdr:row>48</xdr:row>
      <xdr:rowOff>28807</xdr:rowOff>
    </xdr:to>
    <xdr:grpSp>
      <xdr:nvGrpSpPr>
        <xdr:cNvPr id="77" name="Group 76">
          <a:extLst>
            <a:ext uri="{FF2B5EF4-FFF2-40B4-BE49-F238E27FC236}">
              <a16:creationId xmlns:a16="http://schemas.microsoft.com/office/drawing/2014/main" id="{00000000-0008-0000-0300-00004D000000}"/>
            </a:ext>
          </a:extLst>
        </xdr:cNvPr>
        <xdr:cNvGrpSpPr/>
      </xdr:nvGrpSpPr>
      <xdr:grpSpPr>
        <a:xfrm>
          <a:off x="369893" y="8500868"/>
          <a:ext cx="1051380" cy="751452"/>
          <a:chOff x="1604006" y="26098866"/>
          <a:chExt cx="1048449" cy="771330"/>
        </a:xfrm>
      </xdr:grpSpPr>
      <xdr:sp macro="" textlink="">
        <xdr:nvSpPr>
          <xdr:cNvPr id="78" name="Rectangle 77">
            <a:extLst>
              <a:ext uri="{FF2B5EF4-FFF2-40B4-BE49-F238E27FC236}">
                <a16:creationId xmlns:a16="http://schemas.microsoft.com/office/drawing/2014/main" id="{00000000-0008-0000-0300-00004E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FIRC_CTRL</a:t>
            </a:r>
            <a:endParaRPr lang="en-US" sz="1100"/>
          </a:p>
        </xdr:txBody>
      </xdr:sp>
      <xdr:sp macro="" textlink="">
        <xdr:nvSpPr>
          <xdr:cNvPr id="79" name="TextBox 78">
            <a:extLst>
              <a:ext uri="{FF2B5EF4-FFF2-40B4-BE49-F238E27FC236}">
                <a16:creationId xmlns:a16="http://schemas.microsoft.com/office/drawing/2014/main" id="{00000000-0008-0000-0300-00004F00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sp macro="" textlink="">
        <xdr:nvSpPr>
          <xdr:cNvPr id="80" name="TextBox 79">
            <a:extLst>
              <a:ext uri="{FF2B5EF4-FFF2-40B4-BE49-F238E27FC236}">
                <a16:creationId xmlns:a16="http://schemas.microsoft.com/office/drawing/2014/main" id="{00000000-0008-0000-0300-000050000000}"/>
              </a:ext>
            </a:extLst>
          </xdr:cNvPr>
          <xdr:cNvSpPr txBox="1"/>
        </xdr:nvSpPr>
        <xdr:spPr>
          <a:xfrm>
            <a:off x="1932250" y="26676228"/>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2</xdr:col>
      <xdr:colOff>166904</xdr:colOff>
      <xdr:row>44</xdr:row>
      <xdr:rowOff>118194</xdr:rowOff>
    </xdr:from>
    <xdr:to>
      <xdr:col>11</xdr:col>
      <xdr:colOff>281970</xdr:colOff>
      <xdr:row>44</xdr:row>
      <xdr:rowOff>118194</xdr:rowOff>
    </xdr:to>
    <xdr:cxnSp macro="">
      <xdr:nvCxnSpPr>
        <xdr:cNvPr id="81" name="Straight Arrow Connector 80">
          <a:extLst>
            <a:ext uri="{FF2B5EF4-FFF2-40B4-BE49-F238E27FC236}">
              <a16:creationId xmlns:a16="http://schemas.microsoft.com/office/drawing/2014/main" id="{00000000-0008-0000-0300-000051000000}"/>
            </a:ext>
          </a:extLst>
        </xdr:cNvPr>
        <xdr:cNvCxnSpPr>
          <a:endCxn id="79" idx="3"/>
        </xdr:cNvCxnSpPr>
      </xdr:nvCxnSpPr>
      <xdr:spPr>
        <a:xfrm flipH="1">
          <a:off x="1390115" y="8580405"/>
          <a:ext cx="561951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221781</xdr:colOff>
      <xdr:row>47</xdr:row>
      <xdr:rowOff>116729</xdr:rowOff>
    </xdr:from>
    <xdr:to>
      <xdr:col>4</xdr:col>
      <xdr:colOff>106720</xdr:colOff>
      <xdr:row>47</xdr:row>
      <xdr:rowOff>116729</xdr:rowOff>
    </xdr:to>
    <xdr:cxnSp macro="">
      <xdr:nvCxnSpPr>
        <xdr:cNvPr id="82" name="Straight Arrow Connector 81">
          <a:extLst>
            <a:ext uri="{FF2B5EF4-FFF2-40B4-BE49-F238E27FC236}">
              <a16:creationId xmlns:a16="http://schemas.microsoft.com/office/drawing/2014/main" id="{00000000-0008-0000-0300-000052000000}"/>
            </a:ext>
          </a:extLst>
        </xdr:cNvPr>
        <xdr:cNvCxnSpPr/>
      </xdr:nvCxnSpPr>
      <xdr:spPr>
        <a:xfrm flipH="1">
          <a:off x="1444992" y="9150440"/>
          <a:ext cx="1108149"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121626</xdr:colOff>
      <xdr:row>44</xdr:row>
      <xdr:rowOff>115381</xdr:rowOff>
    </xdr:from>
    <xdr:to>
      <xdr:col>4</xdr:col>
      <xdr:colOff>121626</xdr:colOff>
      <xdr:row>47</xdr:row>
      <xdr:rowOff>135527</xdr:rowOff>
    </xdr:to>
    <xdr:cxnSp macro="">
      <xdr:nvCxnSpPr>
        <xdr:cNvPr id="83" name="Straight Arrow Connector 82">
          <a:extLst>
            <a:ext uri="{FF2B5EF4-FFF2-40B4-BE49-F238E27FC236}">
              <a16:creationId xmlns:a16="http://schemas.microsoft.com/office/drawing/2014/main" id="{00000000-0008-0000-0300-000053000000}"/>
            </a:ext>
          </a:extLst>
        </xdr:cNvPr>
        <xdr:cNvCxnSpPr/>
      </xdr:nvCxnSpPr>
      <xdr:spPr>
        <a:xfrm flipV="1">
          <a:off x="2568047" y="8577592"/>
          <a:ext cx="0" cy="591646"/>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392603</xdr:colOff>
      <xdr:row>25</xdr:row>
      <xdr:rowOff>23868</xdr:rowOff>
    </xdr:from>
    <xdr:to>
      <xdr:col>29</xdr:col>
      <xdr:colOff>224814</xdr:colOff>
      <xdr:row>29</xdr:row>
      <xdr:rowOff>115666</xdr:rowOff>
    </xdr:to>
    <xdr:grpSp>
      <xdr:nvGrpSpPr>
        <xdr:cNvPr id="84" name="Group 83">
          <a:extLst>
            <a:ext uri="{FF2B5EF4-FFF2-40B4-BE49-F238E27FC236}">
              <a16:creationId xmlns:a16="http://schemas.microsoft.com/office/drawing/2014/main" id="{00000000-0008-0000-0300-000054000000}"/>
            </a:ext>
          </a:extLst>
        </xdr:cNvPr>
        <xdr:cNvGrpSpPr/>
      </xdr:nvGrpSpPr>
      <xdr:grpSpPr>
        <a:xfrm>
          <a:off x="16851803" y="4841033"/>
          <a:ext cx="1051411" cy="873676"/>
          <a:chOff x="21770914" y="23947083"/>
          <a:chExt cx="1054118" cy="797009"/>
        </a:xfrm>
      </xdr:grpSpPr>
      <xdr:grpSp>
        <xdr:nvGrpSpPr>
          <xdr:cNvPr id="85" name="Group 84">
            <a:extLst>
              <a:ext uri="{FF2B5EF4-FFF2-40B4-BE49-F238E27FC236}">
                <a16:creationId xmlns:a16="http://schemas.microsoft.com/office/drawing/2014/main" id="{00000000-0008-0000-0300-000055000000}"/>
              </a:ext>
            </a:extLst>
          </xdr:cNvPr>
          <xdr:cNvGrpSpPr/>
        </xdr:nvGrpSpPr>
        <xdr:grpSpPr>
          <a:xfrm>
            <a:off x="21782331" y="23964432"/>
            <a:ext cx="1042701" cy="779660"/>
            <a:chOff x="21612277" y="22624897"/>
            <a:chExt cx="1035312" cy="779660"/>
          </a:xfrm>
        </xdr:grpSpPr>
        <xdr:sp macro="" textlink="">
          <xdr:nvSpPr>
            <xdr:cNvPr id="87" name="Rectangle 86">
              <a:extLst>
                <a:ext uri="{FF2B5EF4-FFF2-40B4-BE49-F238E27FC236}">
                  <a16:creationId xmlns:a16="http://schemas.microsoft.com/office/drawing/2014/main" id="{00000000-0008-0000-0300-000057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SIRC_CTRL</a:t>
              </a:r>
            </a:p>
          </xdr:txBody>
        </xdr:sp>
        <xdr:sp macro="" textlink="">
          <xdr:nvSpPr>
            <xdr:cNvPr id="88" name="TextBox 87">
              <a:extLst>
                <a:ext uri="{FF2B5EF4-FFF2-40B4-BE49-F238E27FC236}">
                  <a16:creationId xmlns:a16="http://schemas.microsoft.com/office/drawing/2014/main" id="{00000000-0008-0000-0300-00005800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86" name="TextBox 85">
            <a:extLst>
              <a:ext uri="{FF2B5EF4-FFF2-40B4-BE49-F238E27FC236}">
                <a16:creationId xmlns:a16="http://schemas.microsoft.com/office/drawing/2014/main" id="{00000000-0008-0000-0300-00005600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11</xdr:col>
      <xdr:colOff>296624</xdr:colOff>
      <xdr:row>25</xdr:row>
      <xdr:rowOff>123247</xdr:rowOff>
    </xdr:from>
    <xdr:to>
      <xdr:col>27</xdr:col>
      <xdr:colOff>392603</xdr:colOff>
      <xdr:row>25</xdr:row>
      <xdr:rowOff>125167</xdr:rowOff>
    </xdr:to>
    <xdr:cxnSp macro="">
      <xdr:nvCxnSpPr>
        <xdr:cNvPr id="89" name="Straight Arrow Connector 88">
          <a:extLst>
            <a:ext uri="{FF2B5EF4-FFF2-40B4-BE49-F238E27FC236}">
              <a16:creationId xmlns:a16="http://schemas.microsoft.com/office/drawing/2014/main" id="{00000000-0008-0000-0300-000059000000}"/>
            </a:ext>
          </a:extLst>
        </xdr:cNvPr>
        <xdr:cNvCxnSpPr>
          <a:endCxn id="86" idx="1"/>
        </xdr:cNvCxnSpPr>
      </xdr:nvCxnSpPr>
      <xdr:spPr>
        <a:xfrm flipV="1">
          <a:off x="6986105" y="5061593"/>
          <a:ext cx="9826133" cy="192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345448</xdr:colOff>
      <xdr:row>29</xdr:row>
      <xdr:rowOff>16287</xdr:rowOff>
    </xdr:from>
    <xdr:to>
      <xdr:col>27</xdr:col>
      <xdr:colOff>403959</xdr:colOff>
      <xdr:row>29</xdr:row>
      <xdr:rowOff>16640</xdr:rowOff>
    </xdr:to>
    <xdr:cxnSp macro="">
      <xdr:nvCxnSpPr>
        <xdr:cNvPr id="90" name="Straight Arrow Connector 89">
          <a:extLst>
            <a:ext uri="{FF2B5EF4-FFF2-40B4-BE49-F238E27FC236}">
              <a16:creationId xmlns:a16="http://schemas.microsoft.com/office/drawing/2014/main" id="{00000000-0008-0000-0300-00005A000000}"/>
            </a:ext>
          </a:extLst>
        </xdr:cNvPr>
        <xdr:cNvCxnSpPr>
          <a:endCxn id="88" idx="1"/>
        </xdr:cNvCxnSpPr>
      </xdr:nvCxnSpPr>
      <xdr:spPr>
        <a:xfrm flipV="1">
          <a:off x="16156948" y="5723960"/>
          <a:ext cx="666646" cy="353"/>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351484</xdr:colOff>
      <xdr:row>25</xdr:row>
      <xdr:rowOff>139392</xdr:rowOff>
    </xdr:from>
    <xdr:to>
      <xdr:col>26</xdr:col>
      <xdr:colOff>351484</xdr:colOff>
      <xdr:row>29</xdr:row>
      <xdr:rowOff>21086</xdr:rowOff>
    </xdr:to>
    <xdr:cxnSp macro="">
      <xdr:nvCxnSpPr>
        <xdr:cNvPr id="91" name="Straight Arrow Connector 90">
          <a:extLst>
            <a:ext uri="{FF2B5EF4-FFF2-40B4-BE49-F238E27FC236}">
              <a16:creationId xmlns:a16="http://schemas.microsoft.com/office/drawing/2014/main" id="{00000000-0008-0000-0300-00005B000000}"/>
            </a:ext>
          </a:extLst>
        </xdr:cNvPr>
        <xdr:cNvCxnSpPr/>
      </xdr:nvCxnSpPr>
      <xdr:spPr>
        <a:xfrm flipV="1">
          <a:off x="16162984" y="5077738"/>
          <a:ext cx="0" cy="651021"/>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377950</xdr:colOff>
      <xdr:row>31</xdr:row>
      <xdr:rowOff>140369</xdr:rowOff>
    </xdr:from>
    <xdr:to>
      <xdr:col>29</xdr:col>
      <xdr:colOff>210161</xdr:colOff>
      <xdr:row>35</xdr:row>
      <xdr:rowOff>181511</xdr:rowOff>
    </xdr:to>
    <xdr:grpSp>
      <xdr:nvGrpSpPr>
        <xdr:cNvPr id="92" name="Group 91">
          <a:extLst>
            <a:ext uri="{FF2B5EF4-FFF2-40B4-BE49-F238E27FC236}">
              <a16:creationId xmlns:a16="http://schemas.microsoft.com/office/drawing/2014/main" id="{00000000-0008-0000-0300-00005C000000}"/>
            </a:ext>
          </a:extLst>
        </xdr:cNvPr>
        <xdr:cNvGrpSpPr/>
      </xdr:nvGrpSpPr>
      <xdr:grpSpPr>
        <a:xfrm>
          <a:off x="16837150" y="6136978"/>
          <a:ext cx="1051411" cy="809768"/>
          <a:chOff x="21770914" y="23947083"/>
          <a:chExt cx="1054118" cy="797009"/>
        </a:xfrm>
      </xdr:grpSpPr>
      <xdr:grpSp>
        <xdr:nvGrpSpPr>
          <xdr:cNvPr id="93" name="Group 92">
            <a:extLst>
              <a:ext uri="{FF2B5EF4-FFF2-40B4-BE49-F238E27FC236}">
                <a16:creationId xmlns:a16="http://schemas.microsoft.com/office/drawing/2014/main" id="{00000000-0008-0000-0300-00005D000000}"/>
              </a:ext>
            </a:extLst>
          </xdr:cNvPr>
          <xdr:cNvGrpSpPr/>
        </xdr:nvGrpSpPr>
        <xdr:grpSpPr>
          <a:xfrm>
            <a:off x="21782331" y="23964432"/>
            <a:ext cx="1042701" cy="779660"/>
            <a:chOff x="21612277" y="22624897"/>
            <a:chExt cx="1035312" cy="779660"/>
          </a:xfrm>
        </xdr:grpSpPr>
        <xdr:sp macro="" textlink="">
          <xdr:nvSpPr>
            <xdr:cNvPr id="95" name="Rectangle 94">
              <a:extLst>
                <a:ext uri="{FF2B5EF4-FFF2-40B4-BE49-F238E27FC236}">
                  <a16:creationId xmlns:a16="http://schemas.microsoft.com/office/drawing/2014/main" id="{00000000-0008-0000-0300-00005F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FXOSC_CTRL</a:t>
              </a:r>
            </a:p>
          </xdr:txBody>
        </xdr:sp>
        <xdr:sp macro="" textlink="">
          <xdr:nvSpPr>
            <xdr:cNvPr id="96" name="TextBox 95">
              <a:extLst>
                <a:ext uri="{FF2B5EF4-FFF2-40B4-BE49-F238E27FC236}">
                  <a16:creationId xmlns:a16="http://schemas.microsoft.com/office/drawing/2014/main" id="{00000000-0008-0000-0300-00006000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94" name="TextBox 93">
            <a:extLst>
              <a:ext uri="{FF2B5EF4-FFF2-40B4-BE49-F238E27FC236}">
                <a16:creationId xmlns:a16="http://schemas.microsoft.com/office/drawing/2014/main" id="{00000000-0008-0000-0300-00005E00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11</xdr:col>
      <xdr:colOff>289297</xdr:colOff>
      <xdr:row>32</xdr:row>
      <xdr:rowOff>45963</xdr:rowOff>
    </xdr:from>
    <xdr:to>
      <xdr:col>27</xdr:col>
      <xdr:colOff>377950</xdr:colOff>
      <xdr:row>32</xdr:row>
      <xdr:rowOff>45963</xdr:rowOff>
    </xdr:to>
    <xdr:cxnSp macro="">
      <xdr:nvCxnSpPr>
        <xdr:cNvPr id="97" name="Straight Arrow Connector 96">
          <a:extLst>
            <a:ext uri="{FF2B5EF4-FFF2-40B4-BE49-F238E27FC236}">
              <a16:creationId xmlns:a16="http://schemas.microsoft.com/office/drawing/2014/main" id="{00000000-0008-0000-0300-000061000000}"/>
            </a:ext>
          </a:extLst>
        </xdr:cNvPr>
        <xdr:cNvCxnSpPr>
          <a:endCxn id="94" idx="1"/>
        </xdr:cNvCxnSpPr>
      </xdr:nvCxnSpPr>
      <xdr:spPr>
        <a:xfrm>
          <a:off x="6978778" y="6354444"/>
          <a:ext cx="9818807"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330795</xdr:colOff>
      <xdr:row>35</xdr:row>
      <xdr:rowOff>82485</xdr:rowOff>
    </xdr:from>
    <xdr:to>
      <xdr:col>27</xdr:col>
      <xdr:colOff>389306</xdr:colOff>
      <xdr:row>35</xdr:row>
      <xdr:rowOff>82485</xdr:rowOff>
    </xdr:to>
    <xdr:cxnSp macro="">
      <xdr:nvCxnSpPr>
        <xdr:cNvPr id="98" name="Straight Arrow Connector 97">
          <a:extLst>
            <a:ext uri="{FF2B5EF4-FFF2-40B4-BE49-F238E27FC236}">
              <a16:creationId xmlns:a16="http://schemas.microsoft.com/office/drawing/2014/main" id="{00000000-0008-0000-0300-000062000000}"/>
            </a:ext>
          </a:extLst>
        </xdr:cNvPr>
        <xdr:cNvCxnSpPr>
          <a:endCxn id="96" idx="1"/>
        </xdr:cNvCxnSpPr>
      </xdr:nvCxnSpPr>
      <xdr:spPr>
        <a:xfrm>
          <a:off x="16142295" y="7013754"/>
          <a:ext cx="666646"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336831</xdr:colOff>
      <xdr:row>32</xdr:row>
      <xdr:rowOff>60188</xdr:rowOff>
    </xdr:from>
    <xdr:to>
      <xdr:col>26</xdr:col>
      <xdr:colOff>336831</xdr:colOff>
      <xdr:row>35</xdr:row>
      <xdr:rowOff>86931</xdr:rowOff>
    </xdr:to>
    <xdr:cxnSp macro="">
      <xdr:nvCxnSpPr>
        <xdr:cNvPr id="99" name="Straight Arrow Connector 98">
          <a:extLst>
            <a:ext uri="{FF2B5EF4-FFF2-40B4-BE49-F238E27FC236}">
              <a16:creationId xmlns:a16="http://schemas.microsoft.com/office/drawing/2014/main" id="{00000000-0008-0000-0300-000063000000}"/>
            </a:ext>
          </a:extLst>
        </xdr:cNvPr>
        <xdr:cNvCxnSpPr/>
      </xdr:nvCxnSpPr>
      <xdr:spPr>
        <a:xfrm flipV="1">
          <a:off x="16148331" y="6368669"/>
          <a:ext cx="0" cy="649531"/>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377950</xdr:colOff>
      <xdr:row>37</xdr:row>
      <xdr:rowOff>92741</xdr:rowOff>
    </xdr:from>
    <xdr:to>
      <xdr:col>29</xdr:col>
      <xdr:colOff>210161</xdr:colOff>
      <xdr:row>41</xdr:row>
      <xdr:rowOff>181508</xdr:rowOff>
    </xdr:to>
    <xdr:grpSp>
      <xdr:nvGrpSpPr>
        <xdr:cNvPr id="100" name="Group 99">
          <a:extLst>
            <a:ext uri="{FF2B5EF4-FFF2-40B4-BE49-F238E27FC236}">
              <a16:creationId xmlns:a16="http://schemas.microsoft.com/office/drawing/2014/main" id="{00000000-0008-0000-0300-000064000000}"/>
            </a:ext>
          </a:extLst>
        </xdr:cNvPr>
        <xdr:cNvGrpSpPr/>
      </xdr:nvGrpSpPr>
      <xdr:grpSpPr>
        <a:xfrm>
          <a:off x="16837150" y="7255541"/>
          <a:ext cx="1051411" cy="850767"/>
          <a:chOff x="21770914" y="23947083"/>
          <a:chExt cx="1054118" cy="797009"/>
        </a:xfrm>
      </xdr:grpSpPr>
      <xdr:grpSp>
        <xdr:nvGrpSpPr>
          <xdr:cNvPr id="101" name="Group 100">
            <a:extLst>
              <a:ext uri="{FF2B5EF4-FFF2-40B4-BE49-F238E27FC236}">
                <a16:creationId xmlns:a16="http://schemas.microsoft.com/office/drawing/2014/main" id="{00000000-0008-0000-0300-000065000000}"/>
              </a:ext>
            </a:extLst>
          </xdr:cNvPr>
          <xdr:cNvGrpSpPr/>
        </xdr:nvGrpSpPr>
        <xdr:grpSpPr>
          <a:xfrm>
            <a:off x="21782331" y="23964432"/>
            <a:ext cx="1042701" cy="779660"/>
            <a:chOff x="21612277" y="22624897"/>
            <a:chExt cx="1035312" cy="779660"/>
          </a:xfrm>
        </xdr:grpSpPr>
        <xdr:sp macro="" textlink="">
          <xdr:nvSpPr>
            <xdr:cNvPr id="103" name="Rectangle 102">
              <a:extLst>
                <a:ext uri="{FF2B5EF4-FFF2-40B4-BE49-F238E27FC236}">
                  <a16:creationId xmlns:a16="http://schemas.microsoft.com/office/drawing/2014/main" id="{00000000-0008-0000-0300-000067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SXOSC_CTRL</a:t>
              </a:r>
            </a:p>
          </xdr:txBody>
        </xdr:sp>
        <xdr:sp macro="" textlink="">
          <xdr:nvSpPr>
            <xdr:cNvPr id="104" name="TextBox 103">
              <a:extLst>
                <a:ext uri="{FF2B5EF4-FFF2-40B4-BE49-F238E27FC236}">
                  <a16:creationId xmlns:a16="http://schemas.microsoft.com/office/drawing/2014/main" id="{00000000-0008-0000-0300-000068000000}"/>
                </a:ext>
              </a:extLst>
            </xdr:cNvPr>
            <xdr:cNvSpPr txBox="1"/>
          </xdr:nvSpPr>
          <xdr:spPr>
            <a:xfrm>
              <a:off x="21612277" y="23219019"/>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102" name="TextBox 101">
            <a:extLst>
              <a:ext uri="{FF2B5EF4-FFF2-40B4-BE49-F238E27FC236}">
                <a16:creationId xmlns:a16="http://schemas.microsoft.com/office/drawing/2014/main" id="{00000000-0008-0000-0300-000066000000}"/>
              </a:ext>
            </a:extLst>
          </xdr:cNvPr>
          <xdr:cNvSpPr txBox="1"/>
        </xdr:nvSpPr>
        <xdr:spPr>
          <a:xfrm>
            <a:off x="21770914" y="23947083"/>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11</xdr:col>
      <xdr:colOff>296624</xdr:colOff>
      <xdr:row>38</xdr:row>
      <xdr:rowOff>1267</xdr:rowOff>
    </xdr:from>
    <xdr:to>
      <xdr:col>27</xdr:col>
      <xdr:colOff>377950</xdr:colOff>
      <xdr:row>38</xdr:row>
      <xdr:rowOff>1267</xdr:rowOff>
    </xdr:to>
    <xdr:cxnSp macro="">
      <xdr:nvCxnSpPr>
        <xdr:cNvPr id="105" name="Straight Arrow Connector 104">
          <a:extLst>
            <a:ext uri="{FF2B5EF4-FFF2-40B4-BE49-F238E27FC236}">
              <a16:creationId xmlns:a16="http://schemas.microsoft.com/office/drawing/2014/main" id="{00000000-0008-0000-0300-000069000000}"/>
            </a:ext>
          </a:extLst>
        </xdr:cNvPr>
        <xdr:cNvCxnSpPr>
          <a:endCxn id="102" idx="1"/>
        </xdr:cNvCxnSpPr>
      </xdr:nvCxnSpPr>
      <xdr:spPr>
        <a:xfrm>
          <a:off x="6986105" y="7504036"/>
          <a:ext cx="9811480"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330795</xdr:colOff>
      <xdr:row>41</xdr:row>
      <xdr:rowOff>82482</xdr:rowOff>
    </xdr:from>
    <xdr:to>
      <xdr:col>27</xdr:col>
      <xdr:colOff>389366</xdr:colOff>
      <xdr:row>41</xdr:row>
      <xdr:rowOff>82482</xdr:rowOff>
    </xdr:to>
    <xdr:cxnSp macro="">
      <xdr:nvCxnSpPr>
        <xdr:cNvPr id="106" name="Straight Arrow Connector 105">
          <a:extLst>
            <a:ext uri="{FF2B5EF4-FFF2-40B4-BE49-F238E27FC236}">
              <a16:creationId xmlns:a16="http://schemas.microsoft.com/office/drawing/2014/main" id="{00000000-0008-0000-0300-00006A000000}"/>
            </a:ext>
          </a:extLst>
        </xdr:cNvPr>
        <xdr:cNvCxnSpPr>
          <a:endCxn id="104" idx="1"/>
        </xdr:cNvCxnSpPr>
      </xdr:nvCxnSpPr>
      <xdr:spPr>
        <a:xfrm>
          <a:off x="16142295" y="8156751"/>
          <a:ext cx="666706"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336831</xdr:colOff>
      <xdr:row>38</xdr:row>
      <xdr:rowOff>15492</xdr:rowOff>
    </xdr:from>
    <xdr:to>
      <xdr:col>26</xdr:col>
      <xdr:colOff>336831</xdr:colOff>
      <xdr:row>41</xdr:row>
      <xdr:rowOff>86928</xdr:rowOff>
    </xdr:to>
    <xdr:cxnSp macro="">
      <xdr:nvCxnSpPr>
        <xdr:cNvPr id="107" name="Straight Arrow Connector 106">
          <a:extLst>
            <a:ext uri="{FF2B5EF4-FFF2-40B4-BE49-F238E27FC236}">
              <a16:creationId xmlns:a16="http://schemas.microsoft.com/office/drawing/2014/main" id="{00000000-0008-0000-0300-00006B000000}"/>
            </a:ext>
          </a:extLst>
        </xdr:cNvPr>
        <xdr:cNvCxnSpPr/>
      </xdr:nvCxnSpPr>
      <xdr:spPr>
        <a:xfrm flipV="1">
          <a:off x="16148331" y="7518261"/>
          <a:ext cx="0" cy="642936"/>
        </a:xfrm>
        <a:prstGeom prst="straightConnector1">
          <a:avLst/>
        </a:prstGeom>
        <a:ln w="19050">
          <a:solidFill>
            <a:schemeClr val="bg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62163</xdr:colOff>
      <xdr:row>0</xdr:row>
      <xdr:rowOff>16545</xdr:rowOff>
    </xdr:from>
    <xdr:ext cx="4840942" cy="895348"/>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62163" y="16545"/>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MPC574xG</a:t>
          </a:r>
          <a:r>
            <a:rPr lang="en-US" sz="2800" b="1" baseline="0"/>
            <a:t>  LP Domain 0</a:t>
          </a:r>
          <a:endParaRPr lang="en-US" sz="2800" b="1"/>
        </a:p>
      </xdr:txBody>
    </xdr:sp>
    <xdr:clientData/>
  </xdr:oneCellAnchor>
  <xdr:twoCellAnchor>
    <xdr:from>
      <xdr:col>0</xdr:col>
      <xdr:colOff>369891</xdr:colOff>
      <xdr:row>51</xdr:row>
      <xdr:rowOff>19476</xdr:rowOff>
    </xdr:from>
    <xdr:to>
      <xdr:col>2</xdr:col>
      <xdr:colOff>207629</xdr:colOff>
      <xdr:row>55</xdr:row>
      <xdr:rowOff>28806</xdr:rowOff>
    </xdr:to>
    <xdr:grpSp>
      <xdr:nvGrpSpPr>
        <xdr:cNvPr id="109" name="Group 108">
          <a:extLst>
            <a:ext uri="{FF2B5EF4-FFF2-40B4-BE49-F238E27FC236}">
              <a16:creationId xmlns:a16="http://schemas.microsoft.com/office/drawing/2014/main" id="{00000000-0008-0000-0300-00006D000000}"/>
            </a:ext>
          </a:extLst>
        </xdr:cNvPr>
        <xdr:cNvGrpSpPr/>
      </xdr:nvGrpSpPr>
      <xdr:grpSpPr>
        <a:xfrm>
          <a:off x="369891" y="9799580"/>
          <a:ext cx="1056938" cy="751452"/>
          <a:chOff x="1604006" y="26098866"/>
          <a:chExt cx="1048449" cy="771330"/>
        </a:xfrm>
      </xdr:grpSpPr>
      <xdr:sp macro="" textlink="">
        <xdr:nvSpPr>
          <xdr:cNvPr id="110" name="Rectangle 109">
            <a:extLst>
              <a:ext uri="{FF2B5EF4-FFF2-40B4-BE49-F238E27FC236}">
                <a16:creationId xmlns:a16="http://schemas.microsoft.com/office/drawing/2014/main" id="{00000000-0008-0000-0300-00006E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MC_RGM</a:t>
            </a:r>
            <a:endParaRPr lang="en-US" sz="1100"/>
          </a:p>
        </xdr:txBody>
      </xdr:sp>
      <xdr:sp macro="" textlink="">
        <xdr:nvSpPr>
          <xdr:cNvPr id="111" name="TextBox 110">
            <a:extLst>
              <a:ext uri="{FF2B5EF4-FFF2-40B4-BE49-F238E27FC236}">
                <a16:creationId xmlns:a16="http://schemas.microsoft.com/office/drawing/2014/main" id="{00000000-0008-0000-0300-00006F00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sp macro="" textlink="">
        <xdr:nvSpPr>
          <xdr:cNvPr id="112" name="TextBox 111">
            <a:extLst>
              <a:ext uri="{FF2B5EF4-FFF2-40B4-BE49-F238E27FC236}">
                <a16:creationId xmlns:a16="http://schemas.microsoft.com/office/drawing/2014/main" id="{00000000-0008-0000-0300-000070000000}"/>
              </a:ext>
            </a:extLst>
          </xdr:cNvPr>
          <xdr:cNvSpPr txBox="1"/>
        </xdr:nvSpPr>
        <xdr:spPr>
          <a:xfrm>
            <a:off x="1932250" y="26676228"/>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2</xdr:col>
      <xdr:colOff>172274</xdr:colOff>
      <xdr:row>51</xdr:row>
      <xdr:rowOff>118193</xdr:rowOff>
    </xdr:from>
    <xdr:to>
      <xdr:col>11</xdr:col>
      <xdr:colOff>296624</xdr:colOff>
      <xdr:row>51</xdr:row>
      <xdr:rowOff>118193</xdr:rowOff>
    </xdr:to>
    <xdr:cxnSp macro="">
      <xdr:nvCxnSpPr>
        <xdr:cNvPr id="113" name="Straight Arrow Connector 112">
          <a:extLst>
            <a:ext uri="{FF2B5EF4-FFF2-40B4-BE49-F238E27FC236}">
              <a16:creationId xmlns:a16="http://schemas.microsoft.com/office/drawing/2014/main" id="{00000000-0008-0000-0300-000071000000}"/>
            </a:ext>
          </a:extLst>
        </xdr:cNvPr>
        <xdr:cNvCxnSpPr>
          <a:endCxn id="111" idx="3"/>
        </xdr:cNvCxnSpPr>
      </xdr:nvCxnSpPr>
      <xdr:spPr>
        <a:xfrm flipH="1">
          <a:off x="1395485" y="9913904"/>
          <a:ext cx="5628797"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207629</xdr:colOff>
      <xdr:row>54</xdr:row>
      <xdr:rowOff>116728</xdr:rowOff>
    </xdr:from>
    <xdr:to>
      <xdr:col>17</xdr:col>
      <xdr:colOff>296624</xdr:colOff>
      <xdr:row>54</xdr:row>
      <xdr:rowOff>116728</xdr:rowOff>
    </xdr:to>
    <xdr:cxnSp macro="">
      <xdr:nvCxnSpPr>
        <xdr:cNvPr id="114" name="Straight Arrow Connector 113">
          <a:extLst>
            <a:ext uri="{FF2B5EF4-FFF2-40B4-BE49-F238E27FC236}">
              <a16:creationId xmlns:a16="http://schemas.microsoft.com/office/drawing/2014/main" id="{00000000-0008-0000-0300-000072000000}"/>
            </a:ext>
          </a:extLst>
        </xdr:cNvPr>
        <xdr:cNvCxnSpPr>
          <a:endCxn id="112" idx="3"/>
        </xdr:cNvCxnSpPr>
      </xdr:nvCxnSpPr>
      <xdr:spPr>
        <a:xfrm flipH="1">
          <a:off x="1430840" y="10483939"/>
          <a:ext cx="9263073"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378176</xdr:colOff>
      <xdr:row>109</xdr:row>
      <xdr:rowOff>119475</xdr:rowOff>
    </xdr:from>
    <xdr:ext cx="1057275" cy="419101"/>
    <xdr:sp macro="" textlink="">
      <xdr:nvSpPr>
        <xdr:cNvPr id="115" name="TextBox 114">
          <a:hlinkClick xmlns:r="http://schemas.openxmlformats.org/officeDocument/2006/relationships" r:id="rId1"/>
          <a:extLst>
            <a:ext uri="{FF2B5EF4-FFF2-40B4-BE49-F238E27FC236}">
              <a16:creationId xmlns:a16="http://schemas.microsoft.com/office/drawing/2014/main" id="{00000000-0008-0000-0300-000073000000}"/>
            </a:ext>
          </a:extLst>
        </xdr:cNvPr>
        <xdr:cNvSpPr txBox="1"/>
      </xdr:nvSpPr>
      <xdr:spPr>
        <a:xfrm>
          <a:off x="5243253" y="2133091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FS80</a:t>
          </a:r>
        </a:p>
      </xdr:txBody>
    </xdr:sp>
    <xdr:clientData/>
  </xdr:oneCellAnchor>
  <xdr:oneCellAnchor>
    <xdr:from>
      <xdr:col>10</xdr:col>
      <xdr:colOff>370851</xdr:colOff>
      <xdr:row>109</xdr:row>
      <xdr:rowOff>112151</xdr:rowOff>
    </xdr:from>
    <xdr:ext cx="1057275" cy="419101"/>
    <xdr:sp macro="" textlink="">
      <xdr:nvSpPr>
        <xdr:cNvPr id="116" name="TextBox 115">
          <a:hlinkClick xmlns:r="http://schemas.openxmlformats.org/officeDocument/2006/relationships" r:id="rId2"/>
          <a:extLst>
            <a:ext uri="{FF2B5EF4-FFF2-40B4-BE49-F238E27FC236}">
              <a16:creationId xmlns:a16="http://schemas.microsoft.com/office/drawing/2014/main" id="{00000000-0008-0000-0300-000074000000}"/>
            </a:ext>
          </a:extLst>
        </xdr:cNvPr>
        <xdr:cNvSpPr txBox="1"/>
      </xdr:nvSpPr>
      <xdr:spPr>
        <a:xfrm>
          <a:off x="6452197" y="2132359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oneCellAnchor>
    <xdr:from>
      <xdr:col>12</xdr:col>
      <xdr:colOff>367634</xdr:colOff>
      <xdr:row>109</xdr:row>
      <xdr:rowOff>119484</xdr:rowOff>
    </xdr:from>
    <xdr:ext cx="1057275" cy="419101"/>
    <xdr:sp macro="" textlink="">
      <xdr:nvSpPr>
        <xdr:cNvPr id="117" name="TextBox 116">
          <a:hlinkClick xmlns:r="http://schemas.openxmlformats.org/officeDocument/2006/relationships" r:id="rId3"/>
          <a:extLst>
            <a:ext uri="{FF2B5EF4-FFF2-40B4-BE49-F238E27FC236}">
              <a16:creationId xmlns:a16="http://schemas.microsoft.com/office/drawing/2014/main" id="{00000000-0008-0000-0300-000075000000}"/>
            </a:ext>
          </a:extLst>
        </xdr:cNvPr>
        <xdr:cNvSpPr txBox="1"/>
      </xdr:nvSpPr>
      <xdr:spPr>
        <a:xfrm>
          <a:off x="7665249" y="2133092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a:t>
          </a:r>
        </a:p>
      </xdr:txBody>
    </xdr:sp>
    <xdr:clientData/>
  </xdr:oneCellAnchor>
  <xdr:oneCellAnchor>
    <xdr:from>
      <xdr:col>14</xdr:col>
      <xdr:colOff>370850</xdr:colOff>
      <xdr:row>109</xdr:row>
      <xdr:rowOff>119477</xdr:rowOff>
    </xdr:from>
    <xdr:ext cx="1057275" cy="419101"/>
    <xdr:sp macro="" textlink="">
      <xdr:nvSpPr>
        <xdr:cNvPr id="118" name="TextBox 117">
          <a:hlinkClick xmlns:r="http://schemas.openxmlformats.org/officeDocument/2006/relationships" r:id="rId4"/>
          <a:extLst>
            <a:ext uri="{FF2B5EF4-FFF2-40B4-BE49-F238E27FC236}">
              <a16:creationId xmlns:a16="http://schemas.microsoft.com/office/drawing/2014/main" id="{00000000-0008-0000-0300-000076000000}"/>
            </a:ext>
          </a:extLst>
        </xdr:cNvPr>
        <xdr:cNvSpPr txBox="1"/>
      </xdr:nvSpPr>
      <xdr:spPr>
        <a:xfrm>
          <a:off x="8884735" y="21330919"/>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16</xdr:col>
      <xdr:colOff>370850</xdr:colOff>
      <xdr:row>109</xdr:row>
      <xdr:rowOff>115019</xdr:rowOff>
    </xdr:from>
    <xdr:ext cx="1057275" cy="419101"/>
    <xdr:sp macro="" textlink="">
      <xdr:nvSpPr>
        <xdr:cNvPr id="119" name="TextBox 118">
          <a:hlinkClick xmlns:r="http://schemas.openxmlformats.org/officeDocument/2006/relationships" r:id="rId5"/>
          <a:extLst>
            <a:ext uri="{FF2B5EF4-FFF2-40B4-BE49-F238E27FC236}">
              <a16:creationId xmlns:a16="http://schemas.microsoft.com/office/drawing/2014/main" id="{00000000-0008-0000-0300-000077000000}"/>
            </a:ext>
          </a:extLst>
        </xdr:cNvPr>
        <xdr:cNvSpPr txBox="1"/>
      </xdr:nvSpPr>
      <xdr:spPr>
        <a:xfrm>
          <a:off x="10101004" y="2132646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a:t>
          </a:r>
        </a:p>
      </xdr:txBody>
    </xdr:sp>
    <xdr:clientData/>
  </xdr:oneCellAnchor>
  <xdr:oneCellAnchor>
    <xdr:from>
      <xdr:col>18</xdr:col>
      <xdr:colOff>363524</xdr:colOff>
      <xdr:row>109</xdr:row>
      <xdr:rowOff>112151</xdr:rowOff>
    </xdr:from>
    <xdr:ext cx="1057275" cy="419101"/>
    <xdr:sp macro="" textlink="">
      <xdr:nvSpPr>
        <xdr:cNvPr id="120" name="TextBox 119">
          <a:hlinkClick xmlns:r="http://schemas.openxmlformats.org/officeDocument/2006/relationships" r:id="rId6"/>
          <a:extLst>
            <a:ext uri="{FF2B5EF4-FFF2-40B4-BE49-F238E27FC236}">
              <a16:creationId xmlns:a16="http://schemas.microsoft.com/office/drawing/2014/main" id="{00000000-0008-0000-0300-000078000000}"/>
            </a:ext>
          </a:extLst>
        </xdr:cNvPr>
        <xdr:cNvSpPr txBox="1"/>
      </xdr:nvSpPr>
      <xdr:spPr>
        <a:xfrm>
          <a:off x="11309947" y="2132359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SXOSC</a:t>
          </a:r>
        </a:p>
      </xdr:txBody>
    </xdr:sp>
    <xdr:clientData/>
  </xdr:oneCellAnchor>
  <xdr:oneCellAnchor>
    <xdr:from>
      <xdr:col>20</xdr:col>
      <xdr:colOff>378178</xdr:colOff>
      <xdr:row>109</xdr:row>
      <xdr:rowOff>112150</xdr:rowOff>
    </xdr:from>
    <xdr:ext cx="1057275" cy="419101"/>
    <xdr:sp macro="" textlink="">
      <xdr:nvSpPr>
        <xdr:cNvPr id="121" name="TextBox 120">
          <a:hlinkClick xmlns:r="http://schemas.openxmlformats.org/officeDocument/2006/relationships" r:id="rId7"/>
          <a:extLst>
            <a:ext uri="{FF2B5EF4-FFF2-40B4-BE49-F238E27FC236}">
              <a16:creationId xmlns:a16="http://schemas.microsoft.com/office/drawing/2014/main" id="{00000000-0008-0000-0300-000079000000}"/>
            </a:ext>
          </a:extLst>
        </xdr:cNvPr>
        <xdr:cNvSpPr txBox="1"/>
      </xdr:nvSpPr>
      <xdr:spPr>
        <a:xfrm>
          <a:off x="12540870" y="2132359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SIRC_DIV_CLK</a:t>
          </a:r>
        </a:p>
      </xdr:txBody>
    </xdr:sp>
    <xdr:clientData/>
  </xdr:oneCellAnchor>
  <xdr:twoCellAnchor>
    <xdr:from>
      <xdr:col>27</xdr:col>
      <xdr:colOff>362984</xdr:colOff>
      <xdr:row>43</xdr:row>
      <xdr:rowOff>109542</xdr:rowOff>
    </xdr:from>
    <xdr:to>
      <xdr:col>29</xdr:col>
      <xdr:colOff>183839</xdr:colOff>
      <xdr:row>47</xdr:row>
      <xdr:rowOff>166987</xdr:rowOff>
    </xdr:to>
    <xdr:grpSp>
      <xdr:nvGrpSpPr>
        <xdr:cNvPr id="122" name="Group 121">
          <a:extLst>
            <a:ext uri="{FF2B5EF4-FFF2-40B4-BE49-F238E27FC236}">
              <a16:creationId xmlns:a16="http://schemas.microsoft.com/office/drawing/2014/main" id="{00000000-0008-0000-0300-00007A000000}"/>
            </a:ext>
          </a:extLst>
        </xdr:cNvPr>
        <xdr:cNvGrpSpPr/>
      </xdr:nvGrpSpPr>
      <xdr:grpSpPr>
        <a:xfrm>
          <a:off x="16822184" y="8405403"/>
          <a:ext cx="1040055" cy="799567"/>
          <a:chOff x="21612277" y="22624897"/>
          <a:chExt cx="1035312" cy="767666"/>
        </a:xfrm>
      </xdr:grpSpPr>
      <xdr:sp macro="" textlink="">
        <xdr:nvSpPr>
          <xdr:cNvPr id="123" name="Rectangle 122">
            <a:extLst>
              <a:ext uri="{FF2B5EF4-FFF2-40B4-BE49-F238E27FC236}">
                <a16:creationId xmlns:a16="http://schemas.microsoft.com/office/drawing/2014/main" id="{00000000-0008-0000-0300-00007B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RAM 256K</a:t>
            </a:r>
          </a:p>
        </xdr:txBody>
      </xdr:sp>
      <xdr:sp macro="" textlink="">
        <xdr:nvSpPr>
          <xdr:cNvPr id="124" name="TextBox 123">
            <a:extLst>
              <a:ext uri="{FF2B5EF4-FFF2-40B4-BE49-F238E27FC236}">
                <a16:creationId xmlns:a16="http://schemas.microsoft.com/office/drawing/2014/main" id="{00000000-0008-0000-0300-00007C000000}"/>
              </a:ext>
            </a:extLst>
          </xdr:cNvPr>
          <xdr:cNvSpPr txBox="1"/>
        </xdr:nvSpPr>
        <xdr:spPr>
          <a:xfrm>
            <a:off x="21612277" y="22642444"/>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oneCellAnchor>
    <xdr:from>
      <xdr:col>22</xdr:col>
      <xdr:colOff>377219</xdr:colOff>
      <xdr:row>1</xdr:row>
      <xdr:rowOff>60507</xdr:rowOff>
    </xdr:from>
    <xdr:ext cx="1057275" cy="419101"/>
    <xdr:sp macro="" textlink="">
      <xdr:nvSpPr>
        <xdr:cNvPr id="125" name="TextBox 124">
          <a:hlinkClick xmlns:r="http://schemas.openxmlformats.org/officeDocument/2006/relationships" r:id="rId8"/>
          <a:extLst>
            <a:ext uri="{FF2B5EF4-FFF2-40B4-BE49-F238E27FC236}">
              <a16:creationId xmlns:a16="http://schemas.microsoft.com/office/drawing/2014/main" id="{00000000-0008-0000-0300-00007D000000}"/>
            </a:ext>
          </a:extLst>
        </xdr:cNvPr>
        <xdr:cNvSpPr txBox="1"/>
      </xdr:nvSpPr>
      <xdr:spPr>
        <a:xfrm>
          <a:off x="13756181" y="25100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S160</a:t>
          </a:r>
        </a:p>
      </xdr:txBody>
    </xdr:sp>
    <xdr:clientData/>
  </xdr:oneCellAnchor>
  <xdr:twoCellAnchor>
    <xdr:from>
      <xdr:col>23</xdr:col>
      <xdr:colOff>296623</xdr:colOff>
      <xdr:row>4</xdr:row>
      <xdr:rowOff>8486</xdr:rowOff>
    </xdr:from>
    <xdr:to>
      <xdr:col>23</xdr:col>
      <xdr:colOff>296623</xdr:colOff>
      <xdr:row>108</xdr:row>
      <xdr:rowOff>183173</xdr:rowOff>
    </xdr:to>
    <xdr:cxnSp macro="">
      <xdr:nvCxnSpPr>
        <xdr:cNvPr id="126" name="Straight Arrow Connector 125">
          <a:extLst>
            <a:ext uri="{FF2B5EF4-FFF2-40B4-BE49-F238E27FC236}">
              <a16:creationId xmlns:a16="http://schemas.microsoft.com/office/drawing/2014/main" id="{00000000-0008-0000-0300-00007E000000}"/>
            </a:ext>
          </a:extLst>
        </xdr:cNvPr>
        <xdr:cNvCxnSpPr/>
      </xdr:nvCxnSpPr>
      <xdr:spPr>
        <a:xfrm flipV="1">
          <a:off x="14283719" y="799794"/>
          <a:ext cx="0" cy="20396994"/>
        </a:xfrm>
        <a:prstGeom prst="straightConnector1">
          <a:avLst/>
        </a:prstGeom>
        <a:ln w="38100">
          <a:solidFill>
            <a:schemeClr val="accent4">
              <a:lumMod val="75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22</xdr:col>
      <xdr:colOff>384547</xdr:colOff>
      <xdr:row>109</xdr:row>
      <xdr:rowOff>115338</xdr:rowOff>
    </xdr:from>
    <xdr:ext cx="1057275" cy="419101"/>
    <xdr:sp macro="" textlink="">
      <xdr:nvSpPr>
        <xdr:cNvPr id="127" name="TextBox 126">
          <a:hlinkClick xmlns:r="http://schemas.openxmlformats.org/officeDocument/2006/relationships" r:id="rId8"/>
          <a:extLst>
            <a:ext uri="{FF2B5EF4-FFF2-40B4-BE49-F238E27FC236}">
              <a16:creationId xmlns:a16="http://schemas.microsoft.com/office/drawing/2014/main" id="{00000000-0008-0000-0300-00007F000000}"/>
            </a:ext>
          </a:extLst>
        </xdr:cNvPr>
        <xdr:cNvSpPr txBox="1"/>
      </xdr:nvSpPr>
      <xdr:spPr>
        <a:xfrm>
          <a:off x="13763509" y="2132678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S160</a:t>
          </a:r>
        </a:p>
      </xdr:txBody>
    </xdr:sp>
    <xdr:clientData/>
  </xdr:oneCellAnchor>
  <xdr:twoCellAnchor>
    <xdr:from>
      <xdr:col>23</xdr:col>
      <xdr:colOff>296623</xdr:colOff>
      <xdr:row>44</xdr:row>
      <xdr:rowOff>19472</xdr:rowOff>
    </xdr:from>
    <xdr:to>
      <xdr:col>27</xdr:col>
      <xdr:colOff>391873</xdr:colOff>
      <xdr:row>44</xdr:row>
      <xdr:rowOff>19472</xdr:rowOff>
    </xdr:to>
    <xdr:cxnSp macro="">
      <xdr:nvCxnSpPr>
        <xdr:cNvPr id="128" name="Straight Arrow Connector 127">
          <a:extLst>
            <a:ext uri="{FF2B5EF4-FFF2-40B4-BE49-F238E27FC236}">
              <a16:creationId xmlns:a16="http://schemas.microsoft.com/office/drawing/2014/main" id="{00000000-0008-0000-0300-000080000000}"/>
            </a:ext>
          </a:extLst>
        </xdr:cNvPr>
        <xdr:cNvCxnSpPr/>
      </xdr:nvCxnSpPr>
      <xdr:spPr>
        <a:xfrm>
          <a:off x="14283719" y="8665241"/>
          <a:ext cx="2527789"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414184</xdr:colOff>
      <xdr:row>49</xdr:row>
      <xdr:rowOff>114722</xdr:rowOff>
    </xdr:from>
    <xdr:to>
      <xdr:col>29</xdr:col>
      <xdr:colOff>198065</xdr:colOff>
      <xdr:row>53</xdr:row>
      <xdr:rowOff>172167</xdr:rowOff>
    </xdr:to>
    <xdr:sp macro="" textlink="">
      <xdr:nvSpPr>
        <xdr:cNvPr id="129" name="Rectangle 128">
          <a:extLst>
            <a:ext uri="{FF2B5EF4-FFF2-40B4-BE49-F238E27FC236}">
              <a16:creationId xmlns:a16="http://schemas.microsoft.com/office/drawing/2014/main" id="{00000000-0008-0000-0300-000081000000}"/>
            </a:ext>
          </a:extLst>
        </xdr:cNvPr>
        <xdr:cNvSpPr/>
      </xdr:nvSpPr>
      <xdr:spPr>
        <a:xfrm>
          <a:off x="16833819" y="9712991"/>
          <a:ext cx="1000150" cy="8194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LPU_CTL</a:t>
          </a:r>
        </a:p>
      </xdr:txBody>
    </xdr:sp>
    <xdr:clientData/>
  </xdr:twoCellAnchor>
  <xdr:twoCellAnchor>
    <xdr:from>
      <xdr:col>17</xdr:col>
      <xdr:colOff>283042</xdr:colOff>
      <xdr:row>50</xdr:row>
      <xdr:rowOff>48779</xdr:rowOff>
    </xdr:from>
    <xdr:to>
      <xdr:col>27</xdr:col>
      <xdr:colOff>406527</xdr:colOff>
      <xdr:row>50</xdr:row>
      <xdr:rowOff>48779</xdr:rowOff>
    </xdr:to>
    <xdr:cxnSp macro="">
      <xdr:nvCxnSpPr>
        <xdr:cNvPr id="130" name="Straight Arrow Connector 129">
          <a:extLst>
            <a:ext uri="{FF2B5EF4-FFF2-40B4-BE49-F238E27FC236}">
              <a16:creationId xmlns:a16="http://schemas.microsoft.com/office/drawing/2014/main" id="{00000000-0008-0000-0300-000082000000}"/>
            </a:ext>
          </a:extLst>
        </xdr:cNvPr>
        <xdr:cNvCxnSpPr/>
      </xdr:nvCxnSpPr>
      <xdr:spPr>
        <a:xfrm>
          <a:off x="10621330" y="9837548"/>
          <a:ext cx="6204832"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289297</xdr:colOff>
      <xdr:row>53</xdr:row>
      <xdr:rowOff>56106</xdr:rowOff>
    </xdr:from>
    <xdr:to>
      <xdr:col>27</xdr:col>
      <xdr:colOff>384546</xdr:colOff>
      <xdr:row>53</xdr:row>
      <xdr:rowOff>56106</xdr:rowOff>
    </xdr:to>
    <xdr:cxnSp macro="">
      <xdr:nvCxnSpPr>
        <xdr:cNvPr id="131" name="Straight Arrow Connector 130">
          <a:extLst>
            <a:ext uri="{FF2B5EF4-FFF2-40B4-BE49-F238E27FC236}">
              <a16:creationId xmlns:a16="http://schemas.microsoft.com/office/drawing/2014/main" id="{00000000-0008-0000-0300-000083000000}"/>
            </a:ext>
          </a:extLst>
        </xdr:cNvPr>
        <xdr:cNvCxnSpPr/>
      </xdr:nvCxnSpPr>
      <xdr:spPr>
        <a:xfrm>
          <a:off x="6978778" y="10416375"/>
          <a:ext cx="982540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289297</xdr:colOff>
      <xdr:row>57</xdr:row>
      <xdr:rowOff>90821</xdr:rowOff>
    </xdr:from>
    <xdr:to>
      <xdr:col>27</xdr:col>
      <xdr:colOff>379131</xdr:colOff>
      <xdr:row>57</xdr:row>
      <xdr:rowOff>90821</xdr:rowOff>
    </xdr:to>
    <xdr:cxnSp macro="">
      <xdr:nvCxnSpPr>
        <xdr:cNvPr id="132" name="Straight Arrow Connector 131">
          <a:extLst>
            <a:ext uri="{FF2B5EF4-FFF2-40B4-BE49-F238E27FC236}">
              <a16:creationId xmlns:a16="http://schemas.microsoft.com/office/drawing/2014/main" id="{00000000-0008-0000-0300-000084000000}"/>
            </a:ext>
          </a:extLst>
        </xdr:cNvPr>
        <xdr:cNvCxnSpPr/>
      </xdr:nvCxnSpPr>
      <xdr:spPr>
        <a:xfrm>
          <a:off x="6978778" y="11213090"/>
          <a:ext cx="9819988"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289297</xdr:colOff>
      <xdr:row>60</xdr:row>
      <xdr:rowOff>34119</xdr:rowOff>
    </xdr:from>
    <xdr:to>
      <xdr:col>27</xdr:col>
      <xdr:colOff>369893</xdr:colOff>
      <xdr:row>60</xdr:row>
      <xdr:rowOff>34119</xdr:rowOff>
    </xdr:to>
    <xdr:cxnSp macro="">
      <xdr:nvCxnSpPr>
        <xdr:cNvPr id="133" name="Straight Arrow Connector 132">
          <a:extLst>
            <a:ext uri="{FF2B5EF4-FFF2-40B4-BE49-F238E27FC236}">
              <a16:creationId xmlns:a16="http://schemas.microsoft.com/office/drawing/2014/main" id="{00000000-0008-0000-0300-000085000000}"/>
            </a:ext>
          </a:extLst>
        </xdr:cNvPr>
        <xdr:cNvCxnSpPr/>
      </xdr:nvCxnSpPr>
      <xdr:spPr>
        <a:xfrm>
          <a:off x="10627585" y="11727888"/>
          <a:ext cx="6161943"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372760</xdr:colOff>
      <xdr:row>56</xdr:row>
      <xdr:rowOff>107387</xdr:rowOff>
    </xdr:from>
    <xdr:to>
      <xdr:col>29</xdr:col>
      <xdr:colOff>182926</xdr:colOff>
      <xdr:row>60</xdr:row>
      <xdr:rowOff>166413</xdr:rowOff>
    </xdr:to>
    <xdr:grpSp>
      <xdr:nvGrpSpPr>
        <xdr:cNvPr id="134" name="Group 133">
          <a:extLst>
            <a:ext uri="{FF2B5EF4-FFF2-40B4-BE49-F238E27FC236}">
              <a16:creationId xmlns:a16="http://schemas.microsoft.com/office/drawing/2014/main" id="{00000000-0008-0000-0300-000086000000}"/>
            </a:ext>
          </a:extLst>
        </xdr:cNvPr>
        <xdr:cNvGrpSpPr/>
      </xdr:nvGrpSpPr>
      <xdr:grpSpPr>
        <a:xfrm>
          <a:off x="16831960" y="10815144"/>
          <a:ext cx="1029366" cy="801147"/>
          <a:chOff x="16803502" y="12573000"/>
          <a:chExt cx="1026435" cy="821026"/>
        </a:xfrm>
      </xdr:grpSpPr>
      <xdr:grpSp>
        <xdr:nvGrpSpPr>
          <xdr:cNvPr id="135" name="Group 134">
            <a:extLst>
              <a:ext uri="{FF2B5EF4-FFF2-40B4-BE49-F238E27FC236}">
                <a16:creationId xmlns:a16="http://schemas.microsoft.com/office/drawing/2014/main" id="{00000000-0008-0000-0300-000087000000}"/>
              </a:ext>
            </a:extLst>
          </xdr:cNvPr>
          <xdr:cNvGrpSpPr/>
        </xdr:nvGrpSpPr>
        <xdr:grpSpPr>
          <a:xfrm>
            <a:off x="16818156" y="12573000"/>
            <a:ext cx="1011781" cy="821026"/>
            <a:chOff x="10109956" y="3587222"/>
            <a:chExt cx="996777" cy="821026"/>
          </a:xfrm>
        </xdr:grpSpPr>
        <xdr:sp macro="" textlink="">
          <xdr:nvSpPr>
            <xdr:cNvPr id="137" name="Rectangle 136">
              <a:extLst>
                <a:ext uri="{FF2B5EF4-FFF2-40B4-BE49-F238E27FC236}">
                  <a16:creationId xmlns:a16="http://schemas.microsoft.com/office/drawing/2014/main" id="{00000000-0008-0000-0300-000089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MC_PCU</a:t>
              </a:r>
            </a:p>
          </xdr:txBody>
        </xdr:sp>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0109956" y="3666994"/>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16803502" y="13151827"/>
            <a:ext cx="733513"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Clock</a:t>
            </a:r>
          </a:p>
        </xdr:txBody>
      </xdr:sp>
    </xdr:grpSp>
    <xdr:clientData/>
  </xdr:twoCellAnchor>
  <xdr:twoCellAnchor>
    <xdr:from>
      <xdr:col>35</xdr:col>
      <xdr:colOff>405192</xdr:colOff>
      <xdr:row>63</xdr:row>
      <xdr:rowOff>184587</xdr:rowOff>
    </xdr:from>
    <xdr:to>
      <xdr:col>37</xdr:col>
      <xdr:colOff>191238</xdr:colOff>
      <xdr:row>89</xdr:row>
      <xdr:rowOff>192012</xdr:rowOff>
    </xdr:to>
    <xdr:sp macro="" textlink="">
      <xdr:nvSpPr>
        <xdr:cNvPr id="139" name="Rectangle 138">
          <a:extLst>
            <a:ext uri="{FF2B5EF4-FFF2-40B4-BE49-F238E27FC236}">
              <a16:creationId xmlns:a16="http://schemas.microsoft.com/office/drawing/2014/main" id="{00000000-0008-0000-0300-00008B000000}"/>
            </a:ext>
          </a:extLst>
        </xdr:cNvPr>
        <xdr:cNvSpPr/>
      </xdr:nvSpPr>
      <xdr:spPr>
        <a:xfrm>
          <a:off x="21689904" y="12449856"/>
          <a:ext cx="1002315" cy="50996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CLKOUT1 Selector</a:t>
          </a:r>
        </a:p>
        <a:p>
          <a:pPr algn="ctr"/>
          <a:r>
            <a:rPr lang="en-US" sz="900"/>
            <a:t>MC_CGM_CLKOUT1_SC[SELCTL]</a:t>
          </a:r>
        </a:p>
      </xdr:txBody>
    </xdr:sp>
    <xdr:clientData/>
  </xdr:twoCellAnchor>
  <xdr:oneCellAnchor>
    <xdr:from>
      <xdr:col>35</xdr:col>
      <xdr:colOff>541353</xdr:colOff>
      <xdr:row>90</xdr:row>
      <xdr:rowOff>196558</xdr:rowOff>
    </xdr:from>
    <xdr:ext cx="1560475" cy="1983542"/>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21826065" y="17751866"/>
          <a:ext cx="1560475" cy="19835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FXOSC_DIV_CLK</a:t>
          </a:r>
        </a:p>
        <a:p>
          <a:r>
            <a:rPr lang="en-US" sz="800"/>
            <a:t>1 - FIRC_DIV_CLK</a:t>
          </a:r>
        </a:p>
        <a:p>
          <a:r>
            <a:rPr lang="en-US" sz="800"/>
            <a:t>2</a:t>
          </a:r>
          <a:r>
            <a:rPr lang="en-US" sz="800" baseline="0"/>
            <a:t> - SXOSC</a:t>
          </a:r>
        </a:p>
        <a:p>
          <a:r>
            <a:rPr lang="en-US" sz="800" baseline="0"/>
            <a:t>3 - SIRC</a:t>
          </a:r>
        </a:p>
        <a:p>
          <a:r>
            <a:rPr lang="en-US" sz="800" baseline="0"/>
            <a:t>4 - RTC_CLK</a:t>
          </a:r>
        </a:p>
        <a:p>
          <a:r>
            <a:rPr lang="en-US" sz="800" baseline="0"/>
            <a:t>7 - FXOSC_ANA_CLK</a:t>
          </a:r>
        </a:p>
        <a:p>
          <a:r>
            <a:rPr lang="en-US" sz="800" baseline="0"/>
            <a:t>8 - FXOSC</a:t>
          </a:r>
        </a:p>
        <a:p>
          <a:r>
            <a:rPr lang="en-US" sz="800" baseline="0"/>
            <a:t>9 - FIRC</a:t>
          </a:r>
        </a:p>
        <a:p>
          <a:r>
            <a:rPr lang="en-US" sz="800" baseline="0"/>
            <a:t>10 - SXOSC_DIV_CLK</a:t>
          </a:r>
        </a:p>
        <a:p>
          <a:r>
            <a:rPr lang="en-US" sz="800" baseline="0"/>
            <a:t>11 - SIRC_DIV_CLK</a:t>
          </a:r>
        </a:p>
        <a:p>
          <a:r>
            <a:rPr lang="en-US" sz="800" baseline="0"/>
            <a:t>12 - CAN0_CHI_CLK</a:t>
          </a:r>
        </a:p>
        <a:p>
          <a:r>
            <a:rPr lang="en-US" sz="800" baseline="0"/>
            <a:t>13 - CAN0_PE_CLK</a:t>
          </a:r>
        </a:p>
        <a:p>
          <a:r>
            <a:rPr lang="en-US" sz="800" baseline="0"/>
            <a:t>14 - PLL_CLKOUT1</a:t>
          </a:r>
          <a:endParaRPr lang="en-US" sz="800"/>
        </a:p>
      </xdr:txBody>
    </xdr:sp>
    <xdr:clientData/>
  </xdr:oneCellAnchor>
  <xdr:twoCellAnchor>
    <xdr:from>
      <xdr:col>21</xdr:col>
      <xdr:colOff>312743</xdr:colOff>
      <xdr:row>89</xdr:row>
      <xdr:rowOff>80286</xdr:rowOff>
    </xdr:from>
    <xdr:to>
      <xdr:col>35</xdr:col>
      <xdr:colOff>350843</xdr:colOff>
      <xdr:row>89</xdr:row>
      <xdr:rowOff>80286</xdr:rowOff>
    </xdr:to>
    <xdr:cxnSp macro="">
      <xdr:nvCxnSpPr>
        <xdr:cNvPr id="141" name="Straight Arrow Connector 140">
          <a:extLst>
            <a:ext uri="{FF2B5EF4-FFF2-40B4-BE49-F238E27FC236}">
              <a16:creationId xmlns:a16="http://schemas.microsoft.com/office/drawing/2014/main" id="{00000000-0008-0000-0300-00008D000000}"/>
            </a:ext>
          </a:extLst>
        </xdr:cNvPr>
        <xdr:cNvCxnSpPr/>
      </xdr:nvCxnSpPr>
      <xdr:spPr>
        <a:xfrm>
          <a:off x="13083570" y="17437767"/>
          <a:ext cx="8551985" cy="0"/>
        </a:xfrm>
        <a:prstGeom prst="straightConnector1">
          <a:avLst/>
        </a:prstGeom>
        <a:ln w="38100">
          <a:solidFill>
            <a:schemeClr val="accent3">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293693</xdr:colOff>
      <xdr:row>88</xdr:row>
      <xdr:rowOff>61236</xdr:rowOff>
    </xdr:from>
    <xdr:to>
      <xdr:col>35</xdr:col>
      <xdr:colOff>369893</xdr:colOff>
      <xdr:row>88</xdr:row>
      <xdr:rowOff>61236</xdr:rowOff>
    </xdr:to>
    <xdr:cxnSp macro="">
      <xdr:nvCxnSpPr>
        <xdr:cNvPr id="142" name="Straight Arrow Connector 141">
          <a:extLst>
            <a:ext uri="{FF2B5EF4-FFF2-40B4-BE49-F238E27FC236}">
              <a16:creationId xmlns:a16="http://schemas.microsoft.com/office/drawing/2014/main" id="{00000000-0008-0000-0300-00008E000000}"/>
            </a:ext>
          </a:extLst>
        </xdr:cNvPr>
        <xdr:cNvCxnSpPr/>
      </xdr:nvCxnSpPr>
      <xdr:spPr>
        <a:xfrm>
          <a:off x="8199443" y="17228217"/>
          <a:ext cx="13455162" cy="0"/>
        </a:xfrm>
        <a:prstGeom prst="straightConnector1">
          <a:avLst/>
        </a:prstGeom>
        <a:ln w="38100">
          <a:solidFill>
            <a:schemeClr val="accent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277935</xdr:colOff>
      <xdr:row>87</xdr:row>
      <xdr:rowOff>42186</xdr:rowOff>
    </xdr:from>
    <xdr:to>
      <xdr:col>35</xdr:col>
      <xdr:colOff>369893</xdr:colOff>
      <xdr:row>87</xdr:row>
      <xdr:rowOff>42186</xdr:rowOff>
    </xdr:to>
    <xdr:cxnSp macro="">
      <xdr:nvCxnSpPr>
        <xdr:cNvPr id="143" name="Straight Arrow Connector 142">
          <a:extLst>
            <a:ext uri="{FF2B5EF4-FFF2-40B4-BE49-F238E27FC236}">
              <a16:creationId xmlns:a16="http://schemas.microsoft.com/office/drawing/2014/main" id="{00000000-0008-0000-0300-00008F000000}"/>
            </a:ext>
          </a:extLst>
        </xdr:cNvPr>
        <xdr:cNvCxnSpPr/>
      </xdr:nvCxnSpPr>
      <xdr:spPr>
        <a:xfrm>
          <a:off x="11832493" y="17018667"/>
          <a:ext cx="9822112"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276985</xdr:colOff>
      <xdr:row>85</xdr:row>
      <xdr:rowOff>192388</xdr:rowOff>
    </xdr:from>
    <xdr:to>
      <xdr:col>35</xdr:col>
      <xdr:colOff>312743</xdr:colOff>
      <xdr:row>85</xdr:row>
      <xdr:rowOff>192388</xdr:rowOff>
    </xdr:to>
    <xdr:cxnSp macro="">
      <xdr:nvCxnSpPr>
        <xdr:cNvPr id="144" name="Straight Arrow Connector 143">
          <a:extLst>
            <a:ext uri="{FF2B5EF4-FFF2-40B4-BE49-F238E27FC236}">
              <a16:creationId xmlns:a16="http://schemas.microsoft.com/office/drawing/2014/main" id="{00000000-0008-0000-0300-000090000000}"/>
            </a:ext>
          </a:extLst>
        </xdr:cNvPr>
        <xdr:cNvCxnSpPr/>
      </xdr:nvCxnSpPr>
      <xdr:spPr>
        <a:xfrm>
          <a:off x="9399004" y="16780542"/>
          <a:ext cx="12198451"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293693</xdr:colOff>
      <xdr:row>85</xdr:row>
      <xdr:rowOff>32661</xdr:rowOff>
    </xdr:from>
    <xdr:to>
      <xdr:col>35</xdr:col>
      <xdr:colOff>312743</xdr:colOff>
      <xdr:row>85</xdr:row>
      <xdr:rowOff>32661</xdr:rowOff>
    </xdr:to>
    <xdr:cxnSp macro="">
      <xdr:nvCxnSpPr>
        <xdr:cNvPr id="145" name="Straight Arrow Connector 144">
          <a:extLst>
            <a:ext uri="{FF2B5EF4-FFF2-40B4-BE49-F238E27FC236}">
              <a16:creationId xmlns:a16="http://schemas.microsoft.com/office/drawing/2014/main" id="{00000000-0008-0000-0300-000091000000}"/>
            </a:ext>
          </a:extLst>
        </xdr:cNvPr>
        <xdr:cNvCxnSpPr/>
      </xdr:nvCxnSpPr>
      <xdr:spPr>
        <a:xfrm>
          <a:off x="10631981" y="16620815"/>
          <a:ext cx="10965474" cy="0"/>
        </a:xfrm>
        <a:prstGeom prst="straightConnector1">
          <a:avLst/>
        </a:prstGeom>
        <a:ln w="19050">
          <a:solidFill>
            <a:schemeClr val="tx2">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24</xdr:col>
      <xdr:colOff>398468</xdr:colOff>
      <xdr:row>62</xdr:row>
      <xdr:rowOff>89812</xdr:rowOff>
    </xdr:from>
    <xdr:ext cx="1057275" cy="333375"/>
    <xdr:sp macro="" textlink="">
      <xdr:nvSpPr>
        <xdr:cNvPr id="146" name="TextBox 145">
          <a:hlinkClick xmlns:r="http://schemas.openxmlformats.org/officeDocument/2006/relationships" r:id="rId9"/>
          <a:extLst>
            <a:ext uri="{FF2B5EF4-FFF2-40B4-BE49-F238E27FC236}">
              <a16:creationId xmlns:a16="http://schemas.microsoft.com/office/drawing/2014/main" id="{00000000-0008-0000-0300-000092000000}"/>
            </a:ext>
          </a:extLst>
        </xdr:cNvPr>
        <xdr:cNvSpPr txBox="1"/>
      </xdr:nvSpPr>
      <xdr:spPr>
        <a:xfrm>
          <a:off x="14993699" y="12164581"/>
          <a:ext cx="1057275" cy="333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FXOSC_DIV_CLK</a:t>
          </a:r>
        </a:p>
      </xdr:txBody>
    </xdr:sp>
    <xdr:clientData/>
  </xdr:oneCellAnchor>
  <xdr:twoCellAnchor>
    <xdr:from>
      <xdr:col>25</xdr:col>
      <xdr:colOff>274643</xdr:colOff>
      <xdr:row>84</xdr:row>
      <xdr:rowOff>50725</xdr:rowOff>
    </xdr:from>
    <xdr:to>
      <xdr:col>35</xdr:col>
      <xdr:colOff>341318</xdr:colOff>
      <xdr:row>84</xdr:row>
      <xdr:rowOff>50725</xdr:rowOff>
    </xdr:to>
    <xdr:cxnSp macro="">
      <xdr:nvCxnSpPr>
        <xdr:cNvPr id="147" name="Straight Arrow Connector 146">
          <a:extLst>
            <a:ext uri="{FF2B5EF4-FFF2-40B4-BE49-F238E27FC236}">
              <a16:creationId xmlns:a16="http://schemas.microsoft.com/office/drawing/2014/main" id="{00000000-0008-0000-0300-000093000000}"/>
            </a:ext>
          </a:extLst>
        </xdr:cNvPr>
        <xdr:cNvCxnSpPr/>
      </xdr:nvCxnSpPr>
      <xdr:spPr>
        <a:xfrm>
          <a:off x="15478008" y="16426398"/>
          <a:ext cx="6148022" cy="0"/>
        </a:xfrm>
        <a:prstGeom prst="straightConnector1">
          <a:avLst/>
        </a:prstGeom>
        <a:ln w="38100">
          <a:solidFill>
            <a:srgbClr val="FF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295007</xdr:colOff>
      <xdr:row>65</xdr:row>
      <xdr:rowOff>36635</xdr:rowOff>
    </xdr:from>
    <xdr:to>
      <xdr:col>25</xdr:col>
      <xdr:colOff>295007</xdr:colOff>
      <xdr:row>84</xdr:row>
      <xdr:rowOff>70762</xdr:rowOff>
    </xdr:to>
    <xdr:cxnSp macro="">
      <xdr:nvCxnSpPr>
        <xdr:cNvPr id="148" name="Straight Arrow Connector 147">
          <a:extLst>
            <a:ext uri="{FF2B5EF4-FFF2-40B4-BE49-F238E27FC236}">
              <a16:creationId xmlns:a16="http://schemas.microsoft.com/office/drawing/2014/main" id="{00000000-0008-0000-0300-000094000000}"/>
            </a:ext>
          </a:extLst>
        </xdr:cNvPr>
        <xdr:cNvCxnSpPr/>
      </xdr:nvCxnSpPr>
      <xdr:spPr>
        <a:xfrm flipV="1">
          <a:off x="15498372" y="12712212"/>
          <a:ext cx="0" cy="3734223"/>
        </a:xfrm>
        <a:prstGeom prst="straightConnector1">
          <a:avLst/>
        </a:prstGeom>
        <a:ln w="38100">
          <a:solidFill>
            <a:srgbClr val="FF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26</xdr:col>
      <xdr:colOff>388943</xdr:colOff>
      <xdr:row>62</xdr:row>
      <xdr:rowOff>118388</xdr:rowOff>
    </xdr:from>
    <xdr:ext cx="1057275" cy="266700"/>
    <xdr:sp macro="" textlink="">
      <xdr:nvSpPr>
        <xdr:cNvPr id="149" name="TextBox 148">
          <a:hlinkClick xmlns:r="http://schemas.openxmlformats.org/officeDocument/2006/relationships" r:id="rId10"/>
          <a:extLst>
            <a:ext uri="{FF2B5EF4-FFF2-40B4-BE49-F238E27FC236}">
              <a16:creationId xmlns:a16="http://schemas.microsoft.com/office/drawing/2014/main" id="{00000000-0008-0000-0300-000095000000}"/>
            </a:ext>
          </a:extLst>
        </xdr:cNvPr>
        <xdr:cNvSpPr txBox="1"/>
      </xdr:nvSpPr>
      <xdr:spPr>
        <a:xfrm>
          <a:off x="16200443" y="12193157"/>
          <a:ext cx="105727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FIRC_DIV_CLK</a:t>
          </a:r>
        </a:p>
      </xdr:txBody>
    </xdr:sp>
    <xdr:clientData/>
  </xdr:oneCellAnchor>
  <xdr:twoCellAnchor>
    <xdr:from>
      <xdr:col>27</xdr:col>
      <xdr:colOff>265118</xdr:colOff>
      <xdr:row>76</xdr:row>
      <xdr:rowOff>108862</xdr:rowOff>
    </xdr:from>
    <xdr:to>
      <xdr:col>35</xdr:col>
      <xdr:colOff>322268</xdr:colOff>
      <xdr:row>76</xdr:row>
      <xdr:rowOff>108862</xdr:rowOff>
    </xdr:to>
    <xdr:cxnSp macro="">
      <xdr:nvCxnSpPr>
        <xdr:cNvPr id="150" name="Straight Arrow Connector 149">
          <a:extLst>
            <a:ext uri="{FF2B5EF4-FFF2-40B4-BE49-F238E27FC236}">
              <a16:creationId xmlns:a16="http://schemas.microsoft.com/office/drawing/2014/main" id="{00000000-0008-0000-0300-000096000000}"/>
            </a:ext>
          </a:extLst>
        </xdr:cNvPr>
        <xdr:cNvCxnSpPr/>
      </xdr:nvCxnSpPr>
      <xdr:spPr>
        <a:xfrm>
          <a:off x="16684753" y="14887266"/>
          <a:ext cx="4922227" cy="0"/>
        </a:xfrm>
        <a:prstGeom prst="straightConnector1">
          <a:avLst/>
        </a:prstGeom>
        <a:ln w="38100">
          <a:solidFill>
            <a:srgbClr val="0070C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284168</xdr:colOff>
      <xdr:row>65</xdr:row>
      <xdr:rowOff>30464</xdr:rowOff>
    </xdr:from>
    <xdr:to>
      <xdr:col>27</xdr:col>
      <xdr:colOff>284168</xdr:colOff>
      <xdr:row>76</xdr:row>
      <xdr:rowOff>127912</xdr:rowOff>
    </xdr:to>
    <xdr:cxnSp macro="">
      <xdr:nvCxnSpPr>
        <xdr:cNvPr id="151" name="Straight Arrow Connector 150">
          <a:extLst>
            <a:ext uri="{FF2B5EF4-FFF2-40B4-BE49-F238E27FC236}">
              <a16:creationId xmlns:a16="http://schemas.microsoft.com/office/drawing/2014/main" id="{00000000-0008-0000-0300-000097000000}"/>
            </a:ext>
          </a:extLst>
        </xdr:cNvPr>
        <xdr:cNvCxnSpPr/>
      </xdr:nvCxnSpPr>
      <xdr:spPr>
        <a:xfrm>
          <a:off x="16703803" y="12706041"/>
          <a:ext cx="0" cy="2200275"/>
        </a:xfrm>
        <a:prstGeom prst="straightConnector1">
          <a:avLst/>
        </a:prstGeom>
        <a:ln w="38100">
          <a:solidFill>
            <a:srgbClr val="0070C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28</xdr:col>
      <xdr:colOff>398468</xdr:colOff>
      <xdr:row>62</xdr:row>
      <xdr:rowOff>137437</xdr:rowOff>
    </xdr:from>
    <xdr:ext cx="1057275" cy="276225"/>
    <xdr:sp macro="" textlink="">
      <xdr:nvSpPr>
        <xdr:cNvPr id="152" name="TextBox 151">
          <a:hlinkClick xmlns:r="http://schemas.openxmlformats.org/officeDocument/2006/relationships" r:id="rId11"/>
          <a:extLst>
            <a:ext uri="{FF2B5EF4-FFF2-40B4-BE49-F238E27FC236}">
              <a16:creationId xmlns:a16="http://schemas.microsoft.com/office/drawing/2014/main" id="{00000000-0008-0000-0300-000098000000}"/>
            </a:ext>
          </a:extLst>
        </xdr:cNvPr>
        <xdr:cNvSpPr txBox="1"/>
      </xdr:nvSpPr>
      <xdr:spPr>
        <a:xfrm>
          <a:off x="17426237" y="12212206"/>
          <a:ext cx="1057275"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SXOSC_DIV_CLK</a:t>
          </a:r>
        </a:p>
      </xdr:txBody>
    </xdr:sp>
    <xdr:clientData/>
  </xdr:oneCellAnchor>
  <xdr:twoCellAnchor>
    <xdr:from>
      <xdr:col>29</xdr:col>
      <xdr:colOff>293693</xdr:colOff>
      <xdr:row>74</xdr:row>
      <xdr:rowOff>8483</xdr:rowOff>
    </xdr:from>
    <xdr:to>
      <xdr:col>35</xdr:col>
      <xdr:colOff>322924</xdr:colOff>
      <xdr:row>74</xdr:row>
      <xdr:rowOff>8483</xdr:rowOff>
    </xdr:to>
    <xdr:cxnSp macro="">
      <xdr:nvCxnSpPr>
        <xdr:cNvPr id="153" name="Straight Arrow Connector 152">
          <a:extLst>
            <a:ext uri="{FF2B5EF4-FFF2-40B4-BE49-F238E27FC236}">
              <a16:creationId xmlns:a16="http://schemas.microsoft.com/office/drawing/2014/main" id="{00000000-0008-0000-0300-000099000000}"/>
            </a:ext>
          </a:extLst>
        </xdr:cNvPr>
        <xdr:cNvCxnSpPr/>
      </xdr:nvCxnSpPr>
      <xdr:spPr>
        <a:xfrm>
          <a:off x="17929597" y="14405887"/>
          <a:ext cx="3678039" cy="0"/>
        </a:xfrm>
        <a:prstGeom prst="straightConnector1">
          <a:avLst/>
        </a:prstGeom>
        <a:ln w="38100">
          <a:solidFill>
            <a:srgbClr val="FFC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312743</xdr:colOff>
      <xdr:row>65</xdr:row>
      <xdr:rowOff>30464</xdr:rowOff>
    </xdr:from>
    <xdr:to>
      <xdr:col>29</xdr:col>
      <xdr:colOff>312743</xdr:colOff>
      <xdr:row>74</xdr:row>
      <xdr:rowOff>4087</xdr:rowOff>
    </xdr:to>
    <xdr:cxnSp macro="">
      <xdr:nvCxnSpPr>
        <xdr:cNvPr id="154" name="Straight Arrow Connector 153">
          <a:extLst>
            <a:ext uri="{FF2B5EF4-FFF2-40B4-BE49-F238E27FC236}">
              <a16:creationId xmlns:a16="http://schemas.microsoft.com/office/drawing/2014/main" id="{00000000-0008-0000-0300-00009A000000}"/>
            </a:ext>
          </a:extLst>
        </xdr:cNvPr>
        <xdr:cNvCxnSpPr/>
      </xdr:nvCxnSpPr>
      <xdr:spPr>
        <a:xfrm>
          <a:off x="17948647" y="12706041"/>
          <a:ext cx="0" cy="1695450"/>
        </a:xfrm>
        <a:prstGeom prst="straightConnector1">
          <a:avLst/>
        </a:prstGeom>
        <a:ln w="38100">
          <a:solidFill>
            <a:srgbClr val="FFC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30</xdr:col>
      <xdr:colOff>398468</xdr:colOff>
      <xdr:row>62</xdr:row>
      <xdr:rowOff>127913</xdr:rowOff>
    </xdr:from>
    <xdr:ext cx="1057275" cy="266700"/>
    <xdr:sp macro="" textlink="">
      <xdr:nvSpPr>
        <xdr:cNvPr id="155" name="TextBox 154">
          <a:hlinkClick xmlns:r="http://schemas.openxmlformats.org/officeDocument/2006/relationships" r:id="rId12"/>
          <a:extLst>
            <a:ext uri="{FF2B5EF4-FFF2-40B4-BE49-F238E27FC236}">
              <a16:creationId xmlns:a16="http://schemas.microsoft.com/office/drawing/2014/main" id="{00000000-0008-0000-0300-00009B000000}"/>
            </a:ext>
          </a:extLst>
        </xdr:cNvPr>
        <xdr:cNvSpPr txBox="1"/>
      </xdr:nvSpPr>
      <xdr:spPr>
        <a:xfrm>
          <a:off x="18642506" y="12202682"/>
          <a:ext cx="105727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RTC_CLK</a:t>
          </a:r>
        </a:p>
      </xdr:txBody>
    </xdr:sp>
    <xdr:clientData/>
  </xdr:oneCellAnchor>
  <xdr:twoCellAnchor>
    <xdr:from>
      <xdr:col>31</xdr:col>
      <xdr:colOff>303218</xdr:colOff>
      <xdr:row>65</xdr:row>
      <xdr:rowOff>27534</xdr:rowOff>
    </xdr:from>
    <xdr:to>
      <xdr:col>31</xdr:col>
      <xdr:colOff>303218</xdr:colOff>
      <xdr:row>71</xdr:row>
      <xdr:rowOff>182131</xdr:rowOff>
    </xdr:to>
    <xdr:cxnSp macro="">
      <xdr:nvCxnSpPr>
        <xdr:cNvPr id="156" name="Straight Arrow Connector 155">
          <a:extLst>
            <a:ext uri="{FF2B5EF4-FFF2-40B4-BE49-F238E27FC236}">
              <a16:creationId xmlns:a16="http://schemas.microsoft.com/office/drawing/2014/main" id="{00000000-0008-0000-0300-00009C000000}"/>
            </a:ext>
          </a:extLst>
        </xdr:cNvPr>
        <xdr:cNvCxnSpPr/>
      </xdr:nvCxnSpPr>
      <xdr:spPr>
        <a:xfrm flipV="1">
          <a:off x="19155391" y="12703111"/>
          <a:ext cx="0" cy="1304924"/>
        </a:xfrm>
        <a:prstGeom prst="straightConnector1">
          <a:avLst/>
        </a:prstGeom>
        <a:ln w="38100">
          <a:solidFill>
            <a:schemeClr val="tx2">
              <a:lumMod val="20000"/>
              <a:lumOff val="80000"/>
            </a:schemeClr>
          </a:solidFill>
          <a:prstDash val="sysDash"/>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282215</xdr:colOff>
      <xdr:row>71</xdr:row>
      <xdr:rowOff>184418</xdr:rowOff>
    </xdr:from>
    <xdr:to>
      <xdr:col>35</xdr:col>
      <xdr:colOff>284168</xdr:colOff>
      <xdr:row>71</xdr:row>
      <xdr:rowOff>184418</xdr:rowOff>
    </xdr:to>
    <xdr:cxnSp macro="">
      <xdr:nvCxnSpPr>
        <xdr:cNvPr id="157" name="Straight Arrow Connector 156">
          <a:extLst>
            <a:ext uri="{FF2B5EF4-FFF2-40B4-BE49-F238E27FC236}">
              <a16:creationId xmlns:a16="http://schemas.microsoft.com/office/drawing/2014/main" id="{00000000-0008-0000-0300-00009D000000}"/>
            </a:ext>
          </a:extLst>
        </xdr:cNvPr>
        <xdr:cNvCxnSpPr/>
      </xdr:nvCxnSpPr>
      <xdr:spPr>
        <a:xfrm flipH="1">
          <a:off x="19134388" y="14010322"/>
          <a:ext cx="2434492" cy="0"/>
        </a:xfrm>
        <a:prstGeom prst="straightConnector1">
          <a:avLst/>
        </a:prstGeom>
        <a:ln w="38100">
          <a:solidFill>
            <a:schemeClr val="tx2">
              <a:lumMod val="20000"/>
              <a:lumOff val="80000"/>
            </a:schemeClr>
          </a:solidFill>
          <a:prstDash val="sysDash"/>
          <a:headEnd type="arrow"/>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32</xdr:col>
      <xdr:colOff>369893</xdr:colOff>
      <xdr:row>62</xdr:row>
      <xdr:rowOff>118387</xdr:rowOff>
    </xdr:from>
    <xdr:ext cx="1141686" cy="276225"/>
    <xdr:sp macro="" textlink="">
      <xdr:nvSpPr>
        <xdr:cNvPr id="158" name="TextBox 157">
          <a:extLst>
            <a:ext uri="{FF2B5EF4-FFF2-40B4-BE49-F238E27FC236}">
              <a16:creationId xmlns:a16="http://schemas.microsoft.com/office/drawing/2014/main" id="{00000000-0008-0000-0300-00009E000000}"/>
            </a:ext>
          </a:extLst>
        </xdr:cNvPr>
        <xdr:cNvSpPr txBox="1"/>
      </xdr:nvSpPr>
      <xdr:spPr>
        <a:xfrm>
          <a:off x="19830201" y="12193156"/>
          <a:ext cx="1141686" cy="276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FXOSC_ANA_CLK</a:t>
          </a:r>
        </a:p>
      </xdr:txBody>
    </xdr:sp>
    <xdr:clientData/>
  </xdr:oneCellAnchor>
  <xdr:twoCellAnchor>
    <xdr:from>
      <xdr:col>33</xdr:col>
      <xdr:colOff>236543</xdr:colOff>
      <xdr:row>68</xdr:row>
      <xdr:rowOff>96406</xdr:rowOff>
    </xdr:from>
    <xdr:to>
      <xdr:col>35</xdr:col>
      <xdr:colOff>332777</xdr:colOff>
      <xdr:row>68</xdr:row>
      <xdr:rowOff>96406</xdr:rowOff>
    </xdr:to>
    <xdr:cxnSp macro="">
      <xdr:nvCxnSpPr>
        <xdr:cNvPr id="159" name="Straight Arrow Connector 158">
          <a:extLst>
            <a:ext uri="{FF2B5EF4-FFF2-40B4-BE49-F238E27FC236}">
              <a16:creationId xmlns:a16="http://schemas.microsoft.com/office/drawing/2014/main" id="{00000000-0008-0000-0300-00009F000000}"/>
            </a:ext>
          </a:extLst>
        </xdr:cNvPr>
        <xdr:cNvCxnSpPr/>
      </xdr:nvCxnSpPr>
      <xdr:spPr>
        <a:xfrm>
          <a:off x="20304985" y="13350810"/>
          <a:ext cx="1312504" cy="0"/>
        </a:xfrm>
        <a:prstGeom prst="straightConnector1">
          <a:avLst/>
        </a:prstGeom>
        <a:ln w="38100">
          <a:solidFill>
            <a:sysClr val="windowText" lastClr="0000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255593</xdr:colOff>
      <xdr:row>65</xdr:row>
      <xdr:rowOff>27533</xdr:rowOff>
    </xdr:from>
    <xdr:to>
      <xdr:col>33</xdr:col>
      <xdr:colOff>255593</xdr:colOff>
      <xdr:row>68</xdr:row>
      <xdr:rowOff>115456</xdr:rowOff>
    </xdr:to>
    <xdr:cxnSp macro="">
      <xdr:nvCxnSpPr>
        <xdr:cNvPr id="160" name="Straight Arrow Connector 159">
          <a:extLst>
            <a:ext uri="{FF2B5EF4-FFF2-40B4-BE49-F238E27FC236}">
              <a16:creationId xmlns:a16="http://schemas.microsoft.com/office/drawing/2014/main" id="{00000000-0008-0000-0300-0000A0000000}"/>
            </a:ext>
          </a:extLst>
        </xdr:cNvPr>
        <xdr:cNvCxnSpPr/>
      </xdr:nvCxnSpPr>
      <xdr:spPr>
        <a:xfrm>
          <a:off x="20324035" y="12703110"/>
          <a:ext cx="0" cy="666750"/>
        </a:xfrm>
        <a:prstGeom prst="straightConnector1">
          <a:avLst/>
        </a:prstGeom>
        <a:ln w="38100">
          <a:solidFill>
            <a:sysClr val="windowText" lastClr="0000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37</xdr:col>
      <xdr:colOff>379418</xdr:colOff>
      <xdr:row>62</xdr:row>
      <xdr:rowOff>89812</xdr:rowOff>
    </xdr:from>
    <xdr:ext cx="1057275" cy="314325"/>
    <xdr:sp macro="" textlink="">
      <xdr:nvSpPr>
        <xdr:cNvPr id="161" name="TextBox 160">
          <a:hlinkClick xmlns:r="http://schemas.openxmlformats.org/officeDocument/2006/relationships" r:id="rId13"/>
          <a:extLst>
            <a:ext uri="{FF2B5EF4-FFF2-40B4-BE49-F238E27FC236}">
              <a16:creationId xmlns:a16="http://schemas.microsoft.com/office/drawing/2014/main" id="{00000000-0008-0000-0300-0000A1000000}"/>
            </a:ext>
          </a:extLst>
        </xdr:cNvPr>
        <xdr:cNvSpPr txBox="1"/>
      </xdr:nvSpPr>
      <xdr:spPr>
        <a:xfrm>
          <a:off x="22880399" y="12164581"/>
          <a:ext cx="1057275" cy="314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CAN0_CHI_CLK</a:t>
          </a:r>
        </a:p>
      </xdr:txBody>
    </xdr:sp>
    <xdr:clientData/>
  </xdr:oneCellAnchor>
  <xdr:twoCellAnchor>
    <xdr:from>
      <xdr:col>37</xdr:col>
      <xdr:colOff>198443</xdr:colOff>
      <xdr:row>67</xdr:row>
      <xdr:rowOff>103733</xdr:rowOff>
    </xdr:from>
    <xdr:to>
      <xdr:col>38</xdr:col>
      <xdr:colOff>312743</xdr:colOff>
      <xdr:row>67</xdr:row>
      <xdr:rowOff>103733</xdr:rowOff>
    </xdr:to>
    <xdr:cxnSp macro="">
      <xdr:nvCxnSpPr>
        <xdr:cNvPr id="162" name="Straight Arrow Connector 161">
          <a:extLst>
            <a:ext uri="{FF2B5EF4-FFF2-40B4-BE49-F238E27FC236}">
              <a16:creationId xmlns:a16="http://schemas.microsoft.com/office/drawing/2014/main" id="{00000000-0008-0000-0300-0000A2000000}"/>
            </a:ext>
          </a:extLst>
        </xdr:cNvPr>
        <xdr:cNvCxnSpPr/>
      </xdr:nvCxnSpPr>
      <xdr:spPr>
        <a:xfrm flipH="1">
          <a:off x="22699424" y="13167637"/>
          <a:ext cx="722434" cy="0"/>
        </a:xfrm>
        <a:prstGeom prst="straightConnector1">
          <a:avLst/>
        </a:prstGeom>
        <a:ln w="38100">
          <a:solidFill>
            <a:schemeClr val="accent5">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303218</xdr:colOff>
      <xdr:row>65</xdr:row>
      <xdr:rowOff>25335</xdr:rowOff>
    </xdr:from>
    <xdr:to>
      <xdr:col>38</xdr:col>
      <xdr:colOff>304044</xdr:colOff>
      <xdr:row>67</xdr:row>
      <xdr:rowOff>132308</xdr:rowOff>
    </xdr:to>
    <xdr:cxnSp macro="">
      <xdr:nvCxnSpPr>
        <xdr:cNvPr id="163" name="Straight Arrow Connector 162">
          <a:extLst>
            <a:ext uri="{FF2B5EF4-FFF2-40B4-BE49-F238E27FC236}">
              <a16:creationId xmlns:a16="http://schemas.microsoft.com/office/drawing/2014/main" id="{00000000-0008-0000-0300-0000A3000000}"/>
            </a:ext>
          </a:extLst>
        </xdr:cNvPr>
        <xdr:cNvCxnSpPr/>
      </xdr:nvCxnSpPr>
      <xdr:spPr>
        <a:xfrm>
          <a:off x="23412333" y="12700912"/>
          <a:ext cx="826" cy="495300"/>
        </a:xfrm>
        <a:prstGeom prst="straightConnector1">
          <a:avLst/>
        </a:prstGeom>
        <a:ln w="38100">
          <a:solidFill>
            <a:schemeClr val="accent5">
              <a:lumMod val="7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39</xdr:col>
      <xdr:colOff>369893</xdr:colOff>
      <xdr:row>62</xdr:row>
      <xdr:rowOff>42187</xdr:rowOff>
    </xdr:from>
    <xdr:ext cx="1057275" cy="419101"/>
    <xdr:sp macro="" textlink="">
      <xdr:nvSpPr>
        <xdr:cNvPr id="164" name="TextBox 163">
          <a:hlinkClick xmlns:r="http://schemas.openxmlformats.org/officeDocument/2006/relationships" r:id="rId14"/>
          <a:extLst>
            <a:ext uri="{FF2B5EF4-FFF2-40B4-BE49-F238E27FC236}">
              <a16:creationId xmlns:a16="http://schemas.microsoft.com/office/drawing/2014/main" id="{00000000-0008-0000-0300-0000A4000000}"/>
            </a:ext>
          </a:extLst>
        </xdr:cNvPr>
        <xdr:cNvSpPr txBox="1"/>
      </xdr:nvSpPr>
      <xdr:spPr>
        <a:xfrm>
          <a:off x="24087143" y="1211695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CAN0_PE_CLK</a:t>
          </a:r>
        </a:p>
      </xdr:txBody>
    </xdr:sp>
    <xdr:clientData/>
  </xdr:oneCellAnchor>
  <xdr:twoCellAnchor>
    <xdr:from>
      <xdr:col>37</xdr:col>
      <xdr:colOff>265118</xdr:colOff>
      <xdr:row>75</xdr:row>
      <xdr:rowOff>77356</xdr:rowOff>
    </xdr:from>
    <xdr:to>
      <xdr:col>40</xdr:col>
      <xdr:colOff>341318</xdr:colOff>
      <xdr:row>75</xdr:row>
      <xdr:rowOff>77356</xdr:rowOff>
    </xdr:to>
    <xdr:cxnSp macro="">
      <xdr:nvCxnSpPr>
        <xdr:cNvPr id="165" name="Straight Arrow Connector 164">
          <a:extLst>
            <a:ext uri="{FF2B5EF4-FFF2-40B4-BE49-F238E27FC236}">
              <a16:creationId xmlns:a16="http://schemas.microsoft.com/office/drawing/2014/main" id="{00000000-0008-0000-0300-0000A5000000}"/>
            </a:ext>
          </a:extLst>
        </xdr:cNvPr>
        <xdr:cNvCxnSpPr/>
      </xdr:nvCxnSpPr>
      <xdr:spPr>
        <a:xfrm flipH="1">
          <a:off x="22766099" y="14665260"/>
          <a:ext cx="1900604" cy="0"/>
        </a:xfrm>
        <a:prstGeom prst="straightConnector1">
          <a:avLst/>
        </a:prstGeom>
        <a:ln w="38100">
          <a:solidFill>
            <a:schemeClr val="bg2"/>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331793</xdr:colOff>
      <xdr:row>65</xdr:row>
      <xdr:rowOff>27533</xdr:rowOff>
    </xdr:from>
    <xdr:to>
      <xdr:col>40</xdr:col>
      <xdr:colOff>341318</xdr:colOff>
      <xdr:row>75</xdr:row>
      <xdr:rowOff>67831</xdr:rowOff>
    </xdr:to>
    <xdr:cxnSp macro="">
      <xdr:nvCxnSpPr>
        <xdr:cNvPr id="166" name="Straight Arrow Connector 165">
          <a:extLst>
            <a:ext uri="{FF2B5EF4-FFF2-40B4-BE49-F238E27FC236}">
              <a16:creationId xmlns:a16="http://schemas.microsoft.com/office/drawing/2014/main" id="{00000000-0008-0000-0300-0000A6000000}"/>
            </a:ext>
          </a:extLst>
        </xdr:cNvPr>
        <xdr:cNvCxnSpPr/>
      </xdr:nvCxnSpPr>
      <xdr:spPr>
        <a:xfrm>
          <a:off x="24657178" y="12703110"/>
          <a:ext cx="9525" cy="1952625"/>
        </a:xfrm>
        <a:prstGeom prst="straightConnector1">
          <a:avLst/>
        </a:prstGeom>
        <a:ln w="38100">
          <a:solidFill>
            <a:schemeClr val="bg2"/>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41</xdr:col>
      <xdr:colOff>388943</xdr:colOff>
      <xdr:row>62</xdr:row>
      <xdr:rowOff>89813</xdr:rowOff>
    </xdr:from>
    <xdr:ext cx="1057275" cy="304800"/>
    <xdr:sp macro="" textlink="">
      <xdr:nvSpPr>
        <xdr:cNvPr id="167" name="TextBox 166">
          <a:hlinkClick xmlns:r="http://schemas.openxmlformats.org/officeDocument/2006/relationships" r:id="rId15"/>
          <a:extLst>
            <a:ext uri="{FF2B5EF4-FFF2-40B4-BE49-F238E27FC236}">
              <a16:creationId xmlns:a16="http://schemas.microsoft.com/office/drawing/2014/main" id="{00000000-0008-0000-0300-0000A7000000}"/>
            </a:ext>
          </a:extLst>
        </xdr:cNvPr>
        <xdr:cNvSpPr txBox="1"/>
      </xdr:nvSpPr>
      <xdr:spPr>
        <a:xfrm>
          <a:off x="25322462" y="12164582"/>
          <a:ext cx="1057275"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PLL_CLKOUT1</a:t>
          </a:r>
        </a:p>
      </xdr:txBody>
    </xdr:sp>
    <xdr:clientData/>
  </xdr:oneCellAnchor>
  <xdr:twoCellAnchor>
    <xdr:from>
      <xdr:col>42</xdr:col>
      <xdr:colOff>293693</xdr:colOff>
      <xdr:row>65</xdr:row>
      <xdr:rowOff>25336</xdr:rowOff>
    </xdr:from>
    <xdr:to>
      <xdr:col>42</xdr:col>
      <xdr:colOff>293693</xdr:colOff>
      <xdr:row>78</xdr:row>
      <xdr:rowOff>43961</xdr:rowOff>
    </xdr:to>
    <xdr:cxnSp macro="">
      <xdr:nvCxnSpPr>
        <xdr:cNvPr id="168" name="Straight Arrow Connector 167">
          <a:extLst>
            <a:ext uri="{FF2B5EF4-FFF2-40B4-BE49-F238E27FC236}">
              <a16:creationId xmlns:a16="http://schemas.microsoft.com/office/drawing/2014/main" id="{00000000-0008-0000-0300-0000A8000000}"/>
            </a:ext>
          </a:extLst>
        </xdr:cNvPr>
        <xdr:cNvCxnSpPr/>
      </xdr:nvCxnSpPr>
      <xdr:spPr>
        <a:xfrm flipV="1">
          <a:off x="25835347" y="12700913"/>
          <a:ext cx="0" cy="2502452"/>
        </a:xfrm>
        <a:prstGeom prst="straightConnector1">
          <a:avLst/>
        </a:prstGeom>
        <a:ln w="19050">
          <a:solidFill>
            <a:srgbClr val="00B05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198443</xdr:colOff>
      <xdr:row>78</xdr:row>
      <xdr:rowOff>51183</xdr:rowOff>
    </xdr:from>
    <xdr:to>
      <xdr:col>42</xdr:col>
      <xdr:colOff>293694</xdr:colOff>
      <xdr:row>78</xdr:row>
      <xdr:rowOff>51183</xdr:rowOff>
    </xdr:to>
    <xdr:cxnSp macro="">
      <xdr:nvCxnSpPr>
        <xdr:cNvPr id="169" name="Straight Arrow Connector 168">
          <a:extLst>
            <a:ext uri="{FF2B5EF4-FFF2-40B4-BE49-F238E27FC236}">
              <a16:creationId xmlns:a16="http://schemas.microsoft.com/office/drawing/2014/main" id="{00000000-0008-0000-0300-0000A9000000}"/>
            </a:ext>
          </a:extLst>
        </xdr:cNvPr>
        <xdr:cNvCxnSpPr/>
      </xdr:nvCxnSpPr>
      <xdr:spPr>
        <a:xfrm flipH="1">
          <a:off x="22699424" y="15210587"/>
          <a:ext cx="3135924"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207968</xdr:colOff>
      <xdr:row>80</xdr:row>
      <xdr:rowOff>164546</xdr:rowOff>
    </xdr:from>
    <xdr:to>
      <xdr:col>40</xdr:col>
      <xdr:colOff>423717</xdr:colOff>
      <xdr:row>80</xdr:row>
      <xdr:rowOff>164546</xdr:rowOff>
    </xdr:to>
    <xdr:cxnSp macro="">
      <xdr:nvCxnSpPr>
        <xdr:cNvPr id="170" name="Straight Arrow Connector 169">
          <a:extLst>
            <a:ext uri="{FF2B5EF4-FFF2-40B4-BE49-F238E27FC236}">
              <a16:creationId xmlns:a16="http://schemas.microsoft.com/office/drawing/2014/main" id="{00000000-0008-0000-0300-0000AA000000}"/>
            </a:ext>
          </a:extLst>
        </xdr:cNvPr>
        <xdr:cNvCxnSpPr/>
      </xdr:nvCxnSpPr>
      <xdr:spPr>
        <a:xfrm>
          <a:off x="22708949" y="15704950"/>
          <a:ext cx="204015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427043</xdr:colOff>
      <xdr:row>78</xdr:row>
      <xdr:rowOff>166011</xdr:rowOff>
    </xdr:from>
    <xdr:to>
      <xdr:col>42</xdr:col>
      <xdr:colOff>210655</xdr:colOff>
      <xdr:row>83</xdr:row>
      <xdr:rowOff>161703</xdr:rowOff>
    </xdr:to>
    <xdr:sp macro="" textlink="">
      <xdr:nvSpPr>
        <xdr:cNvPr id="171" name="Rectangle 170">
          <a:extLst>
            <a:ext uri="{FF2B5EF4-FFF2-40B4-BE49-F238E27FC236}">
              <a16:creationId xmlns:a16="http://schemas.microsoft.com/office/drawing/2014/main" id="{00000000-0008-0000-0300-0000AB000000}"/>
            </a:ext>
          </a:extLst>
        </xdr:cNvPr>
        <xdr:cNvSpPr/>
      </xdr:nvSpPr>
      <xdr:spPr>
        <a:xfrm>
          <a:off x="24752428" y="15325415"/>
          <a:ext cx="999881" cy="9994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CLKOUT1</a:t>
          </a:r>
          <a:r>
            <a:rPr lang="en-US" sz="1100" baseline="0"/>
            <a:t> Enable</a:t>
          </a:r>
        </a:p>
        <a:p>
          <a:pPr algn="ctr"/>
          <a:r>
            <a:rPr lang="en-US" sz="900"/>
            <a:t>MC_CGM_CLKOUT1_DC[DE]</a:t>
          </a:r>
        </a:p>
      </xdr:txBody>
    </xdr:sp>
    <xdr:clientData/>
  </xdr:twoCellAnchor>
  <xdr:oneCellAnchor>
    <xdr:from>
      <xdr:col>40</xdr:col>
      <xdr:colOff>569918</xdr:colOff>
      <xdr:row>84</xdr:row>
      <xdr:rowOff>177734</xdr:rowOff>
    </xdr:from>
    <xdr:ext cx="876300" cy="362607"/>
    <xdr:sp macro="" textlink="">
      <xdr:nvSpPr>
        <xdr:cNvPr id="172" name="TextBox 171">
          <a:extLst>
            <a:ext uri="{FF2B5EF4-FFF2-40B4-BE49-F238E27FC236}">
              <a16:creationId xmlns:a16="http://schemas.microsoft.com/office/drawing/2014/main" id="{00000000-0008-0000-0300-0000AC000000}"/>
            </a:ext>
          </a:extLst>
        </xdr:cNvPr>
        <xdr:cNvSpPr txBox="1"/>
      </xdr:nvSpPr>
      <xdr:spPr>
        <a:xfrm>
          <a:off x="24895303" y="16524099"/>
          <a:ext cx="876300"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CLKOUT1</a:t>
          </a:r>
          <a:r>
            <a:rPr lang="en-US" sz="800" baseline="0"/>
            <a:t> Off</a:t>
          </a:r>
          <a:endParaRPr lang="en-US" sz="800"/>
        </a:p>
        <a:p>
          <a:r>
            <a:rPr lang="en-US" sz="800"/>
            <a:t>1 - CLKOUT1</a:t>
          </a:r>
          <a:r>
            <a:rPr lang="en-US" sz="800" baseline="0"/>
            <a:t> On</a:t>
          </a:r>
          <a:endParaRPr lang="en-US" sz="800"/>
        </a:p>
      </xdr:txBody>
    </xdr:sp>
    <xdr:clientData/>
  </xdr:oneCellAnchor>
  <xdr:twoCellAnchor>
    <xdr:from>
      <xdr:col>42</xdr:col>
      <xdr:colOff>227018</xdr:colOff>
      <xdr:row>80</xdr:row>
      <xdr:rowOff>152823</xdr:rowOff>
    </xdr:from>
    <xdr:to>
      <xdr:col>45</xdr:col>
      <xdr:colOff>521804</xdr:colOff>
      <xdr:row>80</xdr:row>
      <xdr:rowOff>152823</xdr:rowOff>
    </xdr:to>
    <xdr:cxnSp macro="">
      <xdr:nvCxnSpPr>
        <xdr:cNvPr id="173" name="Straight Arrow Connector 172">
          <a:extLst>
            <a:ext uri="{FF2B5EF4-FFF2-40B4-BE49-F238E27FC236}">
              <a16:creationId xmlns:a16="http://schemas.microsoft.com/office/drawing/2014/main" id="{00000000-0008-0000-0300-0000AD000000}"/>
            </a:ext>
          </a:extLst>
        </xdr:cNvPr>
        <xdr:cNvCxnSpPr/>
      </xdr:nvCxnSpPr>
      <xdr:spPr>
        <a:xfrm>
          <a:off x="25969366" y="15657866"/>
          <a:ext cx="21335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398468</xdr:colOff>
      <xdr:row>77</xdr:row>
      <xdr:rowOff>36325</xdr:rowOff>
    </xdr:from>
    <xdr:to>
      <xdr:col>50</xdr:col>
      <xdr:colOff>182080</xdr:colOff>
      <xdr:row>81</xdr:row>
      <xdr:rowOff>193941</xdr:rowOff>
    </xdr:to>
    <xdr:sp macro="" textlink="">
      <xdr:nvSpPr>
        <xdr:cNvPr id="175" name="Rectangle 174">
          <a:extLst>
            <a:ext uri="{FF2B5EF4-FFF2-40B4-BE49-F238E27FC236}">
              <a16:creationId xmlns:a16="http://schemas.microsoft.com/office/drawing/2014/main" id="{00000000-0008-0000-0300-0000AF000000}"/>
            </a:ext>
          </a:extLst>
        </xdr:cNvPr>
        <xdr:cNvSpPr/>
      </xdr:nvSpPr>
      <xdr:spPr>
        <a:xfrm>
          <a:off x="29588930" y="15005229"/>
          <a:ext cx="999881" cy="9269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CLKOUT1</a:t>
          </a:r>
        </a:p>
      </xdr:txBody>
    </xdr:sp>
    <xdr:clientData/>
  </xdr:twoCellAnchor>
  <xdr:twoCellAnchor>
    <xdr:from>
      <xdr:col>47</xdr:col>
      <xdr:colOff>149087</xdr:colOff>
      <xdr:row>80</xdr:row>
      <xdr:rowOff>100069</xdr:rowOff>
    </xdr:from>
    <xdr:to>
      <xdr:col>48</xdr:col>
      <xdr:colOff>407993</xdr:colOff>
      <xdr:row>80</xdr:row>
      <xdr:rowOff>100069</xdr:rowOff>
    </xdr:to>
    <xdr:cxnSp macro="">
      <xdr:nvCxnSpPr>
        <xdr:cNvPr id="176" name="Straight Arrow Connector 175">
          <a:extLst>
            <a:ext uri="{FF2B5EF4-FFF2-40B4-BE49-F238E27FC236}">
              <a16:creationId xmlns:a16="http://schemas.microsoft.com/office/drawing/2014/main" id="{00000000-0008-0000-0300-0000B0000000}"/>
            </a:ext>
          </a:extLst>
        </xdr:cNvPr>
        <xdr:cNvCxnSpPr/>
      </xdr:nvCxnSpPr>
      <xdr:spPr>
        <a:xfrm>
          <a:off x="28956000" y="15605112"/>
          <a:ext cx="87181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512574</xdr:colOff>
      <xdr:row>80</xdr:row>
      <xdr:rowOff>24849</xdr:rowOff>
    </xdr:from>
    <xdr:to>
      <xdr:col>47</xdr:col>
      <xdr:colOff>132521</xdr:colOff>
      <xdr:row>81</xdr:row>
      <xdr:rowOff>180258</xdr:rowOff>
    </xdr:to>
    <xdr:sp macro="" textlink="">
      <xdr:nvSpPr>
        <xdr:cNvPr id="177" name="Rectangle 176">
          <a:extLst>
            <a:ext uri="{FF2B5EF4-FFF2-40B4-BE49-F238E27FC236}">
              <a16:creationId xmlns:a16="http://schemas.microsoft.com/office/drawing/2014/main" id="{00000000-0008-0000-0300-0000B1000000}"/>
            </a:ext>
          </a:extLst>
        </xdr:cNvPr>
        <xdr:cNvSpPr/>
      </xdr:nvSpPr>
      <xdr:spPr>
        <a:xfrm>
          <a:off x="28093661" y="15529892"/>
          <a:ext cx="845773" cy="3541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750" baseline="0"/>
            <a:t>/(1+(0..2047))</a:t>
          </a:r>
          <a:endParaRPr lang="en-US" sz="750"/>
        </a:p>
      </xdr:txBody>
    </xdr:sp>
    <xdr:clientData/>
  </xdr:twoCellAnchor>
  <xdr:twoCellAnchor>
    <xdr:from>
      <xdr:col>8</xdr:col>
      <xdr:colOff>13138</xdr:colOff>
      <xdr:row>6</xdr:row>
      <xdr:rowOff>118240</xdr:rowOff>
    </xdr:from>
    <xdr:to>
      <xdr:col>8</xdr:col>
      <xdr:colOff>610913</xdr:colOff>
      <xdr:row>8</xdr:row>
      <xdr:rowOff>21264</xdr:rowOff>
    </xdr:to>
    <xdr:sp macro="" textlink="">
      <xdr:nvSpPr>
        <xdr:cNvPr id="178" name="Rectangle 177">
          <a:hlinkClick xmlns:r="http://schemas.openxmlformats.org/officeDocument/2006/relationships" r:id="rId16"/>
          <a:extLst>
            <a:ext uri="{FF2B5EF4-FFF2-40B4-BE49-F238E27FC236}">
              <a16:creationId xmlns:a16="http://schemas.microsoft.com/office/drawing/2014/main" id="{00000000-0008-0000-0300-0000B2000000}"/>
            </a:ext>
          </a:extLst>
        </xdr:cNvPr>
        <xdr:cNvSpPr/>
      </xdr:nvSpPr>
      <xdr:spPr>
        <a:xfrm>
          <a:off x="4900448" y="1300654"/>
          <a:ext cx="597775" cy="3234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197070</xdr:colOff>
      <xdr:row>7</xdr:row>
      <xdr:rowOff>39413</xdr:rowOff>
    </xdr:from>
    <xdr:to>
      <xdr:col>7</xdr:col>
      <xdr:colOff>604344</xdr:colOff>
      <xdr:row>7</xdr:row>
      <xdr:rowOff>39413</xdr:rowOff>
    </xdr:to>
    <xdr:cxnSp macro="">
      <xdr:nvCxnSpPr>
        <xdr:cNvPr id="179" name="Straight Arrow Connector 178">
          <a:extLst>
            <a:ext uri="{FF2B5EF4-FFF2-40B4-BE49-F238E27FC236}">
              <a16:creationId xmlns:a16="http://schemas.microsoft.com/office/drawing/2014/main" id="{00000000-0008-0000-0300-0000B3000000}"/>
            </a:ext>
          </a:extLst>
        </xdr:cNvPr>
        <xdr:cNvCxnSpPr/>
      </xdr:nvCxnSpPr>
      <xdr:spPr>
        <a:xfrm flipH="1">
          <a:off x="3862553" y="1405758"/>
          <a:ext cx="101818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13137</xdr:colOff>
      <xdr:row>27</xdr:row>
      <xdr:rowOff>52552</xdr:rowOff>
    </xdr:from>
    <xdr:to>
      <xdr:col>5</xdr:col>
      <xdr:colOff>610912</xdr:colOff>
      <xdr:row>28</xdr:row>
      <xdr:rowOff>185490</xdr:rowOff>
    </xdr:to>
    <xdr:sp macro="" textlink="">
      <xdr:nvSpPr>
        <xdr:cNvPr id="193" name="Rectangle 192">
          <a:hlinkClick xmlns:r="http://schemas.openxmlformats.org/officeDocument/2006/relationships" r:id="rId16"/>
          <a:extLst>
            <a:ext uri="{FF2B5EF4-FFF2-40B4-BE49-F238E27FC236}">
              <a16:creationId xmlns:a16="http://schemas.microsoft.com/office/drawing/2014/main" id="{00000000-0008-0000-0300-0000C1000000}"/>
            </a:ext>
          </a:extLst>
        </xdr:cNvPr>
        <xdr:cNvSpPr/>
      </xdr:nvSpPr>
      <xdr:spPr>
        <a:xfrm>
          <a:off x="3067706" y="5399690"/>
          <a:ext cx="597775" cy="32343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2</xdr:col>
      <xdr:colOff>164224</xdr:colOff>
      <xdr:row>28</xdr:row>
      <xdr:rowOff>19707</xdr:rowOff>
    </xdr:from>
    <xdr:to>
      <xdr:col>4</xdr:col>
      <xdr:colOff>600446</xdr:colOff>
      <xdr:row>28</xdr:row>
      <xdr:rowOff>19707</xdr:rowOff>
    </xdr:to>
    <xdr:cxnSp macro="">
      <xdr:nvCxnSpPr>
        <xdr:cNvPr id="195" name="Straight Arrow Connector 194">
          <a:extLst>
            <a:ext uri="{FF2B5EF4-FFF2-40B4-BE49-F238E27FC236}">
              <a16:creationId xmlns:a16="http://schemas.microsoft.com/office/drawing/2014/main" id="{00000000-0008-0000-0300-0000C3000000}"/>
            </a:ext>
          </a:extLst>
        </xdr:cNvPr>
        <xdr:cNvCxnSpPr/>
      </xdr:nvCxnSpPr>
      <xdr:spPr>
        <a:xfrm flipH="1">
          <a:off x="1386052" y="5557345"/>
          <a:ext cx="165804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269327</xdr:colOff>
      <xdr:row>33</xdr:row>
      <xdr:rowOff>6569</xdr:rowOff>
    </xdr:from>
    <xdr:to>
      <xdr:col>6</xdr:col>
      <xdr:colOff>396808</xdr:colOff>
      <xdr:row>33</xdr:row>
      <xdr:rowOff>6569</xdr:rowOff>
    </xdr:to>
    <xdr:cxnSp macro="">
      <xdr:nvCxnSpPr>
        <xdr:cNvPr id="197" name="Straight Arrow Connector 196">
          <a:extLst>
            <a:ext uri="{FF2B5EF4-FFF2-40B4-BE49-F238E27FC236}">
              <a16:creationId xmlns:a16="http://schemas.microsoft.com/office/drawing/2014/main" id="{00000000-0008-0000-0300-0000C5000000}"/>
            </a:ext>
          </a:extLst>
        </xdr:cNvPr>
        <xdr:cNvCxnSpPr/>
      </xdr:nvCxnSpPr>
      <xdr:spPr>
        <a:xfrm flipH="1">
          <a:off x="3934810" y="6595241"/>
          <a:ext cx="127481"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269327</xdr:colOff>
      <xdr:row>33</xdr:row>
      <xdr:rowOff>3</xdr:rowOff>
    </xdr:from>
    <xdr:to>
      <xdr:col>6</xdr:col>
      <xdr:colOff>269327</xdr:colOff>
      <xdr:row>36</xdr:row>
      <xdr:rowOff>59121</xdr:rowOff>
    </xdr:to>
    <xdr:cxnSp macro="">
      <xdr:nvCxnSpPr>
        <xdr:cNvPr id="199" name="Straight Arrow Connector 198">
          <a:extLst>
            <a:ext uri="{FF2B5EF4-FFF2-40B4-BE49-F238E27FC236}">
              <a16:creationId xmlns:a16="http://schemas.microsoft.com/office/drawing/2014/main" id="{00000000-0008-0000-0300-0000C7000000}"/>
            </a:ext>
          </a:extLst>
        </xdr:cNvPr>
        <xdr:cNvCxnSpPr/>
      </xdr:nvCxnSpPr>
      <xdr:spPr>
        <a:xfrm flipV="1">
          <a:off x="3934810" y="6562400"/>
          <a:ext cx="0" cy="67660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13138</xdr:colOff>
      <xdr:row>36</xdr:row>
      <xdr:rowOff>45982</xdr:rowOff>
    </xdr:from>
    <xdr:to>
      <xdr:col>6</xdr:col>
      <xdr:colOff>264345</xdr:colOff>
      <xdr:row>36</xdr:row>
      <xdr:rowOff>45982</xdr:rowOff>
    </xdr:to>
    <xdr:cxnSp macro="">
      <xdr:nvCxnSpPr>
        <xdr:cNvPr id="203" name="Straight Arrow Connector 202">
          <a:extLst>
            <a:ext uri="{FF2B5EF4-FFF2-40B4-BE49-F238E27FC236}">
              <a16:creationId xmlns:a16="http://schemas.microsoft.com/office/drawing/2014/main" id="{00000000-0008-0000-0300-0000CB000000}"/>
            </a:ext>
          </a:extLst>
        </xdr:cNvPr>
        <xdr:cNvCxnSpPr/>
      </xdr:nvCxnSpPr>
      <xdr:spPr>
        <a:xfrm flipH="1">
          <a:off x="3067707" y="7225861"/>
          <a:ext cx="8621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0</xdr:colOff>
      <xdr:row>35</xdr:row>
      <xdr:rowOff>32845</xdr:rowOff>
    </xdr:from>
    <xdr:to>
      <xdr:col>4</xdr:col>
      <xdr:colOff>597775</xdr:colOff>
      <xdr:row>36</xdr:row>
      <xdr:rowOff>178921</xdr:rowOff>
    </xdr:to>
    <xdr:sp macro="" textlink="">
      <xdr:nvSpPr>
        <xdr:cNvPr id="207" name="Rectangle 206">
          <a:hlinkClick xmlns:r="http://schemas.openxmlformats.org/officeDocument/2006/relationships" r:id="rId16"/>
          <a:extLst>
            <a:ext uri="{FF2B5EF4-FFF2-40B4-BE49-F238E27FC236}">
              <a16:creationId xmlns:a16="http://schemas.microsoft.com/office/drawing/2014/main" id="{00000000-0008-0000-0300-0000CF000000}"/>
            </a:ext>
          </a:extLst>
        </xdr:cNvPr>
        <xdr:cNvSpPr/>
      </xdr:nvSpPr>
      <xdr:spPr>
        <a:xfrm>
          <a:off x="2443655" y="7041931"/>
          <a:ext cx="597775" cy="343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xdr:col>
      <xdr:colOff>518949</xdr:colOff>
      <xdr:row>31</xdr:row>
      <xdr:rowOff>13139</xdr:rowOff>
    </xdr:from>
    <xdr:to>
      <xdr:col>3</xdr:col>
      <xdr:colOff>518949</xdr:colOff>
      <xdr:row>36</xdr:row>
      <xdr:rowOff>19707</xdr:rowOff>
    </xdr:to>
    <xdr:cxnSp macro="">
      <xdr:nvCxnSpPr>
        <xdr:cNvPr id="212" name="Straight Arrow Connector 211">
          <a:extLst>
            <a:ext uri="{FF2B5EF4-FFF2-40B4-BE49-F238E27FC236}">
              <a16:creationId xmlns:a16="http://schemas.microsoft.com/office/drawing/2014/main" id="{00000000-0008-0000-0300-0000D4000000}"/>
            </a:ext>
          </a:extLst>
        </xdr:cNvPr>
        <xdr:cNvCxnSpPr/>
      </xdr:nvCxnSpPr>
      <xdr:spPr>
        <a:xfrm flipV="1">
          <a:off x="2351690" y="6194536"/>
          <a:ext cx="0" cy="100505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525518</xdr:colOff>
      <xdr:row>36</xdr:row>
      <xdr:rowOff>6569</xdr:rowOff>
    </xdr:from>
    <xdr:to>
      <xdr:col>3</xdr:col>
      <xdr:colOff>587311</xdr:colOff>
      <xdr:row>36</xdr:row>
      <xdr:rowOff>6569</xdr:rowOff>
    </xdr:to>
    <xdr:cxnSp macro="">
      <xdr:nvCxnSpPr>
        <xdr:cNvPr id="214" name="Straight Arrow Connector 213">
          <a:extLst>
            <a:ext uri="{FF2B5EF4-FFF2-40B4-BE49-F238E27FC236}">
              <a16:creationId xmlns:a16="http://schemas.microsoft.com/office/drawing/2014/main" id="{00000000-0008-0000-0300-0000D6000000}"/>
            </a:ext>
          </a:extLst>
        </xdr:cNvPr>
        <xdr:cNvCxnSpPr/>
      </xdr:nvCxnSpPr>
      <xdr:spPr>
        <a:xfrm flipH="1">
          <a:off x="2358259" y="7186448"/>
          <a:ext cx="6179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6569</xdr:colOff>
      <xdr:row>20</xdr:row>
      <xdr:rowOff>13138</xdr:rowOff>
    </xdr:from>
    <xdr:to>
      <xdr:col>27</xdr:col>
      <xdr:colOff>387019</xdr:colOff>
      <xdr:row>20</xdr:row>
      <xdr:rowOff>13138</xdr:rowOff>
    </xdr:to>
    <xdr:cxnSp macro="">
      <xdr:nvCxnSpPr>
        <xdr:cNvPr id="218" name="Straight Arrow Connector 217">
          <a:extLst>
            <a:ext uri="{FF2B5EF4-FFF2-40B4-BE49-F238E27FC236}">
              <a16:creationId xmlns:a16="http://schemas.microsoft.com/office/drawing/2014/main" id="{00000000-0008-0000-0300-0000DA000000}"/>
            </a:ext>
          </a:extLst>
        </xdr:cNvPr>
        <xdr:cNvCxnSpPr/>
      </xdr:nvCxnSpPr>
      <xdr:spPr>
        <a:xfrm>
          <a:off x="15279414" y="3967655"/>
          <a:ext cx="160227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6569</xdr:colOff>
      <xdr:row>19</xdr:row>
      <xdr:rowOff>45983</xdr:rowOff>
    </xdr:from>
    <xdr:to>
      <xdr:col>24</xdr:col>
      <xdr:colOff>604344</xdr:colOff>
      <xdr:row>20</xdr:row>
      <xdr:rowOff>192059</xdr:rowOff>
    </xdr:to>
    <xdr:sp macro="" textlink="">
      <xdr:nvSpPr>
        <xdr:cNvPr id="222" name="Rectangle 221">
          <a:hlinkClick xmlns:r="http://schemas.openxmlformats.org/officeDocument/2006/relationships" r:id="rId16"/>
          <a:extLst>
            <a:ext uri="{FF2B5EF4-FFF2-40B4-BE49-F238E27FC236}">
              <a16:creationId xmlns:a16="http://schemas.microsoft.com/office/drawing/2014/main" id="{00000000-0008-0000-0300-0000DE000000}"/>
            </a:ext>
          </a:extLst>
        </xdr:cNvPr>
        <xdr:cNvSpPr/>
      </xdr:nvSpPr>
      <xdr:spPr>
        <a:xfrm>
          <a:off x="14668500" y="3803431"/>
          <a:ext cx="597775" cy="3431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419100</xdr:colOff>
      <xdr:row>5</xdr:row>
      <xdr:rowOff>125297</xdr:rowOff>
    </xdr:from>
    <xdr:to>
      <xdr:col>3</xdr:col>
      <xdr:colOff>253457</xdr:colOff>
      <xdr:row>9</xdr:row>
      <xdr:rowOff>145617</xdr:rowOff>
    </xdr:to>
    <xdr:grpSp>
      <xdr:nvGrpSpPr>
        <xdr:cNvPr id="2" name="Group 1">
          <a:hlinkClick xmlns:r="http://schemas.openxmlformats.org/officeDocument/2006/relationships" r:id="rId1"/>
          <a:extLst>
            <a:ext uri="{FF2B5EF4-FFF2-40B4-BE49-F238E27FC236}">
              <a16:creationId xmlns:a16="http://schemas.microsoft.com/office/drawing/2014/main" id="{00000000-0008-0000-0400-000002000000}"/>
            </a:ext>
          </a:extLst>
        </xdr:cNvPr>
        <xdr:cNvGrpSpPr/>
      </xdr:nvGrpSpPr>
      <xdr:grpSpPr>
        <a:xfrm>
          <a:off x="1028700" y="1077797"/>
          <a:ext cx="1053557" cy="812800"/>
          <a:chOff x="610115" y="190500"/>
          <a:chExt cx="1064161" cy="734695"/>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FlexCAN0</a:t>
            </a:r>
          </a:p>
          <a:p>
            <a:pPr algn="ctr"/>
            <a:r>
              <a:rPr lang="en-US" sz="900" baseline="0"/>
              <a:t>Click me for more info</a:t>
            </a:r>
            <a:endParaRPr lang="en-US" sz="900"/>
          </a:p>
        </xdr:txBody>
      </xdr:sp>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1024522" y="203183"/>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BIU/CHI</a:t>
            </a:r>
          </a:p>
        </xdr:txBody>
      </xdr:sp>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Protocol Clock</a:t>
            </a:r>
          </a:p>
        </xdr:txBody>
      </xdr:sp>
    </xdr:grpSp>
    <xdr:clientData/>
  </xdr:twoCellAnchor>
  <xdr:twoCellAnchor>
    <xdr:from>
      <xdr:col>12</xdr:col>
      <xdr:colOff>425434</xdr:colOff>
      <xdr:row>4</xdr:row>
      <xdr:rowOff>104775</xdr:rowOff>
    </xdr:from>
    <xdr:to>
      <xdr:col>14</xdr:col>
      <xdr:colOff>202518</xdr:colOff>
      <xdr:row>8</xdr:row>
      <xdr:rowOff>172540</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a:off x="7756400" y="899620"/>
          <a:ext cx="998911" cy="8626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9</a:t>
          </a:r>
        </a:p>
        <a:p>
          <a:pPr algn="ctr"/>
          <a:r>
            <a:rPr lang="en-US" sz="900"/>
            <a:t>MC_CGM_AC9_SC[SELCTL]</a:t>
          </a:r>
        </a:p>
      </xdr:txBody>
    </xdr:sp>
    <xdr:clientData/>
  </xdr:twoCellAnchor>
  <xdr:twoCellAnchor>
    <xdr:from>
      <xdr:col>14</xdr:col>
      <xdr:colOff>216776</xdr:colOff>
      <xdr:row>5</xdr:row>
      <xdr:rowOff>133308</xdr:rowOff>
    </xdr:from>
    <xdr:to>
      <xdr:col>18</xdr:col>
      <xdr:colOff>289035</xdr:colOff>
      <xdr:row>5</xdr:row>
      <xdr:rowOff>133308</xdr:rowOff>
    </xdr:to>
    <xdr:cxnSp macro="">
      <xdr:nvCxnSpPr>
        <xdr:cNvPr id="7" name="Straight Arrow Connector 6">
          <a:extLst>
            <a:ext uri="{FF2B5EF4-FFF2-40B4-BE49-F238E27FC236}">
              <a16:creationId xmlns:a16="http://schemas.microsoft.com/office/drawing/2014/main" id="{00000000-0008-0000-0400-000007000000}"/>
            </a:ext>
          </a:extLst>
        </xdr:cNvPr>
        <xdr:cNvCxnSpPr/>
      </xdr:nvCxnSpPr>
      <xdr:spPr>
        <a:xfrm flipH="1">
          <a:off x="8769569" y="1125222"/>
          <a:ext cx="2515914"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223345</xdr:colOff>
      <xdr:row>13</xdr:row>
      <xdr:rowOff>44326</xdr:rowOff>
    </xdr:from>
    <xdr:to>
      <xdr:col>20</xdr:col>
      <xdr:colOff>289035</xdr:colOff>
      <xdr:row>13</xdr:row>
      <xdr:rowOff>44326</xdr:rowOff>
    </xdr:to>
    <xdr:cxnSp macro="">
      <xdr:nvCxnSpPr>
        <xdr:cNvPr id="8" name="Straight Arrow Connector 7">
          <a:extLst>
            <a:ext uri="{FF2B5EF4-FFF2-40B4-BE49-F238E27FC236}">
              <a16:creationId xmlns:a16="http://schemas.microsoft.com/office/drawing/2014/main" id="{00000000-0008-0000-0400-000008000000}"/>
            </a:ext>
          </a:extLst>
        </xdr:cNvPr>
        <xdr:cNvCxnSpPr/>
      </xdr:nvCxnSpPr>
      <xdr:spPr>
        <a:xfrm flipH="1">
          <a:off x="8776138" y="2639067"/>
          <a:ext cx="3731173"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12</xdr:col>
      <xdr:colOff>550322</xdr:colOff>
      <xdr:row>9</xdr:row>
      <xdr:rowOff>193811</xdr:rowOff>
    </xdr:from>
    <xdr:ext cx="876300" cy="342900"/>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7881288" y="1980570"/>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FS80</a:t>
          </a:r>
        </a:p>
        <a:p>
          <a:r>
            <a:rPr lang="en-US" sz="800"/>
            <a:t>1 - FXOSC</a:t>
          </a:r>
        </a:p>
      </xdr:txBody>
    </xdr:sp>
    <xdr:clientData/>
  </xdr:oneCellAnchor>
  <xdr:twoCellAnchor>
    <xdr:from>
      <xdr:col>14</xdr:col>
      <xdr:colOff>203638</xdr:colOff>
      <xdr:row>7</xdr:row>
      <xdr:rowOff>138321</xdr:rowOff>
    </xdr:from>
    <xdr:to>
      <xdr:col>16</xdr:col>
      <xdr:colOff>302173</xdr:colOff>
      <xdr:row>7</xdr:row>
      <xdr:rowOff>138321</xdr:rowOff>
    </xdr:to>
    <xdr:cxnSp macro="">
      <xdr:nvCxnSpPr>
        <xdr:cNvPr id="10" name="Straight Arrow Connector 9">
          <a:extLst>
            <a:ext uri="{FF2B5EF4-FFF2-40B4-BE49-F238E27FC236}">
              <a16:creationId xmlns:a16="http://schemas.microsoft.com/office/drawing/2014/main" id="{00000000-0008-0000-0400-00000A000000}"/>
            </a:ext>
          </a:extLst>
        </xdr:cNvPr>
        <xdr:cNvCxnSpPr/>
      </xdr:nvCxnSpPr>
      <xdr:spPr>
        <a:xfrm flipH="1">
          <a:off x="8756431" y="1537511"/>
          <a:ext cx="1320363"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124558</xdr:colOff>
      <xdr:row>6</xdr:row>
      <xdr:rowOff>58322</xdr:rowOff>
    </xdr:from>
    <xdr:to>
      <xdr:col>12</xdr:col>
      <xdr:colOff>409128</xdr:colOff>
      <xdr:row>6</xdr:row>
      <xdr:rowOff>58322</xdr:rowOff>
    </xdr:to>
    <xdr:cxnSp macro="">
      <xdr:nvCxnSpPr>
        <xdr:cNvPr id="11" name="Straight Arrow Connector 10">
          <a:extLst>
            <a:ext uri="{FF2B5EF4-FFF2-40B4-BE49-F238E27FC236}">
              <a16:creationId xmlns:a16="http://schemas.microsoft.com/office/drawing/2014/main" id="{00000000-0008-0000-0400-00000B000000}"/>
            </a:ext>
          </a:extLst>
        </xdr:cNvPr>
        <xdr:cNvCxnSpPr/>
      </xdr:nvCxnSpPr>
      <xdr:spPr>
        <a:xfrm flipH="1">
          <a:off x="7422173" y="1267264"/>
          <a:ext cx="2845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438852</xdr:colOff>
      <xdr:row>12</xdr:row>
      <xdr:rowOff>85890</xdr:rowOff>
    </xdr:from>
    <xdr:to>
      <xdr:col>14</xdr:col>
      <xdr:colOff>215936</xdr:colOff>
      <xdr:row>16</xdr:row>
      <xdr:rowOff>172008</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7769818" y="2490131"/>
          <a:ext cx="998911" cy="84811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Clock Selector</a:t>
          </a:r>
        </a:p>
        <a:p>
          <a:pPr algn="ctr"/>
          <a:r>
            <a:rPr lang="en-US" sz="700"/>
            <a:t>CAN0_CTRL1[CLKSRC]</a:t>
          </a:r>
        </a:p>
      </xdr:txBody>
    </xdr:sp>
    <xdr:clientData/>
  </xdr:twoCellAnchor>
  <xdr:twoCellAnchor>
    <xdr:from>
      <xdr:col>14</xdr:col>
      <xdr:colOff>236483</xdr:colOff>
      <xdr:row>15</xdr:row>
      <xdr:rowOff>67372</xdr:rowOff>
    </xdr:from>
    <xdr:to>
      <xdr:col>16</xdr:col>
      <xdr:colOff>308742</xdr:colOff>
      <xdr:row>15</xdr:row>
      <xdr:rowOff>67372</xdr:rowOff>
    </xdr:to>
    <xdr:cxnSp macro="">
      <xdr:nvCxnSpPr>
        <xdr:cNvPr id="13" name="Straight Arrow Connector 12">
          <a:extLst>
            <a:ext uri="{FF2B5EF4-FFF2-40B4-BE49-F238E27FC236}">
              <a16:creationId xmlns:a16="http://schemas.microsoft.com/office/drawing/2014/main" id="{00000000-0008-0000-0400-00000D000000}"/>
            </a:ext>
          </a:extLst>
        </xdr:cNvPr>
        <xdr:cNvCxnSpPr/>
      </xdr:nvCxnSpPr>
      <xdr:spPr>
        <a:xfrm flipH="1">
          <a:off x="8789276" y="3043113"/>
          <a:ext cx="1294087"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131885</xdr:colOff>
      <xdr:row>9</xdr:row>
      <xdr:rowOff>13062</xdr:rowOff>
    </xdr:from>
    <xdr:to>
      <xdr:col>12</xdr:col>
      <xdr:colOff>345213</xdr:colOff>
      <xdr:row>9</xdr:row>
      <xdr:rowOff>13062</xdr:rowOff>
    </xdr:to>
    <xdr:cxnSp macro="">
      <xdr:nvCxnSpPr>
        <xdr:cNvPr id="14" name="Straight Arrow Connector 13">
          <a:extLst>
            <a:ext uri="{FF2B5EF4-FFF2-40B4-BE49-F238E27FC236}">
              <a16:creationId xmlns:a16="http://schemas.microsoft.com/office/drawing/2014/main" id="{00000000-0008-0000-0400-00000E000000}"/>
            </a:ext>
          </a:extLst>
        </xdr:cNvPr>
        <xdr:cNvCxnSpPr/>
      </xdr:nvCxnSpPr>
      <xdr:spPr>
        <a:xfrm flipH="1">
          <a:off x="7429500" y="1859447"/>
          <a:ext cx="2133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340918</xdr:colOff>
      <xdr:row>9</xdr:row>
      <xdr:rowOff>11816</xdr:rowOff>
    </xdr:from>
    <xdr:to>
      <xdr:col>12</xdr:col>
      <xdr:colOff>340918</xdr:colOff>
      <xdr:row>14</xdr:row>
      <xdr:rowOff>134765</xdr:rowOff>
    </xdr:to>
    <xdr:cxnSp macro="">
      <xdr:nvCxnSpPr>
        <xdr:cNvPr id="15" name="Straight Arrow Connector 14">
          <a:extLst>
            <a:ext uri="{FF2B5EF4-FFF2-40B4-BE49-F238E27FC236}">
              <a16:creationId xmlns:a16="http://schemas.microsoft.com/office/drawing/2014/main" id="{00000000-0008-0000-0400-00000F000000}"/>
            </a:ext>
          </a:extLst>
        </xdr:cNvPr>
        <xdr:cNvCxnSpPr/>
      </xdr:nvCxnSpPr>
      <xdr:spPr>
        <a:xfrm flipV="1">
          <a:off x="7638533" y="1858201"/>
          <a:ext cx="0" cy="1126737"/>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337039</xdr:colOff>
      <xdr:row>14</xdr:row>
      <xdr:rowOff>143603</xdr:rowOff>
    </xdr:from>
    <xdr:to>
      <xdr:col>12</xdr:col>
      <xdr:colOff>438852</xdr:colOff>
      <xdr:row>14</xdr:row>
      <xdr:rowOff>143603</xdr:rowOff>
    </xdr:to>
    <xdr:cxnSp macro="">
      <xdr:nvCxnSpPr>
        <xdr:cNvPr id="16" name="Straight Arrow Connector 15">
          <a:extLst>
            <a:ext uri="{FF2B5EF4-FFF2-40B4-BE49-F238E27FC236}">
              <a16:creationId xmlns:a16="http://schemas.microsoft.com/office/drawing/2014/main" id="{00000000-0008-0000-0400-000010000000}"/>
            </a:ext>
          </a:extLst>
        </xdr:cNvPr>
        <xdr:cNvCxnSpPr>
          <a:endCxn id="12" idx="1"/>
        </xdr:cNvCxnSpPr>
      </xdr:nvCxnSpPr>
      <xdr:spPr>
        <a:xfrm>
          <a:off x="7634654" y="2993776"/>
          <a:ext cx="101813" cy="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364150</xdr:colOff>
      <xdr:row>5</xdr:row>
      <xdr:rowOff>122509</xdr:rowOff>
    </xdr:from>
    <xdr:to>
      <xdr:col>9</xdr:col>
      <xdr:colOff>141232</xdr:colOff>
      <xdr:row>9</xdr:row>
      <xdr:rowOff>190274</xdr:rowOff>
    </xdr:to>
    <xdr:sp macro="" textlink="">
      <xdr:nvSpPr>
        <xdr:cNvPr id="17" name="Rectangle 16">
          <a:extLst>
            <a:ext uri="{FF2B5EF4-FFF2-40B4-BE49-F238E27FC236}">
              <a16:creationId xmlns:a16="http://schemas.microsoft.com/office/drawing/2014/main" id="{00000000-0008-0000-0400-000011000000}"/>
            </a:ext>
          </a:extLst>
        </xdr:cNvPr>
        <xdr:cNvSpPr/>
      </xdr:nvSpPr>
      <xdr:spPr>
        <a:xfrm>
          <a:off x="4621092" y="1118971"/>
          <a:ext cx="993352" cy="9176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Continuous Operation</a:t>
          </a:r>
          <a:endParaRPr lang="en-US" sz="1100" baseline="0"/>
        </a:p>
        <a:p>
          <a:pPr algn="ctr"/>
          <a:r>
            <a:rPr lang="en-US" sz="900" baseline="0"/>
            <a:t>LPU_RUN_CF[CAN0_CONT]</a:t>
          </a:r>
          <a:endParaRPr lang="en-US" sz="900"/>
        </a:p>
      </xdr:txBody>
    </xdr:sp>
    <xdr:clientData/>
  </xdr:twoCellAnchor>
  <xdr:twoCellAnchor>
    <xdr:from>
      <xdr:col>3</xdr:col>
      <xdr:colOff>233130</xdr:colOff>
      <xdr:row>6</xdr:row>
      <xdr:rowOff>35022</xdr:rowOff>
    </xdr:from>
    <xdr:to>
      <xdr:col>5</xdr:col>
      <xdr:colOff>593481</xdr:colOff>
      <xdr:row>6</xdr:row>
      <xdr:rowOff>44655</xdr:rowOff>
    </xdr:to>
    <xdr:cxnSp macro="">
      <xdr:nvCxnSpPr>
        <xdr:cNvPr id="18" name="Straight Arrow Connector 17">
          <a:extLst>
            <a:ext uri="{FF2B5EF4-FFF2-40B4-BE49-F238E27FC236}">
              <a16:creationId xmlns:a16="http://schemas.microsoft.com/office/drawing/2014/main" id="{00000000-0008-0000-0400-000012000000}"/>
            </a:ext>
          </a:extLst>
        </xdr:cNvPr>
        <xdr:cNvCxnSpPr>
          <a:endCxn id="4" idx="3"/>
        </xdr:cNvCxnSpPr>
      </xdr:nvCxnSpPr>
      <xdr:spPr>
        <a:xfrm flipH="1" flipV="1">
          <a:off x="2057534" y="1243964"/>
          <a:ext cx="1576620" cy="9633"/>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253457</xdr:colOff>
      <xdr:row>8</xdr:row>
      <xdr:rowOff>209466</xdr:rowOff>
    </xdr:from>
    <xdr:to>
      <xdr:col>5</xdr:col>
      <xdr:colOff>600808</xdr:colOff>
      <xdr:row>9</xdr:row>
      <xdr:rowOff>12001</xdr:rowOff>
    </xdr:to>
    <xdr:cxnSp macro="">
      <xdr:nvCxnSpPr>
        <xdr:cNvPr id="19" name="Straight Arrow Connector 18">
          <a:extLst>
            <a:ext uri="{FF2B5EF4-FFF2-40B4-BE49-F238E27FC236}">
              <a16:creationId xmlns:a16="http://schemas.microsoft.com/office/drawing/2014/main" id="{00000000-0008-0000-0400-000013000000}"/>
            </a:ext>
          </a:extLst>
        </xdr:cNvPr>
        <xdr:cNvCxnSpPr>
          <a:endCxn id="5" idx="3"/>
        </xdr:cNvCxnSpPr>
      </xdr:nvCxnSpPr>
      <xdr:spPr>
        <a:xfrm flipH="1" flipV="1">
          <a:off x="2077861" y="1843370"/>
          <a:ext cx="1563620" cy="15016"/>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10</xdr:col>
      <xdr:colOff>538104</xdr:colOff>
      <xdr:row>10</xdr:row>
      <xdr:rowOff>183230</xdr:rowOff>
    </xdr:from>
    <xdr:ext cx="1183724" cy="657597"/>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6619450" y="2242095"/>
          <a:ext cx="1183724"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oneCellAnchor>
    <xdr:from>
      <xdr:col>12</xdr:col>
      <xdr:colOff>532085</xdr:colOff>
      <xdr:row>17</xdr:row>
      <xdr:rowOff>183931</xdr:rowOff>
    </xdr:from>
    <xdr:ext cx="876300" cy="342900"/>
    <xdr:sp macro="" textlink="">
      <xdr:nvSpPr>
        <xdr:cNvPr id="28" name="TextBox 27">
          <a:extLst>
            <a:ext uri="{FF2B5EF4-FFF2-40B4-BE49-F238E27FC236}">
              <a16:creationId xmlns:a16="http://schemas.microsoft.com/office/drawing/2014/main" id="{00000000-0008-0000-0400-00001C000000}"/>
            </a:ext>
          </a:extLst>
        </xdr:cNvPr>
        <xdr:cNvSpPr txBox="1"/>
      </xdr:nvSpPr>
      <xdr:spPr>
        <a:xfrm>
          <a:off x="7863051" y="3547241"/>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FXOSC</a:t>
          </a:r>
        </a:p>
        <a:p>
          <a:r>
            <a:rPr lang="en-US" sz="800"/>
            <a:t>1 - F40</a:t>
          </a:r>
        </a:p>
      </xdr:txBody>
    </xdr:sp>
    <xdr:clientData/>
  </xdr:oneCellAnchor>
  <xdr:oneCellAnchor>
    <xdr:from>
      <xdr:col>15</xdr:col>
      <xdr:colOff>394147</xdr:colOff>
      <xdr:row>0</xdr:row>
      <xdr:rowOff>78828</xdr:rowOff>
    </xdr:from>
    <xdr:ext cx="1057275" cy="419101"/>
    <xdr:sp macro="" textlink="">
      <xdr:nvSpPr>
        <xdr:cNvPr id="29" name="TextBox 28">
          <a:hlinkClick xmlns:r="http://schemas.openxmlformats.org/officeDocument/2006/relationships" r:id="rId2"/>
          <a:extLst>
            <a:ext uri="{FF2B5EF4-FFF2-40B4-BE49-F238E27FC236}">
              <a16:creationId xmlns:a16="http://schemas.microsoft.com/office/drawing/2014/main" id="{00000000-0008-0000-0400-00001D000000}"/>
            </a:ext>
          </a:extLst>
        </xdr:cNvPr>
        <xdr:cNvSpPr txBox="1"/>
      </xdr:nvSpPr>
      <xdr:spPr>
        <a:xfrm>
          <a:off x="9557854" y="7882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twoCellAnchor>
    <xdr:from>
      <xdr:col>16</xdr:col>
      <xdr:colOff>308751</xdr:colOff>
      <xdr:row>3</xdr:row>
      <xdr:rowOff>39414</xdr:rowOff>
    </xdr:from>
    <xdr:to>
      <xdr:col>16</xdr:col>
      <xdr:colOff>308751</xdr:colOff>
      <xdr:row>90</xdr:row>
      <xdr:rowOff>168520</xdr:rowOff>
    </xdr:to>
    <xdr:cxnSp macro="">
      <xdr:nvCxnSpPr>
        <xdr:cNvPr id="32" name="Straight Arrow Connector 31">
          <a:extLst>
            <a:ext uri="{FF2B5EF4-FFF2-40B4-BE49-F238E27FC236}">
              <a16:creationId xmlns:a16="http://schemas.microsoft.com/office/drawing/2014/main" id="{00000000-0008-0000-0400-000020000000}"/>
            </a:ext>
          </a:extLst>
        </xdr:cNvPr>
        <xdr:cNvCxnSpPr/>
      </xdr:nvCxnSpPr>
      <xdr:spPr>
        <a:xfrm>
          <a:off x="10038905" y="640222"/>
          <a:ext cx="0" cy="17310740"/>
        </a:xfrm>
        <a:prstGeom prst="straightConnector1">
          <a:avLst/>
        </a:prstGeom>
        <a:ln w="19050">
          <a:solidFill>
            <a:srgbClr val="FF000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302182</xdr:colOff>
      <xdr:row>3</xdr:row>
      <xdr:rowOff>32845</xdr:rowOff>
    </xdr:from>
    <xdr:to>
      <xdr:col>18</xdr:col>
      <xdr:colOff>302182</xdr:colOff>
      <xdr:row>90</xdr:row>
      <xdr:rowOff>175846</xdr:rowOff>
    </xdr:to>
    <xdr:cxnSp macro="">
      <xdr:nvCxnSpPr>
        <xdr:cNvPr id="35" name="Straight Arrow Connector 34">
          <a:extLst>
            <a:ext uri="{FF2B5EF4-FFF2-40B4-BE49-F238E27FC236}">
              <a16:creationId xmlns:a16="http://schemas.microsoft.com/office/drawing/2014/main" id="{00000000-0008-0000-0400-000023000000}"/>
            </a:ext>
          </a:extLst>
        </xdr:cNvPr>
        <xdr:cNvCxnSpPr/>
      </xdr:nvCxnSpPr>
      <xdr:spPr>
        <a:xfrm>
          <a:off x="11248605" y="633653"/>
          <a:ext cx="0" cy="17324635"/>
        </a:xfrm>
        <a:prstGeom prst="straightConnector1">
          <a:avLst/>
        </a:prstGeom>
        <a:ln w="19050">
          <a:solidFill>
            <a:schemeClr val="accent6">
              <a:lumMod val="5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387580</xdr:colOff>
      <xdr:row>0</xdr:row>
      <xdr:rowOff>85397</xdr:rowOff>
    </xdr:from>
    <xdr:ext cx="1057275" cy="419101"/>
    <xdr:sp macro="" textlink="">
      <xdr:nvSpPr>
        <xdr:cNvPr id="37" name="TextBox 36">
          <a:hlinkClick xmlns:r="http://schemas.openxmlformats.org/officeDocument/2006/relationships" r:id="rId3"/>
          <a:extLst>
            <a:ext uri="{FF2B5EF4-FFF2-40B4-BE49-F238E27FC236}">
              <a16:creationId xmlns:a16="http://schemas.microsoft.com/office/drawing/2014/main" id="{00000000-0008-0000-0400-000025000000}"/>
            </a:ext>
          </a:extLst>
        </xdr:cNvPr>
        <xdr:cNvSpPr txBox="1"/>
      </xdr:nvSpPr>
      <xdr:spPr>
        <a:xfrm>
          <a:off x="10773114" y="8539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FS80</a:t>
          </a:r>
        </a:p>
      </xdr:txBody>
    </xdr:sp>
    <xdr:clientData/>
  </xdr:oneCellAnchor>
  <xdr:twoCellAnchor>
    <xdr:from>
      <xdr:col>20</xdr:col>
      <xdr:colOff>295603</xdr:colOff>
      <xdr:row>3</xdr:row>
      <xdr:rowOff>39414</xdr:rowOff>
    </xdr:from>
    <xdr:to>
      <xdr:col>20</xdr:col>
      <xdr:colOff>295603</xdr:colOff>
      <xdr:row>90</xdr:row>
      <xdr:rowOff>161193</xdr:rowOff>
    </xdr:to>
    <xdr:cxnSp macro="">
      <xdr:nvCxnSpPr>
        <xdr:cNvPr id="38" name="Straight Arrow Connector 37">
          <a:extLst>
            <a:ext uri="{FF2B5EF4-FFF2-40B4-BE49-F238E27FC236}">
              <a16:creationId xmlns:a16="http://schemas.microsoft.com/office/drawing/2014/main" id="{00000000-0008-0000-0400-000026000000}"/>
            </a:ext>
          </a:extLst>
        </xdr:cNvPr>
        <xdr:cNvCxnSpPr/>
      </xdr:nvCxnSpPr>
      <xdr:spPr>
        <a:xfrm>
          <a:off x="12458295" y="640222"/>
          <a:ext cx="0" cy="17303413"/>
        </a:xfrm>
        <a:prstGeom prst="straightConnector1">
          <a:avLst/>
        </a:prstGeom>
        <a:ln w="19050">
          <a:solidFill>
            <a:schemeClr val="accent3">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19</xdr:col>
      <xdr:colOff>381000</xdr:colOff>
      <xdr:row>0</xdr:row>
      <xdr:rowOff>78828</xdr:rowOff>
    </xdr:from>
    <xdr:ext cx="1057275" cy="419101"/>
    <xdr:sp macro="" textlink="">
      <xdr:nvSpPr>
        <xdr:cNvPr id="40" name="TextBox 39">
          <a:hlinkClick xmlns:r="http://schemas.openxmlformats.org/officeDocument/2006/relationships" r:id="rId4"/>
          <a:extLst>
            <a:ext uri="{FF2B5EF4-FFF2-40B4-BE49-F238E27FC236}">
              <a16:creationId xmlns:a16="http://schemas.microsoft.com/office/drawing/2014/main" id="{00000000-0008-0000-0400-000028000000}"/>
            </a:ext>
          </a:extLst>
        </xdr:cNvPr>
        <xdr:cNvSpPr txBox="1"/>
      </xdr:nvSpPr>
      <xdr:spPr>
        <a:xfrm>
          <a:off x="11988362" y="7882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F40</a:t>
          </a:r>
        </a:p>
      </xdr:txBody>
    </xdr:sp>
    <xdr:clientData/>
  </xdr:oneCellAnchor>
  <xdr:twoCellAnchor>
    <xdr:from>
      <xdr:col>10</xdr:col>
      <xdr:colOff>347988</xdr:colOff>
      <xdr:row>5</xdr:row>
      <xdr:rowOff>122508</xdr:rowOff>
    </xdr:from>
    <xdr:to>
      <xdr:col>12</xdr:col>
      <xdr:colOff>125071</xdr:colOff>
      <xdr:row>9</xdr:row>
      <xdr:rowOff>190273</xdr:rowOff>
    </xdr:to>
    <xdr:sp macro="" textlink="">
      <xdr:nvSpPr>
        <xdr:cNvPr id="46" name="Rectangle 45">
          <a:extLst>
            <a:ext uri="{FF2B5EF4-FFF2-40B4-BE49-F238E27FC236}">
              <a16:creationId xmlns:a16="http://schemas.microsoft.com/office/drawing/2014/main" id="{00000000-0008-0000-0400-00002E000000}"/>
            </a:ext>
          </a:extLst>
        </xdr:cNvPr>
        <xdr:cNvSpPr/>
      </xdr:nvSpPr>
      <xdr:spPr>
        <a:xfrm>
          <a:off x="6429334" y="1118970"/>
          <a:ext cx="993352" cy="9176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900" baseline="0"/>
            <a:t>LPU_MDIS[CAN0]</a:t>
          </a:r>
          <a:endParaRPr lang="en-US" sz="900"/>
        </a:p>
      </xdr:txBody>
    </xdr:sp>
    <xdr:clientData/>
  </xdr:twoCellAnchor>
  <xdr:twoCellAnchor>
    <xdr:from>
      <xdr:col>9</xdr:col>
      <xdr:colOff>125983</xdr:colOff>
      <xdr:row>6</xdr:row>
      <xdr:rowOff>59635</xdr:rowOff>
    </xdr:from>
    <xdr:to>
      <xdr:col>10</xdr:col>
      <xdr:colOff>348663</xdr:colOff>
      <xdr:row>6</xdr:row>
      <xdr:rowOff>59635</xdr:rowOff>
    </xdr:to>
    <xdr:cxnSp macro="">
      <xdr:nvCxnSpPr>
        <xdr:cNvPr id="48" name="Straight Arrow Connector 47">
          <a:extLst>
            <a:ext uri="{FF2B5EF4-FFF2-40B4-BE49-F238E27FC236}">
              <a16:creationId xmlns:a16="http://schemas.microsoft.com/office/drawing/2014/main" id="{00000000-0008-0000-0400-000030000000}"/>
            </a:ext>
          </a:extLst>
        </xdr:cNvPr>
        <xdr:cNvCxnSpPr/>
      </xdr:nvCxnSpPr>
      <xdr:spPr>
        <a:xfrm flipH="1">
          <a:off x="5599195" y="1268577"/>
          <a:ext cx="8308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127297</xdr:colOff>
      <xdr:row>9</xdr:row>
      <xdr:rowOff>47811</xdr:rowOff>
    </xdr:from>
    <xdr:to>
      <xdr:col>10</xdr:col>
      <xdr:colOff>349977</xdr:colOff>
      <xdr:row>9</xdr:row>
      <xdr:rowOff>47811</xdr:rowOff>
    </xdr:to>
    <xdr:cxnSp macro="">
      <xdr:nvCxnSpPr>
        <xdr:cNvPr id="50" name="Straight Arrow Connector 49">
          <a:extLst>
            <a:ext uri="{FF2B5EF4-FFF2-40B4-BE49-F238E27FC236}">
              <a16:creationId xmlns:a16="http://schemas.microsoft.com/office/drawing/2014/main" id="{00000000-0008-0000-0400-000032000000}"/>
            </a:ext>
          </a:extLst>
        </xdr:cNvPr>
        <xdr:cNvCxnSpPr/>
      </xdr:nvCxnSpPr>
      <xdr:spPr>
        <a:xfrm flipH="1">
          <a:off x="5600509" y="1894196"/>
          <a:ext cx="8308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503544</xdr:colOff>
      <xdr:row>10</xdr:row>
      <xdr:rowOff>197682</xdr:rowOff>
    </xdr:from>
    <xdr:ext cx="1476498" cy="354111"/>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4760486" y="2256547"/>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No continuous operation</a:t>
          </a:r>
        </a:p>
        <a:p>
          <a:r>
            <a:rPr lang="en-US" sz="800"/>
            <a:t>1 - Continuous</a:t>
          </a:r>
          <a:r>
            <a:rPr lang="en-US" sz="800" baseline="0"/>
            <a:t> operation</a:t>
          </a:r>
          <a:endParaRPr lang="en-US" sz="800"/>
        </a:p>
      </xdr:txBody>
    </xdr:sp>
    <xdr:clientData/>
  </xdr:oneCellAnchor>
  <xdr:twoCellAnchor>
    <xdr:from>
      <xdr:col>1</xdr:col>
      <xdr:colOff>407276</xdr:colOff>
      <xdr:row>21</xdr:row>
      <xdr:rowOff>137948</xdr:rowOff>
    </xdr:from>
    <xdr:to>
      <xdr:col>3</xdr:col>
      <xdr:colOff>236075</xdr:colOff>
      <xdr:row>25</xdr:row>
      <xdr:rowOff>178551</xdr:rowOff>
    </xdr:to>
    <xdr:grpSp>
      <xdr:nvGrpSpPr>
        <xdr:cNvPr id="52" name="Group 51">
          <a:extLst>
            <a:ext uri="{FF2B5EF4-FFF2-40B4-BE49-F238E27FC236}">
              <a16:creationId xmlns:a16="http://schemas.microsoft.com/office/drawing/2014/main" id="{00000000-0008-0000-0400-000034000000}"/>
            </a:ext>
          </a:extLst>
        </xdr:cNvPr>
        <xdr:cNvGrpSpPr/>
      </xdr:nvGrpSpPr>
      <xdr:grpSpPr>
        <a:xfrm>
          <a:off x="1016876" y="4214648"/>
          <a:ext cx="1047999" cy="833083"/>
          <a:chOff x="610115" y="190500"/>
          <a:chExt cx="1064161" cy="734695"/>
        </a:xfrm>
      </xdr:grpSpPr>
      <xdr:sp macro="" textlink="">
        <xdr:nvSpPr>
          <xdr:cNvPr id="53" name="Rectangle 52">
            <a:extLst>
              <a:ext uri="{FF2B5EF4-FFF2-40B4-BE49-F238E27FC236}">
                <a16:creationId xmlns:a16="http://schemas.microsoft.com/office/drawing/2014/main" id="{00000000-0008-0000-0400-000035000000}"/>
              </a:ext>
            </a:extLst>
          </xdr:cNvPr>
          <xdr:cNvSpPr/>
        </xdr:nvSpPr>
        <xdr:spPr>
          <a:xfrm>
            <a:off x="610115" y="190500"/>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LINFlexD0</a:t>
            </a:r>
            <a:endParaRPr lang="en-US" sz="1100"/>
          </a:p>
        </xdr:txBody>
      </xdr:sp>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024523" y="203183"/>
            <a:ext cx="629166"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55" name="TextBox 54">
            <a:extLst>
              <a:ext uri="{FF2B5EF4-FFF2-40B4-BE49-F238E27FC236}">
                <a16:creationId xmlns:a16="http://schemas.microsoft.com/office/drawing/2014/main" id="{00000000-0008-0000-0400-000037000000}"/>
              </a:ext>
            </a:extLst>
          </xdr:cNvPr>
          <xdr:cNvSpPr txBox="1"/>
        </xdr:nvSpPr>
        <xdr:spPr>
          <a:xfrm>
            <a:off x="1045111" y="709226"/>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LIN_CLK</a:t>
            </a:r>
          </a:p>
        </xdr:txBody>
      </xdr:sp>
    </xdr:grpSp>
    <xdr:clientData/>
  </xdr:twoCellAnchor>
  <xdr:twoCellAnchor>
    <xdr:from>
      <xdr:col>22</xdr:col>
      <xdr:colOff>302173</xdr:colOff>
      <xdr:row>3</xdr:row>
      <xdr:rowOff>6569</xdr:rowOff>
    </xdr:from>
    <xdr:to>
      <xdr:col>22</xdr:col>
      <xdr:colOff>302173</xdr:colOff>
      <xdr:row>90</xdr:row>
      <xdr:rowOff>168520</xdr:rowOff>
    </xdr:to>
    <xdr:cxnSp macro="">
      <xdr:nvCxnSpPr>
        <xdr:cNvPr id="56" name="Straight Arrow Connector 55">
          <a:extLst>
            <a:ext uri="{FF2B5EF4-FFF2-40B4-BE49-F238E27FC236}">
              <a16:creationId xmlns:a16="http://schemas.microsoft.com/office/drawing/2014/main" id="{00000000-0008-0000-0400-000038000000}"/>
            </a:ext>
          </a:extLst>
        </xdr:cNvPr>
        <xdr:cNvCxnSpPr/>
      </xdr:nvCxnSpPr>
      <xdr:spPr>
        <a:xfrm>
          <a:off x="13681135" y="607377"/>
          <a:ext cx="0" cy="17343585"/>
        </a:xfrm>
        <a:prstGeom prst="straightConnector1">
          <a:avLst/>
        </a:prstGeom>
        <a:ln w="19050">
          <a:solidFill>
            <a:schemeClr val="accent4"/>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21</xdr:col>
      <xdr:colOff>374430</xdr:colOff>
      <xdr:row>0</xdr:row>
      <xdr:rowOff>65690</xdr:rowOff>
    </xdr:from>
    <xdr:ext cx="1057275" cy="419101"/>
    <xdr:sp macro="" textlink="">
      <xdr:nvSpPr>
        <xdr:cNvPr id="57" name="TextBox 56">
          <a:hlinkClick xmlns:r="http://schemas.openxmlformats.org/officeDocument/2006/relationships" r:id="rId5"/>
          <a:extLst>
            <a:ext uri="{FF2B5EF4-FFF2-40B4-BE49-F238E27FC236}">
              <a16:creationId xmlns:a16="http://schemas.microsoft.com/office/drawing/2014/main" id="{00000000-0008-0000-0400-000039000000}"/>
            </a:ext>
          </a:extLst>
        </xdr:cNvPr>
        <xdr:cNvSpPr txBox="1"/>
      </xdr:nvSpPr>
      <xdr:spPr>
        <a:xfrm>
          <a:off x="13203620" y="6569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F20</a:t>
          </a:r>
        </a:p>
      </xdr:txBody>
    </xdr:sp>
    <xdr:clientData/>
  </xdr:oneCellAnchor>
  <xdr:twoCellAnchor>
    <xdr:from>
      <xdr:col>15</xdr:col>
      <xdr:colOff>161193</xdr:colOff>
      <xdr:row>24</xdr:row>
      <xdr:rowOff>209991</xdr:rowOff>
    </xdr:from>
    <xdr:to>
      <xdr:col>20</xdr:col>
      <xdr:colOff>289037</xdr:colOff>
      <xdr:row>24</xdr:row>
      <xdr:rowOff>209991</xdr:rowOff>
    </xdr:to>
    <xdr:cxnSp macro="">
      <xdr:nvCxnSpPr>
        <xdr:cNvPr id="58" name="Straight Arrow Connector 57">
          <a:extLst>
            <a:ext uri="{FF2B5EF4-FFF2-40B4-BE49-F238E27FC236}">
              <a16:creationId xmlns:a16="http://schemas.microsoft.com/office/drawing/2014/main" id="{00000000-0008-0000-0400-00003A000000}"/>
            </a:ext>
          </a:extLst>
        </xdr:cNvPr>
        <xdr:cNvCxnSpPr/>
      </xdr:nvCxnSpPr>
      <xdr:spPr>
        <a:xfrm flipH="1">
          <a:off x="9283212" y="5141010"/>
          <a:ext cx="3168517"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161193</xdr:colOff>
      <xdr:row>22</xdr:row>
      <xdr:rowOff>77017</xdr:rowOff>
    </xdr:from>
    <xdr:to>
      <xdr:col>22</xdr:col>
      <xdr:colOff>295607</xdr:colOff>
      <xdr:row>22</xdr:row>
      <xdr:rowOff>77017</xdr:rowOff>
    </xdr:to>
    <xdr:cxnSp macro="">
      <xdr:nvCxnSpPr>
        <xdr:cNvPr id="62" name="Straight Arrow Connector 61">
          <a:extLst>
            <a:ext uri="{FF2B5EF4-FFF2-40B4-BE49-F238E27FC236}">
              <a16:creationId xmlns:a16="http://schemas.microsoft.com/office/drawing/2014/main" id="{00000000-0008-0000-0400-00003E000000}"/>
            </a:ext>
          </a:extLst>
        </xdr:cNvPr>
        <xdr:cNvCxnSpPr/>
      </xdr:nvCxnSpPr>
      <xdr:spPr>
        <a:xfrm flipH="1">
          <a:off x="9283212" y="4612382"/>
          <a:ext cx="4391357" cy="0"/>
        </a:xfrm>
        <a:prstGeom prst="straightConnector1">
          <a:avLst/>
        </a:prstGeom>
        <a:ln w="19050">
          <a:solidFill>
            <a:schemeClr val="accent4"/>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352197</xdr:colOff>
      <xdr:row>21</xdr:row>
      <xdr:rowOff>26277</xdr:rowOff>
    </xdr:from>
    <xdr:to>
      <xdr:col>10</xdr:col>
      <xdr:colOff>526780</xdr:colOff>
      <xdr:row>23</xdr:row>
      <xdr:rowOff>76415</xdr:rowOff>
    </xdr:to>
    <xdr:sp macro="" textlink="">
      <xdr:nvSpPr>
        <xdr:cNvPr id="68" name="Rectangle 67">
          <a:extLst>
            <a:ext uri="{FF2B5EF4-FFF2-40B4-BE49-F238E27FC236}">
              <a16:creationId xmlns:a16="http://schemas.microsoft.com/office/drawing/2014/main" id="{00000000-0008-0000-0400-000044000000}"/>
            </a:ext>
          </a:extLst>
        </xdr:cNvPr>
        <xdr:cNvSpPr/>
      </xdr:nvSpPr>
      <xdr:spPr>
        <a:xfrm>
          <a:off x="5825409" y="4349162"/>
          <a:ext cx="782717" cy="46044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00"/>
            <a:t>/2</a:t>
          </a:r>
        </a:p>
        <a:p>
          <a:pPr algn="ctr"/>
          <a:r>
            <a:rPr lang="en-US" sz="800"/>
            <a:t>LP Mode-Only</a:t>
          </a:r>
        </a:p>
      </xdr:txBody>
    </xdr:sp>
    <xdr:clientData/>
  </xdr:twoCellAnchor>
  <xdr:twoCellAnchor>
    <xdr:from>
      <xdr:col>7</xdr:col>
      <xdr:colOff>14654</xdr:colOff>
      <xdr:row>22</xdr:row>
      <xdr:rowOff>44020</xdr:rowOff>
    </xdr:from>
    <xdr:to>
      <xdr:col>9</xdr:col>
      <xdr:colOff>352197</xdr:colOff>
      <xdr:row>22</xdr:row>
      <xdr:rowOff>44777</xdr:rowOff>
    </xdr:to>
    <xdr:cxnSp macro="">
      <xdr:nvCxnSpPr>
        <xdr:cNvPr id="69" name="Straight Arrow Connector 68">
          <a:extLst>
            <a:ext uri="{FF2B5EF4-FFF2-40B4-BE49-F238E27FC236}">
              <a16:creationId xmlns:a16="http://schemas.microsoft.com/office/drawing/2014/main" id="{00000000-0008-0000-0400-000045000000}"/>
            </a:ext>
          </a:extLst>
        </xdr:cNvPr>
        <xdr:cNvCxnSpPr>
          <a:stCxn id="68" idx="1"/>
        </xdr:cNvCxnSpPr>
      </xdr:nvCxnSpPr>
      <xdr:spPr>
        <a:xfrm flipH="1">
          <a:off x="4271596" y="4579385"/>
          <a:ext cx="1553813" cy="757"/>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308741</xdr:colOff>
      <xdr:row>2</xdr:row>
      <xdr:rowOff>203638</xdr:rowOff>
    </xdr:from>
    <xdr:to>
      <xdr:col>24</xdr:col>
      <xdr:colOff>308741</xdr:colOff>
      <xdr:row>90</xdr:row>
      <xdr:rowOff>161193</xdr:rowOff>
    </xdr:to>
    <xdr:cxnSp macro="">
      <xdr:nvCxnSpPr>
        <xdr:cNvPr id="75" name="Straight Arrow Connector 74">
          <a:extLst>
            <a:ext uri="{FF2B5EF4-FFF2-40B4-BE49-F238E27FC236}">
              <a16:creationId xmlns:a16="http://schemas.microsoft.com/office/drawing/2014/main" id="{00000000-0008-0000-0400-00004B000000}"/>
            </a:ext>
          </a:extLst>
        </xdr:cNvPr>
        <xdr:cNvCxnSpPr/>
      </xdr:nvCxnSpPr>
      <xdr:spPr>
        <a:xfrm>
          <a:off x="14903972" y="591965"/>
          <a:ext cx="0" cy="17351670"/>
        </a:xfrm>
        <a:prstGeom prst="straightConnector1">
          <a:avLst/>
        </a:prstGeom>
        <a:ln w="19050">
          <a:solidFill>
            <a:schemeClr val="bg2">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23</xdr:col>
      <xdr:colOff>374431</xdr:colOff>
      <xdr:row>0</xdr:row>
      <xdr:rowOff>78828</xdr:rowOff>
    </xdr:from>
    <xdr:ext cx="1057275" cy="419101"/>
    <xdr:sp macro="" textlink="">
      <xdr:nvSpPr>
        <xdr:cNvPr id="76" name="TextBox 75">
          <a:hlinkClick xmlns:r="http://schemas.openxmlformats.org/officeDocument/2006/relationships" r:id="rId6"/>
          <a:extLst>
            <a:ext uri="{FF2B5EF4-FFF2-40B4-BE49-F238E27FC236}">
              <a16:creationId xmlns:a16="http://schemas.microsoft.com/office/drawing/2014/main" id="{00000000-0008-0000-0400-00004C000000}"/>
            </a:ext>
          </a:extLst>
        </xdr:cNvPr>
        <xdr:cNvSpPr txBox="1"/>
      </xdr:nvSpPr>
      <xdr:spPr>
        <a:xfrm>
          <a:off x="14425448" y="7882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twoCellAnchor>
    <xdr:from>
      <xdr:col>1</xdr:col>
      <xdr:colOff>400707</xdr:colOff>
      <xdr:row>29</xdr:row>
      <xdr:rowOff>26276</xdr:rowOff>
    </xdr:from>
    <xdr:to>
      <xdr:col>3</xdr:col>
      <xdr:colOff>238953</xdr:colOff>
      <xdr:row>33</xdr:row>
      <xdr:rowOff>116859</xdr:rowOff>
    </xdr:to>
    <xdr:grpSp>
      <xdr:nvGrpSpPr>
        <xdr:cNvPr id="77" name="Group 76">
          <a:extLst>
            <a:ext uri="{FF2B5EF4-FFF2-40B4-BE49-F238E27FC236}">
              <a16:creationId xmlns:a16="http://schemas.microsoft.com/office/drawing/2014/main" id="{00000000-0008-0000-0400-00004D000000}"/>
            </a:ext>
          </a:extLst>
        </xdr:cNvPr>
        <xdr:cNvGrpSpPr/>
      </xdr:nvGrpSpPr>
      <xdr:grpSpPr>
        <a:xfrm>
          <a:off x="1010307" y="5687936"/>
          <a:ext cx="1057446" cy="883063"/>
          <a:chOff x="15495714" y="1624396"/>
          <a:chExt cx="1059680" cy="764660"/>
        </a:xfrm>
      </xdr:grpSpPr>
      <xdr:grpSp>
        <xdr:nvGrpSpPr>
          <xdr:cNvPr id="78" name="Group 77">
            <a:extLst>
              <a:ext uri="{FF2B5EF4-FFF2-40B4-BE49-F238E27FC236}">
                <a16:creationId xmlns:a16="http://schemas.microsoft.com/office/drawing/2014/main" id="{00000000-0008-0000-0400-00004E000000}"/>
              </a:ext>
            </a:extLst>
          </xdr:cNvPr>
          <xdr:cNvGrpSpPr/>
        </xdr:nvGrpSpPr>
        <xdr:grpSpPr>
          <a:xfrm>
            <a:off x="15495714" y="1640962"/>
            <a:ext cx="1059680" cy="748094"/>
            <a:chOff x="610114" y="190499"/>
            <a:chExt cx="1073331" cy="740706"/>
          </a:xfrm>
        </xdr:grpSpPr>
        <xdr:sp macro="" textlink="">
          <xdr:nvSpPr>
            <xdr:cNvPr id="80" name="Rectangle 79">
              <a:extLst>
                <a:ext uri="{FF2B5EF4-FFF2-40B4-BE49-F238E27FC236}">
                  <a16:creationId xmlns:a16="http://schemas.microsoft.com/office/drawing/2014/main" id="{00000000-0008-0000-0400-000050000000}"/>
                </a:ext>
              </a:extLst>
            </xdr:cNvPr>
            <xdr:cNvSpPr/>
          </xdr:nvSpPr>
          <xdr:spPr>
            <a:xfrm>
              <a:off x="610114" y="190499"/>
              <a:ext cx="1014821" cy="73469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SPI0</a:t>
              </a:r>
              <a:endParaRPr lang="en-US" sz="1100"/>
            </a:p>
          </xdr:txBody>
        </xdr:sp>
        <xdr:sp macro="" textlink="">
          <xdr:nvSpPr>
            <xdr:cNvPr id="81" name="TextBox 80">
              <a:extLst>
                <a:ext uri="{FF2B5EF4-FFF2-40B4-BE49-F238E27FC236}">
                  <a16:creationId xmlns:a16="http://schemas.microsoft.com/office/drawing/2014/main" id="{00000000-0008-0000-0400-000051000000}"/>
                </a:ext>
              </a:extLst>
            </xdr:cNvPr>
            <xdr:cNvSpPr txBox="1"/>
          </xdr:nvSpPr>
          <xdr:spPr>
            <a:xfrm>
              <a:off x="1001337" y="29213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sp macro="" textlink="">
          <xdr:nvSpPr>
            <xdr:cNvPr id="82" name="TextBox 81">
              <a:extLst>
                <a:ext uri="{FF2B5EF4-FFF2-40B4-BE49-F238E27FC236}">
                  <a16:creationId xmlns:a16="http://schemas.microsoft.com/office/drawing/2014/main" id="{00000000-0008-0000-0400-000052000000}"/>
                </a:ext>
              </a:extLst>
            </xdr:cNvPr>
            <xdr:cNvSpPr txBox="1"/>
          </xdr:nvSpPr>
          <xdr:spPr>
            <a:xfrm>
              <a:off x="1054280" y="750230"/>
              <a:ext cx="62916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Baud Clock</a:t>
              </a:r>
            </a:p>
          </xdr:txBody>
        </xdr:sp>
      </xdr:grpSp>
      <xdr:sp macro="" textlink="">
        <xdr:nvSpPr>
          <xdr:cNvPr id="79" name="TextBox 78">
            <a:extLst>
              <a:ext uri="{FF2B5EF4-FFF2-40B4-BE49-F238E27FC236}">
                <a16:creationId xmlns:a16="http://schemas.microsoft.com/office/drawing/2014/main" id="{00000000-0008-0000-0400-00004F000000}"/>
              </a:ext>
            </a:extLst>
          </xdr:cNvPr>
          <xdr:cNvSpPr txBox="1"/>
        </xdr:nvSpPr>
        <xdr:spPr>
          <a:xfrm>
            <a:off x="15775287" y="1624396"/>
            <a:ext cx="719938"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13</xdr:col>
      <xdr:colOff>478367</xdr:colOff>
      <xdr:row>32</xdr:row>
      <xdr:rowOff>60278</xdr:rowOff>
    </xdr:from>
    <xdr:to>
      <xdr:col>15</xdr:col>
      <xdr:colOff>249893</xdr:colOff>
      <xdr:row>36</xdr:row>
      <xdr:rowOff>173470</xdr:rowOff>
    </xdr:to>
    <xdr:sp macro="" textlink="">
      <xdr:nvSpPr>
        <xdr:cNvPr id="83" name="Rectangle 82">
          <a:extLst>
            <a:ext uri="{FF2B5EF4-FFF2-40B4-BE49-F238E27FC236}">
              <a16:creationId xmlns:a16="http://schemas.microsoft.com/office/drawing/2014/main" id="{00000000-0008-0000-0400-000053000000}"/>
            </a:ext>
          </a:extLst>
        </xdr:cNvPr>
        <xdr:cNvSpPr/>
      </xdr:nvSpPr>
      <xdr:spPr>
        <a:xfrm>
          <a:off x="8372211" y="6620622"/>
          <a:ext cx="985963" cy="9406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8</a:t>
          </a:r>
        </a:p>
        <a:p>
          <a:pPr algn="ctr"/>
          <a:r>
            <a:rPr lang="en-US" sz="900"/>
            <a:t>MC_CGM_AC8_SC[SELCTL]</a:t>
          </a:r>
        </a:p>
      </xdr:txBody>
    </xdr:sp>
    <xdr:clientData/>
  </xdr:twoCellAnchor>
  <xdr:oneCellAnchor>
    <xdr:from>
      <xdr:col>13</xdr:col>
      <xdr:colOff>579472</xdr:colOff>
      <xdr:row>38</xdr:row>
      <xdr:rowOff>3088</xdr:rowOff>
    </xdr:from>
    <xdr:ext cx="876300" cy="342900"/>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8473316" y="7801682"/>
          <a:ext cx="8763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F40</a:t>
          </a:r>
        </a:p>
        <a:p>
          <a:r>
            <a:rPr lang="en-US" sz="800"/>
            <a:t>1 - FXOSC</a:t>
          </a:r>
        </a:p>
      </xdr:txBody>
    </xdr:sp>
    <xdr:clientData/>
  </xdr:oneCellAnchor>
  <xdr:twoCellAnchor>
    <xdr:from>
      <xdr:col>15</xdr:col>
      <xdr:colOff>261938</xdr:colOff>
      <xdr:row>33</xdr:row>
      <xdr:rowOff>52953</xdr:rowOff>
    </xdr:from>
    <xdr:to>
      <xdr:col>20</xdr:col>
      <xdr:colOff>295604</xdr:colOff>
      <xdr:row>33</xdr:row>
      <xdr:rowOff>52953</xdr:rowOff>
    </xdr:to>
    <xdr:cxnSp macro="">
      <xdr:nvCxnSpPr>
        <xdr:cNvPr id="85" name="Straight Arrow Connector 84">
          <a:extLst>
            <a:ext uri="{FF2B5EF4-FFF2-40B4-BE49-F238E27FC236}">
              <a16:creationId xmlns:a16="http://schemas.microsoft.com/office/drawing/2014/main" id="{00000000-0008-0000-0400-000055000000}"/>
            </a:ext>
          </a:extLst>
        </xdr:cNvPr>
        <xdr:cNvCxnSpPr/>
      </xdr:nvCxnSpPr>
      <xdr:spPr>
        <a:xfrm flipH="1">
          <a:off x="9370219" y="6821656"/>
          <a:ext cx="3069760"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267891</xdr:colOff>
      <xdr:row>35</xdr:row>
      <xdr:rowOff>153008</xdr:rowOff>
    </xdr:from>
    <xdr:to>
      <xdr:col>16</xdr:col>
      <xdr:colOff>302175</xdr:colOff>
      <xdr:row>35</xdr:row>
      <xdr:rowOff>153008</xdr:rowOff>
    </xdr:to>
    <xdr:cxnSp macro="">
      <xdr:nvCxnSpPr>
        <xdr:cNvPr id="86" name="Straight Arrow Connector 85">
          <a:extLst>
            <a:ext uri="{FF2B5EF4-FFF2-40B4-BE49-F238E27FC236}">
              <a16:creationId xmlns:a16="http://schemas.microsoft.com/office/drawing/2014/main" id="{00000000-0008-0000-0400-000056000000}"/>
            </a:ext>
          </a:extLst>
        </xdr:cNvPr>
        <xdr:cNvCxnSpPr/>
      </xdr:nvCxnSpPr>
      <xdr:spPr>
        <a:xfrm flipH="1">
          <a:off x="9376172" y="7338430"/>
          <a:ext cx="641503"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139211</xdr:colOff>
      <xdr:row>30</xdr:row>
      <xdr:rowOff>49965</xdr:rowOff>
    </xdr:from>
    <xdr:to>
      <xdr:col>24</xdr:col>
      <xdr:colOff>315314</xdr:colOff>
      <xdr:row>30</xdr:row>
      <xdr:rowOff>62888</xdr:rowOff>
    </xdr:to>
    <xdr:cxnSp macro="">
      <xdr:nvCxnSpPr>
        <xdr:cNvPr id="88" name="Straight Arrow Connector 87">
          <a:extLst>
            <a:ext uri="{FF2B5EF4-FFF2-40B4-BE49-F238E27FC236}">
              <a16:creationId xmlns:a16="http://schemas.microsoft.com/office/drawing/2014/main" id="{00000000-0008-0000-0400-000058000000}"/>
            </a:ext>
          </a:extLst>
        </xdr:cNvPr>
        <xdr:cNvCxnSpPr/>
      </xdr:nvCxnSpPr>
      <xdr:spPr>
        <a:xfrm flipH="1">
          <a:off x="6828692" y="6285177"/>
          <a:ext cx="8081853" cy="12923"/>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178762</xdr:colOff>
      <xdr:row>29</xdr:row>
      <xdr:rowOff>124810</xdr:rowOff>
    </xdr:from>
    <xdr:to>
      <xdr:col>4</xdr:col>
      <xdr:colOff>499242</xdr:colOff>
      <xdr:row>29</xdr:row>
      <xdr:rowOff>128175</xdr:rowOff>
    </xdr:to>
    <xdr:cxnSp macro="">
      <xdr:nvCxnSpPr>
        <xdr:cNvPr id="89" name="Straight Arrow Connector 88">
          <a:extLst>
            <a:ext uri="{FF2B5EF4-FFF2-40B4-BE49-F238E27FC236}">
              <a16:creationId xmlns:a16="http://schemas.microsoft.com/office/drawing/2014/main" id="{00000000-0008-0000-0400-000059000000}"/>
            </a:ext>
          </a:extLst>
        </xdr:cNvPr>
        <xdr:cNvCxnSpPr>
          <a:endCxn id="79" idx="3"/>
        </xdr:cNvCxnSpPr>
      </xdr:nvCxnSpPr>
      <xdr:spPr>
        <a:xfrm flipH="1">
          <a:off x="2011503" y="5833241"/>
          <a:ext cx="931394" cy="3365"/>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497117</xdr:colOff>
      <xdr:row>29</xdr:row>
      <xdr:rowOff>115780</xdr:rowOff>
    </xdr:from>
    <xdr:to>
      <xdr:col>4</xdr:col>
      <xdr:colOff>497117</xdr:colOff>
      <xdr:row>30</xdr:row>
      <xdr:rowOff>64122</xdr:rowOff>
    </xdr:to>
    <xdr:cxnSp macro="">
      <xdr:nvCxnSpPr>
        <xdr:cNvPr id="90" name="Straight Arrow Connector 89">
          <a:extLst>
            <a:ext uri="{FF2B5EF4-FFF2-40B4-BE49-F238E27FC236}">
              <a16:creationId xmlns:a16="http://schemas.microsoft.com/office/drawing/2014/main" id="{00000000-0008-0000-0400-00005A000000}"/>
            </a:ext>
          </a:extLst>
        </xdr:cNvPr>
        <xdr:cNvCxnSpPr/>
      </xdr:nvCxnSpPr>
      <xdr:spPr>
        <a:xfrm flipV="1">
          <a:off x="2940772" y="5824211"/>
          <a:ext cx="0" cy="138842"/>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308742</xdr:colOff>
      <xdr:row>6</xdr:row>
      <xdr:rowOff>79122</xdr:rowOff>
    </xdr:from>
    <xdr:to>
      <xdr:col>31</xdr:col>
      <xdr:colOff>388327</xdr:colOff>
      <xdr:row>6</xdr:row>
      <xdr:rowOff>79122</xdr:rowOff>
    </xdr:to>
    <xdr:cxnSp macro="">
      <xdr:nvCxnSpPr>
        <xdr:cNvPr id="60" name="Straight Arrow Connector 59">
          <a:extLst>
            <a:ext uri="{FF2B5EF4-FFF2-40B4-BE49-F238E27FC236}">
              <a16:creationId xmlns:a16="http://schemas.microsoft.com/office/drawing/2014/main" id="{00000000-0008-0000-0400-00003C000000}"/>
            </a:ext>
          </a:extLst>
        </xdr:cNvPr>
        <xdr:cNvCxnSpPr/>
      </xdr:nvCxnSpPr>
      <xdr:spPr>
        <a:xfrm>
          <a:off x="11255165" y="1288064"/>
          <a:ext cx="7985335"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590049</xdr:colOff>
      <xdr:row>6</xdr:row>
      <xdr:rowOff>23588</xdr:rowOff>
    </xdr:from>
    <xdr:to>
      <xdr:col>43</xdr:col>
      <xdr:colOff>399412</xdr:colOff>
      <xdr:row>10</xdr:row>
      <xdr:rowOff>25717</xdr:rowOff>
    </xdr:to>
    <xdr:grpSp>
      <xdr:nvGrpSpPr>
        <xdr:cNvPr id="61" name="Group 60">
          <a:extLst>
            <a:ext uri="{FF2B5EF4-FFF2-40B4-BE49-F238E27FC236}">
              <a16:creationId xmlns:a16="http://schemas.microsoft.com/office/drawing/2014/main" id="{00000000-0008-0000-0400-00003D000000}"/>
            </a:ext>
          </a:extLst>
        </xdr:cNvPr>
        <xdr:cNvGrpSpPr/>
      </xdr:nvGrpSpPr>
      <xdr:grpSpPr>
        <a:xfrm>
          <a:off x="25583649" y="1174208"/>
          <a:ext cx="1028563" cy="794609"/>
          <a:chOff x="24181687" y="4922643"/>
          <a:chExt cx="1036749" cy="767666"/>
        </a:xfrm>
      </xdr:grpSpPr>
      <xdr:sp macro="" textlink="">
        <xdr:nvSpPr>
          <xdr:cNvPr id="63" name="Rectangle 62">
            <a:extLst>
              <a:ext uri="{FF2B5EF4-FFF2-40B4-BE49-F238E27FC236}">
                <a16:creationId xmlns:a16="http://schemas.microsoft.com/office/drawing/2014/main" id="{00000000-0008-0000-0400-00003F000000}"/>
              </a:ext>
            </a:extLst>
          </xdr:cNvPr>
          <xdr:cNvSpPr/>
        </xdr:nvSpPr>
        <xdr:spPr>
          <a:xfrm>
            <a:off x="24212643" y="4922643"/>
            <a:ext cx="100579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eMIOS2</a:t>
            </a:r>
          </a:p>
        </xdr:txBody>
      </xdr:sp>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24181687" y="4945962"/>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Clock</a:t>
            </a:r>
          </a:p>
        </xdr:txBody>
      </xdr:sp>
      <xdr:sp macro="" textlink="">
        <xdr:nvSpPr>
          <xdr:cNvPr id="65" name="TextBox 64">
            <a:extLst>
              <a:ext uri="{FF2B5EF4-FFF2-40B4-BE49-F238E27FC236}">
                <a16:creationId xmlns:a16="http://schemas.microsoft.com/office/drawing/2014/main" id="{00000000-0008-0000-0400-000041000000}"/>
              </a:ext>
            </a:extLst>
          </xdr:cNvPr>
          <xdr:cNvSpPr txBox="1"/>
        </xdr:nvSpPr>
        <xdr:spPr>
          <a:xfrm>
            <a:off x="24183000" y="5479362"/>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40</xdr:col>
      <xdr:colOff>401003</xdr:colOff>
      <xdr:row>9</xdr:row>
      <xdr:rowOff>113478</xdr:rowOff>
    </xdr:from>
    <xdr:to>
      <xdr:col>41</xdr:col>
      <xdr:colOff>591355</xdr:colOff>
      <xdr:row>9</xdr:row>
      <xdr:rowOff>117981</xdr:rowOff>
    </xdr:to>
    <xdr:cxnSp macro="">
      <xdr:nvCxnSpPr>
        <xdr:cNvPr id="66" name="Straight Arrow Connector 65">
          <a:extLst>
            <a:ext uri="{FF2B5EF4-FFF2-40B4-BE49-F238E27FC236}">
              <a16:creationId xmlns:a16="http://schemas.microsoft.com/office/drawing/2014/main" id="{00000000-0008-0000-0400-000042000000}"/>
            </a:ext>
          </a:extLst>
        </xdr:cNvPr>
        <xdr:cNvCxnSpPr>
          <a:endCxn id="65" idx="1"/>
        </xdr:cNvCxnSpPr>
      </xdr:nvCxnSpPr>
      <xdr:spPr>
        <a:xfrm flipV="1">
          <a:off x="24837555" y="1900237"/>
          <a:ext cx="801266" cy="4503"/>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403829</xdr:colOff>
      <xdr:row>6</xdr:row>
      <xdr:rowOff>142703</xdr:rowOff>
    </xdr:from>
    <xdr:to>
      <xdr:col>40</xdr:col>
      <xdr:colOff>403829</xdr:colOff>
      <xdr:row>9</xdr:row>
      <xdr:rowOff>110843</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V="1">
          <a:off x="24840381" y="1344824"/>
          <a:ext cx="0" cy="552778"/>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265941</xdr:colOff>
      <xdr:row>15</xdr:row>
      <xdr:rowOff>137955</xdr:rowOff>
    </xdr:from>
    <xdr:to>
      <xdr:col>43</xdr:col>
      <xdr:colOff>95997</xdr:colOff>
      <xdr:row>19</xdr:row>
      <xdr:rowOff>114284</xdr:rowOff>
    </xdr:to>
    <xdr:grpSp>
      <xdr:nvGrpSpPr>
        <xdr:cNvPr id="70" name="Group 69">
          <a:extLst>
            <a:ext uri="{FF2B5EF4-FFF2-40B4-BE49-F238E27FC236}">
              <a16:creationId xmlns:a16="http://schemas.microsoft.com/office/drawing/2014/main" id="{00000000-0008-0000-0400-000046000000}"/>
            </a:ext>
          </a:extLst>
        </xdr:cNvPr>
        <xdr:cNvGrpSpPr/>
      </xdr:nvGrpSpPr>
      <xdr:grpSpPr>
        <a:xfrm>
          <a:off x="25259541" y="3025935"/>
          <a:ext cx="1049256" cy="768809"/>
          <a:chOff x="24162576" y="1967445"/>
          <a:chExt cx="1056546" cy="763336"/>
        </a:xfrm>
      </xdr:grpSpPr>
      <xdr:sp macro="" textlink="">
        <xdr:nvSpPr>
          <xdr:cNvPr id="71" name="Rectangle 70">
            <a:extLst>
              <a:ext uri="{FF2B5EF4-FFF2-40B4-BE49-F238E27FC236}">
                <a16:creationId xmlns:a16="http://schemas.microsoft.com/office/drawing/2014/main" id="{00000000-0008-0000-0400-000047000000}"/>
              </a:ext>
            </a:extLst>
          </xdr:cNvPr>
          <xdr:cNvSpPr/>
        </xdr:nvSpPr>
        <xdr:spPr>
          <a:xfrm>
            <a:off x="24214225" y="1967445"/>
            <a:ext cx="1004897" cy="7633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MEMU_1</a:t>
            </a:r>
            <a:endParaRPr lang="en-US" sz="1100"/>
          </a:p>
        </xdr:txBody>
      </xdr:sp>
      <xdr:sp macro="" textlink="">
        <xdr:nvSpPr>
          <xdr:cNvPr id="72" name="TextBox 71">
            <a:extLst>
              <a:ext uri="{FF2B5EF4-FFF2-40B4-BE49-F238E27FC236}">
                <a16:creationId xmlns:a16="http://schemas.microsoft.com/office/drawing/2014/main" id="{00000000-0008-0000-0400-000048000000}"/>
              </a:ext>
            </a:extLst>
          </xdr:cNvPr>
          <xdr:cNvSpPr txBox="1"/>
        </xdr:nvSpPr>
        <xdr:spPr>
          <a:xfrm>
            <a:off x="24162576" y="1967445"/>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18</xdr:col>
      <xdr:colOff>302173</xdr:colOff>
      <xdr:row>16</xdr:row>
      <xdr:rowOff>99573</xdr:rowOff>
    </xdr:from>
    <xdr:to>
      <xdr:col>31</xdr:col>
      <xdr:colOff>373673</xdr:colOff>
      <xdr:row>16</xdr:row>
      <xdr:rowOff>99573</xdr:rowOff>
    </xdr:to>
    <xdr:cxnSp macro="">
      <xdr:nvCxnSpPr>
        <xdr:cNvPr id="73" name="Straight Arrow Connector 72">
          <a:extLst>
            <a:ext uri="{FF2B5EF4-FFF2-40B4-BE49-F238E27FC236}">
              <a16:creationId xmlns:a16="http://schemas.microsoft.com/office/drawing/2014/main" id="{00000000-0008-0000-0400-000049000000}"/>
            </a:ext>
          </a:extLst>
        </xdr:cNvPr>
        <xdr:cNvCxnSpPr/>
      </xdr:nvCxnSpPr>
      <xdr:spPr>
        <a:xfrm>
          <a:off x="11248596" y="3360054"/>
          <a:ext cx="7977250"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366092</xdr:colOff>
      <xdr:row>21</xdr:row>
      <xdr:rowOff>105103</xdr:rowOff>
    </xdr:from>
    <xdr:to>
      <xdr:col>15</xdr:col>
      <xdr:colOff>143175</xdr:colOff>
      <xdr:row>25</xdr:row>
      <xdr:rowOff>179437</xdr:rowOff>
    </xdr:to>
    <xdr:sp macro="" textlink="">
      <xdr:nvSpPr>
        <xdr:cNvPr id="74" name="Rectangle 73">
          <a:extLst>
            <a:ext uri="{FF2B5EF4-FFF2-40B4-BE49-F238E27FC236}">
              <a16:creationId xmlns:a16="http://schemas.microsoft.com/office/drawing/2014/main" id="{00000000-0008-0000-0400-00004A000000}"/>
            </a:ext>
          </a:extLst>
        </xdr:cNvPr>
        <xdr:cNvSpPr/>
      </xdr:nvSpPr>
      <xdr:spPr>
        <a:xfrm>
          <a:off x="8271842" y="4427988"/>
          <a:ext cx="993352" cy="8949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50" baseline="0"/>
            <a:t>LPU_MDIS[LIN_0]</a:t>
          </a:r>
          <a:endParaRPr lang="en-US" sz="850"/>
        </a:p>
      </xdr:txBody>
    </xdr:sp>
    <xdr:clientData/>
  </xdr:twoCellAnchor>
  <xdr:twoCellAnchor>
    <xdr:from>
      <xdr:col>7</xdr:col>
      <xdr:colOff>14654</xdr:colOff>
      <xdr:row>25</xdr:row>
      <xdr:rowOff>36984</xdr:rowOff>
    </xdr:from>
    <xdr:to>
      <xdr:col>13</xdr:col>
      <xdr:colOff>352198</xdr:colOff>
      <xdr:row>25</xdr:row>
      <xdr:rowOff>36984</xdr:rowOff>
    </xdr:to>
    <xdr:cxnSp macro="">
      <xdr:nvCxnSpPr>
        <xdr:cNvPr id="91" name="Straight Arrow Connector 90">
          <a:extLst>
            <a:ext uri="{FF2B5EF4-FFF2-40B4-BE49-F238E27FC236}">
              <a16:creationId xmlns:a16="http://schemas.microsoft.com/office/drawing/2014/main" id="{00000000-0008-0000-0400-00005B000000}"/>
            </a:ext>
          </a:extLst>
        </xdr:cNvPr>
        <xdr:cNvCxnSpPr/>
      </xdr:nvCxnSpPr>
      <xdr:spPr>
        <a:xfrm flipH="1">
          <a:off x="4271596" y="5209792"/>
          <a:ext cx="39863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527068</xdr:colOff>
      <xdr:row>22</xdr:row>
      <xdr:rowOff>25745</xdr:rowOff>
    </xdr:from>
    <xdr:to>
      <xdr:col>13</xdr:col>
      <xdr:colOff>345629</xdr:colOff>
      <xdr:row>22</xdr:row>
      <xdr:rowOff>25746</xdr:rowOff>
    </xdr:to>
    <xdr:cxnSp macro="">
      <xdr:nvCxnSpPr>
        <xdr:cNvPr id="92" name="Straight Arrow Connector 91">
          <a:extLst>
            <a:ext uri="{FF2B5EF4-FFF2-40B4-BE49-F238E27FC236}">
              <a16:creationId xmlns:a16="http://schemas.microsoft.com/office/drawing/2014/main" id="{00000000-0008-0000-0400-00005C000000}"/>
            </a:ext>
          </a:extLst>
        </xdr:cNvPr>
        <xdr:cNvCxnSpPr/>
      </xdr:nvCxnSpPr>
      <xdr:spPr>
        <a:xfrm flipH="1">
          <a:off x="6608414" y="4561110"/>
          <a:ext cx="1642965"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13</xdr:col>
      <xdr:colOff>553313</xdr:colOff>
      <xdr:row>26</xdr:row>
      <xdr:rowOff>183787</xdr:rowOff>
    </xdr:from>
    <xdr:ext cx="1322379" cy="657597"/>
    <xdr:sp macro="" textlink="">
      <xdr:nvSpPr>
        <xdr:cNvPr id="93" name="TextBox 92">
          <a:extLst>
            <a:ext uri="{FF2B5EF4-FFF2-40B4-BE49-F238E27FC236}">
              <a16:creationId xmlns:a16="http://schemas.microsoft.com/office/drawing/2014/main" id="{00000000-0008-0000-0400-00005D000000}"/>
            </a:ext>
          </a:extLst>
        </xdr:cNvPr>
        <xdr:cNvSpPr txBox="1"/>
      </xdr:nvSpPr>
      <xdr:spPr>
        <a:xfrm>
          <a:off x="8459063" y="5539768"/>
          <a:ext cx="1322379"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9</xdr:col>
      <xdr:colOff>376451</xdr:colOff>
      <xdr:row>29</xdr:row>
      <xdr:rowOff>59120</xdr:rowOff>
    </xdr:from>
    <xdr:to>
      <xdr:col>11</xdr:col>
      <xdr:colOff>153535</xdr:colOff>
      <xdr:row>33</xdr:row>
      <xdr:rowOff>199144</xdr:rowOff>
    </xdr:to>
    <xdr:sp macro="" textlink="">
      <xdr:nvSpPr>
        <xdr:cNvPr id="99" name="Rectangle 98">
          <a:extLst>
            <a:ext uri="{FF2B5EF4-FFF2-40B4-BE49-F238E27FC236}">
              <a16:creationId xmlns:a16="http://schemas.microsoft.com/office/drawing/2014/main" id="{00000000-0008-0000-0400-000063000000}"/>
            </a:ext>
          </a:extLst>
        </xdr:cNvPr>
        <xdr:cNvSpPr/>
      </xdr:nvSpPr>
      <xdr:spPr>
        <a:xfrm>
          <a:off x="5849663" y="6081851"/>
          <a:ext cx="993353" cy="96063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50" baseline="0"/>
            <a:t>LPU_MDIS[SPI_0]</a:t>
          </a:r>
          <a:endParaRPr lang="en-US" sz="850"/>
        </a:p>
      </xdr:txBody>
    </xdr:sp>
    <xdr:clientData/>
  </xdr:twoCellAnchor>
  <xdr:twoCellAnchor>
    <xdr:from>
      <xdr:col>3</xdr:col>
      <xdr:colOff>186938</xdr:colOff>
      <xdr:row>30</xdr:row>
      <xdr:rowOff>64755</xdr:rowOff>
    </xdr:from>
    <xdr:to>
      <xdr:col>6</xdr:col>
      <xdr:colOff>593480</xdr:colOff>
      <xdr:row>30</xdr:row>
      <xdr:rowOff>72827</xdr:rowOff>
    </xdr:to>
    <xdr:cxnSp macro="">
      <xdr:nvCxnSpPr>
        <xdr:cNvPr id="102" name="Straight Arrow Connector 101">
          <a:extLst>
            <a:ext uri="{FF2B5EF4-FFF2-40B4-BE49-F238E27FC236}">
              <a16:creationId xmlns:a16="http://schemas.microsoft.com/office/drawing/2014/main" id="{00000000-0008-0000-0400-000066000000}"/>
            </a:ext>
          </a:extLst>
        </xdr:cNvPr>
        <xdr:cNvCxnSpPr>
          <a:endCxn id="81" idx="3"/>
        </xdr:cNvCxnSpPr>
      </xdr:nvCxnSpPr>
      <xdr:spPr>
        <a:xfrm flipH="1">
          <a:off x="2011342" y="6299967"/>
          <a:ext cx="2230946" cy="807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238953</xdr:colOff>
      <xdr:row>33</xdr:row>
      <xdr:rowOff>4453</xdr:rowOff>
    </xdr:from>
    <xdr:to>
      <xdr:col>6</xdr:col>
      <xdr:colOff>578827</xdr:colOff>
      <xdr:row>33</xdr:row>
      <xdr:rowOff>7955</xdr:rowOff>
    </xdr:to>
    <xdr:cxnSp macro="">
      <xdr:nvCxnSpPr>
        <xdr:cNvPr id="106" name="Straight Arrow Connector 105">
          <a:extLst>
            <a:ext uri="{FF2B5EF4-FFF2-40B4-BE49-F238E27FC236}">
              <a16:creationId xmlns:a16="http://schemas.microsoft.com/office/drawing/2014/main" id="{00000000-0008-0000-0400-00006A000000}"/>
            </a:ext>
          </a:extLst>
        </xdr:cNvPr>
        <xdr:cNvCxnSpPr>
          <a:endCxn id="82" idx="3"/>
        </xdr:cNvCxnSpPr>
      </xdr:nvCxnSpPr>
      <xdr:spPr>
        <a:xfrm flipH="1" flipV="1">
          <a:off x="2063357" y="6877107"/>
          <a:ext cx="2164278" cy="350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553313</xdr:colOff>
      <xdr:row>34</xdr:row>
      <xdr:rowOff>205011</xdr:rowOff>
    </xdr:from>
    <xdr:ext cx="1249110" cy="657597"/>
    <xdr:sp macro="" textlink="">
      <xdr:nvSpPr>
        <xdr:cNvPr id="110" name="TextBox 109">
          <a:extLst>
            <a:ext uri="{FF2B5EF4-FFF2-40B4-BE49-F238E27FC236}">
              <a16:creationId xmlns:a16="http://schemas.microsoft.com/office/drawing/2014/main" id="{00000000-0008-0000-0400-00006E000000}"/>
            </a:ext>
          </a:extLst>
        </xdr:cNvPr>
        <xdr:cNvSpPr txBox="1"/>
      </xdr:nvSpPr>
      <xdr:spPr>
        <a:xfrm>
          <a:off x="6026525" y="7260838"/>
          <a:ext cx="1249110"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31</xdr:col>
      <xdr:colOff>413086</xdr:colOff>
      <xdr:row>4</xdr:row>
      <xdr:rowOff>27034</xdr:rowOff>
    </xdr:from>
    <xdr:to>
      <xdr:col>33</xdr:col>
      <xdr:colOff>190170</xdr:colOff>
      <xdr:row>8</xdr:row>
      <xdr:rowOff>186764</xdr:rowOff>
    </xdr:to>
    <xdr:sp macro="" textlink="">
      <xdr:nvSpPr>
        <xdr:cNvPr id="111" name="Rectangle 110">
          <a:extLst>
            <a:ext uri="{FF2B5EF4-FFF2-40B4-BE49-F238E27FC236}">
              <a16:creationId xmlns:a16="http://schemas.microsoft.com/office/drawing/2014/main" id="{00000000-0008-0000-0400-00006F000000}"/>
            </a:ext>
          </a:extLst>
        </xdr:cNvPr>
        <xdr:cNvSpPr/>
      </xdr:nvSpPr>
      <xdr:spPr>
        <a:xfrm>
          <a:off x="19265259" y="825669"/>
          <a:ext cx="993353" cy="9949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50" baseline="0"/>
            <a:t>LPU_MDIS[eMIOS_2]</a:t>
          </a:r>
          <a:endParaRPr lang="en-US" sz="850"/>
        </a:p>
      </xdr:txBody>
    </xdr:sp>
    <xdr:clientData/>
  </xdr:twoCellAnchor>
  <xdr:oneCellAnchor>
    <xdr:from>
      <xdr:col>31</xdr:col>
      <xdr:colOff>567965</xdr:colOff>
      <xdr:row>9</xdr:row>
      <xdr:rowOff>183786</xdr:rowOff>
    </xdr:from>
    <xdr:ext cx="1589484" cy="657597"/>
    <xdr:sp macro="" textlink="">
      <xdr:nvSpPr>
        <xdr:cNvPr id="112" name="TextBox 111">
          <a:extLst>
            <a:ext uri="{FF2B5EF4-FFF2-40B4-BE49-F238E27FC236}">
              <a16:creationId xmlns:a16="http://schemas.microsoft.com/office/drawing/2014/main" id="{00000000-0008-0000-0400-000070000000}"/>
            </a:ext>
          </a:extLst>
        </xdr:cNvPr>
        <xdr:cNvSpPr txBox="1"/>
      </xdr:nvSpPr>
      <xdr:spPr>
        <a:xfrm>
          <a:off x="19420138" y="2030171"/>
          <a:ext cx="1589484"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33</xdr:col>
      <xdr:colOff>196311</xdr:colOff>
      <xdr:row>6</xdr:row>
      <xdr:rowOff>182987</xdr:rowOff>
    </xdr:from>
    <xdr:to>
      <xdr:col>36</xdr:col>
      <xdr:colOff>582722</xdr:colOff>
      <xdr:row>6</xdr:row>
      <xdr:rowOff>188313</xdr:rowOff>
    </xdr:to>
    <xdr:cxnSp macro="">
      <xdr:nvCxnSpPr>
        <xdr:cNvPr id="116" name="Straight Arrow Connector 115">
          <a:extLst>
            <a:ext uri="{FF2B5EF4-FFF2-40B4-BE49-F238E27FC236}">
              <a16:creationId xmlns:a16="http://schemas.microsoft.com/office/drawing/2014/main" id="{00000000-0008-0000-0400-000074000000}"/>
            </a:ext>
          </a:extLst>
        </xdr:cNvPr>
        <xdr:cNvCxnSpPr/>
      </xdr:nvCxnSpPr>
      <xdr:spPr>
        <a:xfrm>
          <a:off x="20264753" y="1391929"/>
          <a:ext cx="2210815" cy="5326"/>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394138</xdr:colOff>
      <xdr:row>13</xdr:row>
      <xdr:rowOff>177363</xdr:rowOff>
    </xdr:from>
    <xdr:to>
      <xdr:col>33</xdr:col>
      <xdr:colOff>171222</xdr:colOff>
      <xdr:row>18</xdr:row>
      <xdr:rowOff>186006</xdr:rowOff>
    </xdr:to>
    <xdr:sp macro="" textlink="">
      <xdr:nvSpPr>
        <xdr:cNvPr id="121" name="Rectangle 120">
          <a:extLst>
            <a:ext uri="{FF2B5EF4-FFF2-40B4-BE49-F238E27FC236}">
              <a16:creationId xmlns:a16="http://schemas.microsoft.com/office/drawing/2014/main" id="{00000000-0008-0000-0400-000079000000}"/>
            </a:ext>
          </a:extLst>
        </xdr:cNvPr>
        <xdr:cNvSpPr/>
      </xdr:nvSpPr>
      <xdr:spPr>
        <a:xfrm>
          <a:off x="19246311" y="2837036"/>
          <a:ext cx="993353" cy="10344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50" baseline="0"/>
            <a:t>LPU_MDIS[MEMU_1]</a:t>
          </a:r>
          <a:endParaRPr lang="en-US" sz="850"/>
        </a:p>
      </xdr:txBody>
    </xdr:sp>
    <xdr:clientData/>
  </xdr:twoCellAnchor>
  <xdr:twoCellAnchor>
    <xdr:from>
      <xdr:col>38</xdr:col>
      <xdr:colOff>0</xdr:colOff>
      <xdr:row>16</xdr:row>
      <xdr:rowOff>25791</xdr:rowOff>
    </xdr:from>
    <xdr:to>
      <xdr:col>41</xdr:col>
      <xdr:colOff>265941</xdr:colOff>
      <xdr:row>16</xdr:row>
      <xdr:rowOff>25791</xdr:rowOff>
    </xdr:to>
    <xdr:cxnSp macro="">
      <xdr:nvCxnSpPr>
        <xdr:cNvPr id="125" name="Straight Arrow Connector 124">
          <a:extLst>
            <a:ext uri="{FF2B5EF4-FFF2-40B4-BE49-F238E27FC236}">
              <a16:creationId xmlns:a16="http://schemas.microsoft.com/office/drawing/2014/main" id="{00000000-0008-0000-0400-00007D000000}"/>
            </a:ext>
          </a:extLst>
        </xdr:cNvPr>
        <xdr:cNvCxnSpPr>
          <a:endCxn id="72" idx="1"/>
        </xdr:cNvCxnSpPr>
      </xdr:nvCxnSpPr>
      <xdr:spPr>
        <a:xfrm>
          <a:off x="23109115" y="3286272"/>
          <a:ext cx="20903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31</xdr:col>
      <xdr:colOff>565693</xdr:colOff>
      <xdr:row>19</xdr:row>
      <xdr:rowOff>190500</xdr:rowOff>
    </xdr:from>
    <xdr:ext cx="1589484" cy="657597"/>
    <xdr:sp macro="" textlink="">
      <xdr:nvSpPr>
        <xdr:cNvPr id="129" name="TextBox 128">
          <a:extLst>
            <a:ext uri="{FF2B5EF4-FFF2-40B4-BE49-F238E27FC236}">
              <a16:creationId xmlns:a16="http://schemas.microsoft.com/office/drawing/2014/main" id="{00000000-0008-0000-0400-000081000000}"/>
            </a:ext>
          </a:extLst>
        </xdr:cNvPr>
        <xdr:cNvSpPr txBox="1"/>
      </xdr:nvSpPr>
      <xdr:spPr>
        <a:xfrm>
          <a:off x="19417866" y="4088423"/>
          <a:ext cx="1589484"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18</xdr:col>
      <xdr:colOff>302173</xdr:colOff>
      <xdr:row>25</xdr:row>
      <xdr:rowOff>44391</xdr:rowOff>
    </xdr:from>
    <xdr:to>
      <xdr:col>31</xdr:col>
      <xdr:colOff>373673</xdr:colOff>
      <xdr:row>25</xdr:row>
      <xdr:rowOff>44391</xdr:rowOff>
    </xdr:to>
    <xdr:cxnSp macro="">
      <xdr:nvCxnSpPr>
        <xdr:cNvPr id="130" name="Straight Arrow Connector 129">
          <a:extLst>
            <a:ext uri="{FF2B5EF4-FFF2-40B4-BE49-F238E27FC236}">
              <a16:creationId xmlns:a16="http://schemas.microsoft.com/office/drawing/2014/main" id="{00000000-0008-0000-0400-000082000000}"/>
            </a:ext>
          </a:extLst>
        </xdr:cNvPr>
        <xdr:cNvCxnSpPr/>
      </xdr:nvCxnSpPr>
      <xdr:spPr>
        <a:xfrm>
          <a:off x="11248596" y="5217199"/>
          <a:ext cx="7977250"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301647</xdr:colOff>
      <xdr:row>24</xdr:row>
      <xdr:rowOff>151084</xdr:rowOff>
    </xdr:from>
    <xdr:to>
      <xdr:col>43</xdr:col>
      <xdr:colOff>113309</xdr:colOff>
      <xdr:row>28</xdr:row>
      <xdr:rowOff>81535</xdr:rowOff>
    </xdr:to>
    <xdr:grpSp>
      <xdr:nvGrpSpPr>
        <xdr:cNvPr id="131" name="Group 130">
          <a:extLst>
            <a:ext uri="{FF2B5EF4-FFF2-40B4-BE49-F238E27FC236}">
              <a16:creationId xmlns:a16="http://schemas.microsoft.com/office/drawing/2014/main" id="{00000000-0008-0000-0400-000083000000}"/>
            </a:ext>
          </a:extLst>
        </xdr:cNvPr>
        <xdr:cNvGrpSpPr/>
      </xdr:nvGrpSpPr>
      <xdr:grpSpPr>
        <a:xfrm>
          <a:off x="25295247" y="4822144"/>
          <a:ext cx="1030862" cy="722931"/>
          <a:chOff x="24207963" y="3954049"/>
          <a:chExt cx="1039048" cy="764710"/>
        </a:xfrm>
      </xdr:grpSpPr>
      <xdr:sp macro="" textlink="">
        <xdr:nvSpPr>
          <xdr:cNvPr id="132" name="Rectangle 131">
            <a:extLst>
              <a:ext uri="{FF2B5EF4-FFF2-40B4-BE49-F238E27FC236}">
                <a16:creationId xmlns:a16="http://schemas.microsoft.com/office/drawing/2014/main" id="{00000000-0008-0000-0400-000084000000}"/>
              </a:ext>
            </a:extLst>
          </xdr:cNvPr>
          <xdr:cNvSpPr/>
        </xdr:nvSpPr>
        <xdr:spPr>
          <a:xfrm>
            <a:off x="24241218" y="3954049"/>
            <a:ext cx="1005793" cy="7647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BCTU</a:t>
            </a:r>
          </a:p>
        </xdr:txBody>
      </xdr:sp>
      <xdr:sp macro="" textlink="">
        <xdr:nvSpPr>
          <xdr:cNvPr id="133" name="TextBox 132">
            <a:extLst>
              <a:ext uri="{FF2B5EF4-FFF2-40B4-BE49-F238E27FC236}">
                <a16:creationId xmlns:a16="http://schemas.microsoft.com/office/drawing/2014/main" id="{00000000-0008-0000-0400-000085000000}"/>
              </a:ext>
            </a:extLst>
          </xdr:cNvPr>
          <xdr:cNvSpPr txBox="1"/>
        </xdr:nvSpPr>
        <xdr:spPr>
          <a:xfrm>
            <a:off x="24207963" y="3971128"/>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Clock</a:t>
            </a:r>
          </a:p>
        </xdr:txBody>
      </xdr:sp>
      <xdr:sp macro="" textlink="">
        <xdr:nvSpPr>
          <xdr:cNvPr id="134" name="TextBox 133">
            <a:extLst>
              <a:ext uri="{FF2B5EF4-FFF2-40B4-BE49-F238E27FC236}">
                <a16:creationId xmlns:a16="http://schemas.microsoft.com/office/drawing/2014/main" id="{00000000-0008-0000-0400-000086000000}"/>
              </a:ext>
            </a:extLst>
          </xdr:cNvPr>
          <xdr:cNvSpPr txBox="1"/>
        </xdr:nvSpPr>
        <xdr:spPr>
          <a:xfrm>
            <a:off x="24209276" y="4504528"/>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40</xdr:col>
      <xdr:colOff>73187</xdr:colOff>
      <xdr:row>27</xdr:row>
      <xdr:rowOff>157377</xdr:rowOff>
    </xdr:from>
    <xdr:to>
      <xdr:col>41</xdr:col>
      <xdr:colOff>302953</xdr:colOff>
      <xdr:row>27</xdr:row>
      <xdr:rowOff>158418</xdr:rowOff>
    </xdr:to>
    <xdr:cxnSp macro="">
      <xdr:nvCxnSpPr>
        <xdr:cNvPr id="135" name="Straight Arrow Connector 134">
          <a:extLst>
            <a:ext uri="{FF2B5EF4-FFF2-40B4-BE49-F238E27FC236}">
              <a16:creationId xmlns:a16="http://schemas.microsoft.com/office/drawing/2014/main" id="{00000000-0008-0000-0400-000087000000}"/>
            </a:ext>
          </a:extLst>
        </xdr:cNvPr>
        <xdr:cNvCxnSpPr>
          <a:endCxn id="134" idx="1"/>
        </xdr:cNvCxnSpPr>
      </xdr:nvCxnSpPr>
      <xdr:spPr>
        <a:xfrm>
          <a:off x="24509739" y="5681877"/>
          <a:ext cx="840680" cy="104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81269</xdr:colOff>
      <xdr:row>25</xdr:row>
      <xdr:rowOff>55065</xdr:rowOff>
    </xdr:from>
    <xdr:to>
      <xdr:col>40</xdr:col>
      <xdr:colOff>81269</xdr:colOff>
      <xdr:row>27</xdr:row>
      <xdr:rowOff>158121</xdr:rowOff>
    </xdr:to>
    <xdr:cxnSp macro="">
      <xdr:nvCxnSpPr>
        <xdr:cNvPr id="136" name="Straight Arrow Connector 135">
          <a:extLst>
            <a:ext uri="{FF2B5EF4-FFF2-40B4-BE49-F238E27FC236}">
              <a16:creationId xmlns:a16="http://schemas.microsoft.com/office/drawing/2014/main" id="{00000000-0008-0000-0400-000088000000}"/>
            </a:ext>
          </a:extLst>
        </xdr:cNvPr>
        <xdr:cNvCxnSpPr/>
      </xdr:nvCxnSpPr>
      <xdr:spPr>
        <a:xfrm flipV="1">
          <a:off x="24517821" y="5159151"/>
          <a:ext cx="0" cy="523470"/>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400507</xdr:colOff>
      <xdr:row>22</xdr:row>
      <xdr:rowOff>187520</xdr:rowOff>
    </xdr:from>
    <xdr:to>
      <xdr:col>33</xdr:col>
      <xdr:colOff>177591</xdr:colOff>
      <xdr:row>27</xdr:row>
      <xdr:rowOff>189594</xdr:rowOff>
    </xdr:to>
    <xdr:sp macro="" textlink="">
      <xdr:nvSpPr>
        <xdr:cNvPr id="140" name="Rectangle 139">
          <a:extLst>
            <a:ext uri="{FF2B5EF4-FFF2-40B4-BE49-F238E27FC236}">
              <a16:creationId xmlns:a16="http://schemas.microsoft.com/office/drawing/2014/main" id="{00000000-0008-0000-0400-00008C000000}"/>
            </a:ext>
          </a:extLst>
        </xdr:cNvPr>
        <xdr:cNvSpPr/>
      </xdr:nvSpPr>
      <xdr:spPr>
        <a:xfrm>
          <a:off x="19252680" y="4722885"/>
          <a:ext cx="993353" cy="10644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50" baseline="0"/>
            <a:t>LPU_MDIS[BCTU]</a:t>
          </a:r>
          <a:endParaRPr lang="en-US" sz="850"/>
        </a:p>
      </xdr:txBody>
    </xdr:sp>
    <xdr:clientData/>
  </xdr:twoCellAnchor>
  <xdr:oneCellAnchor>
    <xdr:from>
      <xdr:col>31</xdr:col>
      <xdr:colOff>564934</xdr:colOff>
      <xdr:row>28</xdr:row>
      <xdr:rowOff>197069</xdr:rowOff>
    </xdr:from>
    <xdr:ext cx="1589484" cy="657597"/>
    <xdr:sp macro="" textlink="">
      <xdr:nvSpPr>
        <xdr:cNvPr id="141" name="TextBox 140">
          <a:extLst>
            <a:ext uri="{FF2B5EF4-FFF2-40B4-BE49-F238E27FC236}">
              <a16:creationId xmlns:a16="http://schemas.microsoft.com/office/drawing/2014/main" id="{00000000-0008-0000-0400-00008D000000}"/>
            </a:ext>
          </a:extLst>
        </xdr:cNvPr>
        <xdr:cNvSpPr txBox="1"/>
      </xdr:nvSpPr>
      <xdr:spPr>
        <a:xfrm>
          <a:off x="19417107" y="6007319"/>
          <a:ext cx="1589484"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38</xdr:col>
      <xdr:colOff>14654</xdr:colOff>
      <xdr:row>25</xdr:row>
      <xdr:rowOff>50941</xdr:rowOff>
    </xdr:from>
    <xdr:to>
      <xdr:col>41</xdr:col>
      <xdr:colOff>301647</xdr:colOff>
      <xdr:row>25</xdr:row>
      <xdr:rowOff>51906</xdr:rowOff>
    </xdr:to>
    <xdr:cxnSp macro="">
      <xdr:nvCxnSpPr>
        <xdr:cNvPr id="142" name="Straight Arrow Connector 141">
          <a:extLst>
            <a:ext uri="{FF2B5EF4-FFF2-40B4-BE49-F238E27FC236}">
              <a16:creationId xmlns:a16="http://schemas.microsoft.com/office/drawing/2014/main" id="{00000000-0008-0000-0400-00008E000000}"/>
            </a:ext>
          </a:extLst>
        </xdr:cNvPr>
        <xdr:cNvCxnSpPr>
          <a:endCxn id="133" idx="1"/>
        </xdr:cNvCxnSpPr>
      </xdr:nvCxnSpPr>
      <xdr:spPr>
        <a:xfrm flipV="1">
          <a:off x="23123769" y="5223749"/>
          <a:ext cx="2111397" cy="965"/>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302173</xdr:colOff>
      <xdr:row>35</xdr:row>
      <xdr:rowOff>79865</xdr:rowOff>
    </xdr:from>
    <xdr:to>
      <xdr:col>29</xdr:col>
      <xdr:colOff>454269</xdr:colOff>
      <xdr:row>35</xdr:row>
      <xdr:rowOff>79865</xdr:rowOff>
    </xdr:to>
    <xdr:cxnSp macro="">
      <xdr:nvCxnSpPr>
        <xdr:cNvPr id="144" name="Straight Arrow Connector 143">
          <a:extLst>
            <a:ext uri="{FF2B5EF4-FFF2-40B4-BE49-F238E27FC236}">
              <a16:creationId xmlns:a16="http://schemas.microsoft.com/office/drawing/2014/main" id="{00000000-0008-0000-0400-000090000000}"/>
            </a:ext>
          </a:extLst>
        </xdr:cNvPr>
        <xdr:cNvCxnSpPr/>
      </xdr:nvCxnSpPr>
      <xdr:spPr>
        <a:xfrm>
          <a:off x="11248596" y="7377480"/>
          <a:ext cx="6841577"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376905</xdr:colOff>
      <xdr:row>34</xdr:row>
      <xdr:rowOff>177362</xdr:rowOff>
    </xdr:from>
    <xdr:to>
      <xdr:col>43</xdr:col>
      <xdr:colOff>159336</xdr:colOff>
      <xdr:row>38</xdr:row>
      <xdr:rowOff>80653</xdr:rowOff>
    </xdr:to>
    <xdr:grpSp>
      <xdr:nvGrpSpPr>
        <xdr:cNvPr id="145" name="Group 144">
          <a:extLst>
            <a:ext uri="{FF2B5EF4-FFF2-40B4-BE49-F238E27FC236}">
              <a16:creationId xmlns:a16="http://schemas.microsoft.com/office/drawing/2014/main" id="{00000000-0008-0000-0400-000091000000}"/>
            </a:ext>
          </a:extLst>
        </xdr:cNvPr>
        <xdr:cNvGrpSpPr/>
      </xdr:nvGrpSpPr>
      <xdr:grpSpPr>
        <a:xfrm>
          <a:off x="25370505" y="6829622"/>
          <a:ext cx="1001631" cy="680531"/>
          <a:chOff x="24227669" y="3012059"/>
          <a:chExt cx="1009817" cy="766024"/>
        </a:xfrm>
      </xdr:grpSpPr>
      <xdr:sp macro="" textlink="">
        <xdr:nvSpPr>
          <xdr:cNvPr id="146" name="Rectangle 145">
            <a:extLst>
              <a:ext uri="{FF2B5EF4-FFF2-40B4-BE49-F238E27FC236}">
                <a16:creationId xmlns:a16="http://schemas.microsoft.com/office/drawing/2014/main" id="{00000000-0008-0000-0400-000092000000}"/>
              </a:ext>
            </a:extLst>
          </xdr:cNvPr>
          <xdr:cNvSpPr/>
        </xdr:nvSpPr>
        <xdr:spPr>
          <a:xfrm>
            <a:off x="24231693" y="3012059"/>
            <a:ext cx="1005793" cy="766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p>
        </xdr:txBody>
      </xdr:sp>
      <xdr:sp macro="" textlink="">
        <xdr:nvSpPr>
          <xdr:cNvPr id="147" name="TextBox 146">
            <a:extLst>
              <a:ext uri="{FF2B5EF4-FFF2-40B4-BE49-F238E27FC236}">
                <a16:creationId xmlns:a16="http://schemas.microsoft.com/office/drawing/2014/main" id="{00000000-0008-0000-0400-000093000000}"/>
              </a:ext>
            </a:extLst>
          </xdr:cNvPr>
          <xdr:cNvSpPr txBox="1"/>
        </xdr:nvSpPr>
        <xdr:spPr>
          <a:xfrm>
            <a:off x="24227669" y="3043262"/>
            <a:ext cx="732000" cy="186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 Clock</a:t>
            </a:r>
          </a:p>
        </xdr:txBody>
      </xdr:sp>
    </xdr:grpSp>
    <xdr:clientData/>
  </xdr:twoCellAnchor>
  <xdr:twoCellAnchor>
    <xdr:from>
      <xdr:col>34</xdr:col>
      <xdr:colOff>459332</xdr:colOff>
      <xdr:row>32</xdr:row>
      <xdr:rowOff>197068</xdr:rowOff>
    </xdr:from>
    <xdr:to>
      <xdr:col>36</xdr:col>
      <xdr:colOff>236417</xdr:colOff>
      <xdr:row>37</xdr:row>
      <xdr:rowOff>199143</xdr:rowOff>
    </xdr:to>
    <xdr:sp macro="" textlink="">
      <xdr:nvSpPr>
        <xdr:cNvPr id="149" name="Rectangle 148">
          <a:extLst>
            <a:ext uri="{FF2B5EF4-FFF2-40B4-BE49-F238E27FC236}">
              <a16:creationId xmlns:a16="http://schemas.microsoft.com/office/drawing/2014/main" id="{00000000-0008-0000-0400-000095000000}"/>
            </a:ext>
          </a:extLst>
        </xdr:cNvPr>
        <xdr:cNvSpPr/>
      </xdr:nvSpPr>
      <xdr:spPr>
        <a:xfrm>
          <a:off x="21135909" y="6857241"/>
          <a:ext cx="993354" cy="103517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LP</a:t>
          </a:r>
          <a:r>
            <a:rPr lang="en-US" sz="1100" baseline="0"/>
            <a:t> Enable</a:t>
          </a:r>
        </a:p>
        <a:p>
          <a:pPr algn="ctr"/>
          <a:r>
            <a:rPr lang="en-US" sz="800" baseline="0"/>
            <a:t>LPU_MDIS[ADC_0]</a:t>
          </a:r>
          <a:endParaRPr lang="en-US" sz="800"/>
        </a:p>
      </xdr:txBody>
    </xdr:sp>
    <xdr:clientData/>
  </xdr:twoCellAnchor>
  <xdr:oneCellAnchor>
    <xdr:from>
      <xdr:col>34</xdr:col>
      <xdr:colOff>558277</xdr:colOff>
      <xdr:row>38</xdr:row>
      <xdr:rowOff>204597</xdr:rowOff>
    </xdr:from>
    <xdr:ext cx="1207512" cy="657597"/>
    <xdr:sp macro="" textlink="">
      <xdr:nvSpPr>
        <xdr:cNvPr id="150" name="TextBox 149">
          <a:extLst>
            <a:ext uri="{FF2B5EF4-FFF2-40B4-BE49-F238E27FC236}">
              <a16:creationId xmlns:a16="http://schemas.microsoft.com/office/drawing/2014/main" id="{00000000-0008-0000-0400-000096000000}"/>
            </a:ext>
          </a:extLst>
        </xdr:cNvPr>
        <xdr:cNvSpPr txBox="1"/>
      </xdr:nvSpPr>
      <xdr:spPr>
        <a:xfrm>
          <a:off x="21234854" y="8110347"/>
          <a:ext cx="1207512" cy="6575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Enabled in LPU_RUN/LPU_SLEEP</a:t>
          </a:r>
        </a:p>
        <a:p>
          <a:r>
            <a:rPr lang="en-US" sz="800"/>
            <a:t>1 - Disabled</a:t>
          </a:r>
          <a:r>
            <a:rPr lang="en-US" sz="800" baseline="0"/>
            <a:t> in LPU_RUN/LPU_SLEEP</a:t>
          </a:r>
          <a:endParaRPr lang="en-US" sz="800"/>
        </a:p>
      </xdr:txBody>
    </xdr:sp>
    <xdr:clientData/>
  </xdr:oneCellAnchor>
  <xdr:twoCellAnchor>
    <xdr:from>
      <xdr:col>36</xdr:col>
      <xdr:colOff>236417</xdr:colOff>
      <xdr:row>35</xdr:row>
      <xdr:rowOff>77212</xdr:rowOff>
    </xdr:from>
    <xdr:to>
      <xdr:col>38</xdr:col>
      <xdr:colOff>0</xdr:colOff>
      <xdr:row>35</xdr:row>
      <xdr:rowOff>77212</xdr:rowOff>
    </xdr:to>
    <xdr:cxnSp macro="">
      <xdr:nvCxnSpPr>
        <xdr:cNvPr id="155" name="Straight Arrow Connector 154">
          <a:extLst>
            <a:ext uri="{FF2B5EF4-FFF2-40B4-BE49-F238E27FC236}">
              <a16:creationId xmlns:a16="http://schemas.microsoft.com/office/drawing/2014/main" id="{00000000-0008-0000-0400-00009B000000}"/>
            </a:ext>
          </a:extLst>
        </xdr:cNvPr>
        <xdr:cNvCxnSpPr>
          <a:stCxn id="149" idx="3"/>
        </xdr:cNvCxnSpPr>
      </xdr:nvCxnSpPr>
      <xdr:spPr>
        <a:xfrm>
          <a:off x="22129263" y="7374827"/>
          <a:ext cx="9798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420413</xdr:colOff>
      <xdr:row>40</xdr:row>
      <xdr:rowOff>45983</xdr:rowOff>
    </xdr:from>
    <xdr:to>
      <xdr:col>3</xdr:col>
      <xdr:colOff>211680</xdr:colOff>
      <xdr:row>44</xdr:row>
      <xdr:rowOff>55313</xdr:rowOff>
    </xdr:to>
    <xdr:grpSp>
      <xdr:nvGrpSpPr>
        <xdr:cNvPr id="160" name="Group 159">
          <a:extLst>
            <a:ext uri="{FF2B5EF4-FFF2-40B4-BE49-F238E27FC236}">
              <a16:creationId xmlns:a16="http://schemas.microsoft.com/office/drawing/2014/main" id="{00000000-0008-0000-0400-0000A0000000}"/>
            </a:ext>
          </a:extLst>
        </xdr:cNvPr>
        <xdr:cNvGrpSpPr/>
      </xdr:nvGrpSpPr>
      <xdr:grpSpPr>
        <a:xfrm>
          <a:off x="1030013" y="7864103"/>
          <a:ext cx="1010467" cy="740850"/>
          <a:chOff x="1604006" y="26098866"/>
          <a:chExt cx="1013280" cy="771330"/>
        </a:xfrm>
      </xdr:grpSpPr>
      <xdr:sp macro="" textlink="">
        <xdr:nvSpPr>
          <xdr:cNvPr id="161" name="Rectangle 160">
            <a:extLst>
              <a:ext uri="{FF2B5EF4-FFF2-40B4-BE49-F238E27FC236}">
                <a16:creationId xmlns:a16="http://schemas.microsoft.com/office/drawing/2014/main" id="{00000000-0008-0000-0400-0000A1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CMU</a:t>
            </a:r>
            <a:endParaRPr lang="en-US" sz="1100"/>
          </a:p>
        </xdr:txBody>
      </xdr:sp>
      <xdr:sp macro="" textlink="">
        <xdr:nvSpPr>
          <xdr:cNvPr id="162" name="TextBox 161">
            <a:extLst>
              <a:ext uri="{FF2B5EF4-FFF2-40B4-BE49-F238E27FC236}">
                <a16:creationId xmlns:a16="http://schemas.microsoft.com/office/drawing/2014/main" id="{00000000-0008-0000-0400-0000A2000000}"/>
              </a:ext>
            </a:extLst>
          </xdr:cNvPr>
          <xdr:cNvSpPr txBox="1"/>
        </xdr:nvSpPr>
        <xdr:spPr>
          <a:xfrm>
            <a:off x="1897081" y="26106193"/>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clientData/>
  </xdr:twoCellAnchor>
  <xdr:twoCellAnchor>
    <xdr:from>
      <xdr:col>3</xdr:col>
      <xdr:colOff>211680</xdr:colOff>
      <xdr:row>40</xdr:row>
      <xdr:rowOff>144700</xdr:rowOff>
    </xdr:from>
    <xdr:to>
      <xdr:col>24</xdr:col>
      <xdr:colOff>308742</xdr:colOff>
      <xdr:row>40</xdr:row>
      <xdr:rowOff>144700</xdr:rowOff>
    </xdr:to>
    <xdr:cxnSp macro="">
      <xdr:nvCxnSpPr>
        <xdr:cNvPr id="163" name="Straight Arrow Connector 162">
          <a:extLst>
            <a:ext uri="{FF2B5EF4-FFF2-40B4-BE49-F238E27FC236}">
              <a16:creationId xmlns:a16="http://schemas.microsoft.com/office/drawing/2014/main" id="{00000000-0008-0000-0400-0000A3000000}"/>
            </a:ext>
          </a:extLst>
        </xdr:cNvPr>
        <xdr:cNvCxnSpPr>
          <a:endCxn id="162" idx="3"/>
        </xdr:cNvCxnSpPr>
      </xdr:nvCxnSpPr>
      <xdr:spPr>
        <a:xfrm flipH="1">
          <a:off x="2044421" y="8336200"/>
          <a:ext cx="12926252"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420413</xdr:colOff>
      <xdr:row>46</xdr:row>
      <xdr:rowOff>157652</xdr:rowOff>
    </xdr:from>
    <xdr:to>
      <xdr:col>3</xdr:col>
      <xdr:colOff>240988</xdr:colOff>
      <xdr:row>50</xdr:row>
      <xdr:rowOff>166982</xdr:rowOff>
    </xdr:to>
    <xdr:grpSp>
      <xdr:nvGrpSpPr>
        <xdr:cNvPr id="165" name="Group 164">
          <a:extLst>
            <a:ext uri="{FF2B5EF4-FFF2-40B4-BE49-F238E27FC236}">
              <a16:creationId xmlns:a16="http://schemas.microsoft.com/office/drawing/2014/main" id="{00000000-0008-0000-0400-0000A5000000}"/>
            </a:ext>
          </a:extLst>
        </xdr:cNvPr>
        <xdr:cNvGrpSpPr/>
      </xdr:nvGrpSpPr>
      <xdr:grpSpPr>
        <a:xfrm>
          <a:off x="1030013" y="9073052"/>
          <a:ext cx="1039775" cy="740850"/>
          <a:chOff x="1589646" y="38415002"/>
          <a:chExt cx="1042402" cy="771330"/>
        </a:xfrm>
      </xdr:grpSpPr>
      <xdr:grpSp>
        <xdr:nvGrpSpPr>
          <xdr:cNvPr id="166" name="Group 165">
            <a:extLst>
              <a:ext uri="{FF2B5EF4-FFF2-40B4-BE49-F238E27FC236}">
                <a16:creationId xmlns:a16="http://schemas.microsoft.com/office/drawing/2014/main" id="{00000000-0008-0000-0400-0000A6000000}"/>
              </a:ext>
            </a:extLst>
          </xdr:cNvPr>
          <xdr:cNvGrpSpPr/>
        </xdr:nvGrpSpPr>
        <xdr:grpSpPr>
          <a:xfrm>
            <a:off x="1589646" y="38415002"/>
            <a:ext cx="1042402" cy="771330"/>
            <a:chOff x="1604006" y="26098866"/>
            <a:chExt cx="1042593" cy="771330"/>
          </a:xfrm>
        </xdr:grpSpPr>
        <xdr:sp macro="" textlink="">
          <xdr:nvSpPr>
            <xdr:cNvPr id="168" name="Rectangle 167">
              <a:extLst>
                <a:ext uri="{FF2B5EF4-FFF2-40B4-BE49-F238E27FC236}">
                  <a16:creationId xmlns:a16="http://schemas.microsoft.com/office/drawing/2014/main" id="{00000000-0008-0000-0400-0000A8000000}"/>
                </a:ext>
              </a:extLst>
            </xdr:cNvPr>
            <xdr:cNvSpPr/>
          </xdr:nvSpPr>
          <xdr:spPr>
            <a:xfrm>
              <a:off x="1604006" y="26098866"/>
              <a:ext cx="1001765" cy="7713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SIUL</a:t>
              </a:r>
              <a:endParaRPr lang="en-US" sz="1100"/>
            </a:p>
          </xdr:txBody>
        </xdr:sp>
        <xdr:sp macro="" textlink="">
          <xdr:nvSpPr>
            <xdr:cNvPr id="169" name="TextBox 168">
              <a:extLst>
                <a:ext uri="{FF2B5EF4-FFF2-40B4-BE49-F238E27FC236}">
                  <a16:creationId xmlns:a16="http://schemas.microsoft.com/office/drawing/2014/main" id="{00000000-0008-0000-0400-0000A9000000}"/>
                </a:ext>
              </a:extLst>
            </xdr:cNvPr>
            <xdr:cNvSpPr txBox="1"/>
          </xdr:nvSpPr>
          <xdr:spPr>
            <a:xfrm>
              <a:off x="1926394" y="26670366"/>
              <a:ext cx="720205"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Peripheral Clock</a:t>
              </a:r>
            </a:p>
          </xdr:txBody>
        </xdr:sp>
      </xdr:grpSp>
      <xdr:sp macro="" textlink="">
        <xdr:nvSpPr>
          <xdr:cNvPr id="167" name="TextBox 166">
            <a:extLst>
              <a:ext uri="{FF2B5EF4-FFF2-40B4-BE49-F238E27FC236}">
                <a16:creationId xmlns:a16="http://schemas.microsoft.com/office/drawing/2014/main" id="{00000000-0008-0000-0400-0000A7000000}"/>
              </a:ext>
            </a:extLst>
          </xdr:cNvPr>
          <xdr:cNvSpPr txBox="1"/>
        </xdr:nvSpPr>
        <xdr:spPr>
          <a:xfrm>
            <a:off x="1882722" y="38488272"/>
            <a:ext cx="720073" cy="182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3</xdr:col>
      <xdr:colOff>211735</xdr:colOff>
      <xdr:row>47</xdr:row>
      <xdr:rowOff>131812</xdr:rowOff>
    </xdr:from>
    <xdr:to>
      <xdr:col>20</xdr:col>
      <xdr:colOff>302172</xdr:colOff>
      <xdr:row>47</xdr:row>
      <xdr:rowOff>131812</xdr:rowOff>
    </xdr:to>
    <xdr:cxnSp macro="">
      <xdr:nvCxnSpPr>
        <xdr:cNvPr id="170" name="Straight Arrow Connector 169">
          <a:extLst>
            <a:ext uri="{FF2B5EF4-FFF2-40B4-BE49-F238E27FC236}">
              <a16:creationId xmlns:a16="http://schemas.microsoft.com/office/drawing/2014/main" id="{00000000-0008-0000-0400-0000AA000000}"/>
            </a:ext>
          </a:extLst>
        </xdr:cNvPr>
        <xdr:cNvCxnSpPr>
          <a:endCxn id="167" idx="3"/>
        </xdr:cNvCxnSpPr>
      </xdr:nvCxnSpPr>
      <xdr:spPr>
        <a:xfrm flipH="1">
          <a:off x="2044476" y="9656812"/>
          <a:ext cx="10475972"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240988</xdr:colOff>
      <xdr:row>50</xdr:row>
      <xdr:rowOff>58542</xdr:rowOff>
    </xdr:from>
    <xdr:to>
      <xdr:col>5</xdr:col>
      <xdr:colOff>37386</xdr:colOff>
      <xdr:row>50</xdr:row>
      <xdr:rowOff>58542</xdr:rowOff>
    </xdr:to>
    <xdr:cxnSp macro="">
      <xdr:nvCxnSpPr>
        <xdr:cNvPr id="171" name="Straight Arrow Connector 170">
          <a:extLst>
            <a:ext uri="{FF2B5EF4-FFF2-40B4-BE49-F238E27FC236}">
              <a16:creationId xmlns:a16="http://schemas.microsoft.com/office/drawing/2014/main" id="{00000000-0008-0000-0400-0000AB000000}"/>
            </a:ext>
          </a:extLst>
        </xdr:cNvPr>
        <xdr:cNvCxnSpPr>
          <a:endCxn id="169" idx="3"/>
        </xdr:cNvCxnSpPr>
      </xdr:nvCxnSpPr>
      <xdr:spPr>
        <a:xfrm flipH="1">
          <a:off x="2073729" y="10155042"/>
          <a:ext cx="1018226"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30593</xdr:colOff>
      <xdr:row>47</xdr:row>
      <xdr:rowOff>137188</xdr:rowOff>
    </xdr:from>
    <xdr:to>
      <xdr:col>5</xdr:col>
      <xdr:colOff>30593</xdr:colOff>
      <xdr:row>50</xdr:row>
      <xdr:rowOff>55698</xdr:rowOff>
    </xdr:to>
    <xdr:cxnSp macro="">
      <xdr:nvCxnSpPr>
        <xdr:cNvPr id="172" name="Straight Arrow Connector 171">
          <a:extLst>
            <a:ext uri="{FF2B5EF4-FFF2-40B4-BE49-F238E27FC236}">
              <a16:creationId xmlns:a16="http://schemas.microsoft.com/office/drawing/2014/main" id="{00000000-0008-0000-0400-0000AC000000}"/>
            </a:ext>
          </a:extLst>
        </xdr:cNvPr>
        <xdr:cNvCxnSpPr/>
      </xdr:nvCxnSpPr>
      <xdr:spPr>
        <a:xfrm flipV="1">
          <a:off x="3085162" y="9662188"/>
          <a:ext cx="0" cy="490010"/>
        </a:xfrm>
        <a:prstGeom prst="straightConnector1">
          <a:avLst/>
        </a:prstGeom>
        <a:ln w="19050">
          <a:solidFill>
            <a:schemeClr val="bg2">
              <a:lumMod val="5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25</xdr:col>
      <xdr:colOff>378126</xdr:colOff>
      <xdr:row>0</xdr:row>
      <xdr:rowOff>72258</xdr:rowOff>
    </xdr:from>
    <xdr:ext cx="1057275" cy="419101"/>
    <xdr:sp macro="" textlink="">
      <xdr:nvSpPr>
        <xdr:cNvPr id="177" name="TextBox 176">
          <a:hlinkClick xmlns:r="http://schemas.openxmlformats.org/officeDocument/2006/relationships" r:id="rId7"/>
          <a:extLst>
            <a:ext uri="{FF2B5EF4-FFF2-40B4-BE49-F238E27FC236}">
              <a16:creationId xmlns:a16="http://schemas.microsoft.com/office/drawing/2014/main" id="{00000000-0008-0000-0400-0000B1000000}"/>
            </a:ext>
          </a:extLst>
        </xdr:cNvPr>
        <xdr:cNvSpPr txBox="1"/>
      </xdr:nvSpPr>
      <xdr:spPr>
        <a:xfrm>
          <a:off x="15558595" y="72258"/>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S80</a:t>
          </a:r>
        </a:p>
      </xdr:txBody>
    </xdr:sp>
    <xdr:clientData/>
  </xdr:oneCellAnchor>
  <xdr:twoCellAnchor>
    <xdr:from>
      <xdr:col>26</xdr:col>
      <xdr:colOff>298817</xdr:colOff>
      <xdr:row>3</xdr:row>
      <xdr:rowOff>47898</xdr:rowOff>
    </xdr:from>
    <xdr:to>
      <xdr:col>26</xdr:col>
      <xdr:colOff>298817</xdr:colOff>
      <xdr:row>90</xdr:row>
      <xdr:rowOff>168520</xdr:rowOff>
    </xdr:to>
    <xdr:cxnSp macro="">
      <xdr:nvCxnSpPr>
        <xdr:cNvPr id="178" name="Straight Arrow Connector 177">
          <a:extLst>
            <a:ext uri="{FF2B5EF4-FFF2-40B4-BE49-F238E27FC236}">
              <a16:creationId xmlns:a16="http://schemas.microsoft.com/office/drawing/2014/main" id="{00000000-0008-0000-0400-0000B2000000}"/>
            </a:ext>
          </a:extLst>
        </xdr:cNvPr>
        <xdr:cNvCxnSpPr/>
      </xdr:nvCxnSpPr>
      <xdr:spPr>
        <a:xfrm flipV="1">
          <a:off x="16110317" y="648706"/>
          <a:ext cx="0" cy="17302256"/>
        </a:xfrm>
        <a:prstGeom prst="straightConnector1">
          <a:avLst/>
        </a:prstGeom>
        <a:ln w="38100">
          <a:solidFill>
            <a:srgbClr val="FFFF00"/>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364133</xdr:colOff>
      <xdr:row>42</xdr:row>
      <xdr:rowOff>178954</xdr:rowOff>
    </xdr:from>
    <xdr:to>
      <xdr:col>43</xdr:col>
      <xdr:colOff>194189</xdr:colOff>
      <xdr:row>46</xdr:row>
      <xdr:rowOff>188128</xdr:rowOff>
    </xdr:to>
    <xdr:grpSp>
      <xdr:nvGrpSpPr>
        <xdr:cNvPr id="179" name="Group 178">
          <a:extLst>
            <a:ext uri="{FF2B5EF4-FFF2-40B4-BE49-F238E27FC236}">
              <a16:creationId xmlns:a16="http://schemas.microsoft.com/office/drawing/2014/main" id="{00000000-0008-0000-0400-0000B3000000}"/>
            </a:ext>
          </a:extLst>
        </xdr:cNvPr>
        <xdr:cNvGrpSpPr/>
      </xdr:nvGrpSpPr>
      <xdr:grpSpPr>
        <a:xfrm>
          <a:off x="25357733" y="8362834"/>
          <a:ext cx="1049256" cy="733074"/>
          <a:chOff x="24162576" y="1967445"/>
          <a:chExt cx="1056546" cy="763336"/>
        </a:xfrm>
      </xdr:grpSpPr>
      <xdr:sp macro="" textlink="">
        <xdr:nvSpPr>
          <xdr:cNvPr id="180" name="Rectangle 179">
            <a:extLst>
              <a:ext uri="{FF2B5EF4-FFF2-40B4-BE49-F238E27FC236}">
                <a16:creationId xmlns:a16="http://schemas.microsoft.com/office/drawing/2014/main" id="{00000000-0008-0000-0400-0000B4000000}"/>
              </a:ext>
            </a:extLst>
          </xdr:cNvPr>
          <xdr:cNvSpPr/>
        </xdr:nvSpPr>
        <xdr:spPr>
          <a:xfrm>
            <a:off x="24214225" y="1967445"/>
            <a:ext cx="1004897" cy="7633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aseline="0"/>
              <a:t>NPC</a:t>
            </a:r>
            <a:endParaRPr lang="en-US" sz="1100"/>
          </a:p>
        </xdr:txBody>
      </xdr:sp>
      <xdr:sp macro="" textlink="">
        <xdr:nvSpPr>
          <xdr:cNvPr id="181" name="TextBox 180">
            <a:extLst>
              <a:ext uri="{FF2B5EF4-FFF2-40B4-BE49-F238E27FC236}">
                <a16:creationId xmlns:a16="http://schemas.microsoft.com/office/drawing/2014/main" id="{00000000-0008-0000-0400-0000B5000000}"/>
              </a:ext>
            </a:extLst>
          </xdr:cNvPr>
          <xdr:cNvSpPr txBox="1"/>
        </xdr:nvSpPr>
        <xdr:spPr>
          <a:xfrm>
            <a:off x="24162576" y="1967445"/>
            <a:ext cx="731351" cy="185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26</xdr:col>
      <xdr:colOff>315310</xdr:colOff>
      <xdr:row>43</xdr:row>
      <xdr:rowOff>67794</xdr:rowOff>
    </xdr:from>
    <xdr:to>
      <xdr:col>41</xdr:col>
      <xdr:colOff>364133</xdr:colOff>
      <xdr:row>43</xdr:row>
      <xdr:rowOff>82084</xdr:rowOff>
    </xdr:to>
    <xdr:cxnSp macro="">
      <xdr:nvCxnSpPr>
        <xdr:cNvPr id="182" name="Straight Arrow Connector 181">
          <a:extLst>
            <a:ext uri="{FF2B5EF4-FFF2-40B4-BE49-F238E27FC236}">
              <a16:creationId xmlns:a16="http://schemas.microsoft.com/office/drawing/2014/main" id="{00000000-0008-0000-0400-0000B6000000}"/>
            </a:ext>
          </a:extLst>
        </xdr:cNvPr>
        <xdr:cNvCxnSpPr>
          <a:endCxn id="181" idx="1"/>
        </xdr:cNvCxnSpPr>
      </xdr:nvCxnSpPr>
      <xdr:spPr>
        <a:xfrm>
          <a:off x="16199069" y="8830794"/>
          <a:ext cx="9212530" cy="14290"/>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420414</xdr:colOff>
      <xdr:row>52</xdr:row>
      <xdr:rowOff>105103</xdr:rowOff>
    </xdr:from>
    <xdr:to>
      <xdr:col>3</xdr:col>
      <xdr:colOff>187928</xdr:colOff>
      <xdr:row>56</xdr:row>
      <xdr:rowOff>172869</xdr:rowOff>
    </xdr:to>
    <xdr:sp macro="" textlink="">
      <xdr:nvSpPr>
        <xdr:cNvPr id="184" name="Rectangle 183">
          <a:extLst>
            <a:ext uri="{FF2B5EF4-FFF2-40B4-BE49-F238E27FC236}">
              <a16:creationId xmlns:a16="http://schemas.microsoft.com/office/drawing/2014/main" id="{00000000-0008-0000-0400-0000B8000000}"/>
            </a:ext>
          </a:extLst>
        </xdr:cNvPr>
        <xdr:cNvSpPr/>
      </xdr:nvSpPr>
      <xdr:spPr>
        <a:xfrm>
          <a:off x="1031328" y="10582603"/>
          <a:ext cx="989341" cy="8297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Z2</a:t>
          </a:r>
        </a:p>
      </xdr:txBody>
    </xdr:sp>
    <xdr:clientData/>
  </xdr:twoCellAnchor>
  <xdr:twoCellAnchor>
    <xdr:from>
      <xdr:col>8</xdr:col>
      <xdr:colOff>129368</xdr:colOff>
      <xdr:row>53</xdr:row>
      <xdr:rowOff>63890</xdr:rowOff>
    </xdr:from>
    <xdr:to>
      <xdr:col>26</xdr:col>
      <xdr:colOff>325987</xdr:colOff>
      <xdr:row>53</xdr:row>
      <xdr:rowOff>164285</xdr:rowOff>
    </xdr:to>
    <xdr:cxnSp macro="">
      <xdr:nvCxnSpPr>
        <xdr:cNvPr id="185" name="Straight Arrow Connector 184">
          <a:extLst>
            <a:ext uri="{FF2B5EF4-FFF2-40B4-BE49-F238E27FC236}">
              <a16:creationId xmlns:a16="http://schemas.microsoft.com/office/drawing/2014/main" id="{00000000-0008-0000-0400-0000B9000000}"/>
            </a:ext>
          </a:extLst>
        </xdr:cNvPr>
        <xdr:cNvCxnSpPr>
          <a:endCxn id="266" idx="3"/>
        </xdr:cNvCxnSpPr>
      </xdr:nvCxnSpPr>
      <xdr:spPr>
        <a:xfrm flipH="1">
          <a:off x="4987118" y="10749749"/>
          <a:ext cx="11126557" cy="100395"/>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375648</xdr:colOff>
      <xdr:row>48</xdr:row>
      <xdr:rowOff>118241</xdr:rowOff>
    </xdr:from>
    <xdr:to>
      <xdr:col>43</xdr:col>
      <xdr:colOff>190201</xdr:colOff>
      <xdr:row>52</xdr:row>
      <xdr:rowOff>178025</xdr:rowOff>
    </xdr:to>
    <xdr:grpSp>
      <xdr:nvGrpSpPr>
        <xdr:cNvPr id="189" name="Group 188">
          <a:extLst>
            <a:ext uri="{FF2B5EF4-FFF2-40B4-BE49-F238E27FC236}">
              <a16:creationId xmlns:a16="http://schemas.microsoft.com/office/drawing/2014/main" id="{00000000-0008-0000-0400-0000BD000000}"/>
            </a:ext>
          </a:extLst>
        </xdr:cNvPr>
        <xdr:cNvGrpSpPr/>
      </xdr:nvGrpSpPr>
      <xdr:grpSpPr>
        <a:xfrm>
          <a:off x="25369248" y="9399401"/>
          <a:ext cx="1033753" cy="791304"/>
          <a:chOff x="21775668" y="23964432"/>
          <a:chExt cx="1049375" cy="767666"/>
        </a:xfrm>
      </xdr:grpSpPr>
      <xdr:grpSp>
        <xdr:nvGrpSpPr>
          <xdr:cNvPr id="190" name="Group 189">
            <a:extLst>
              <a:ext uri="{FF2B5EF4-FFF2-40B4-BE49-F238E27FC236}">
                <a16:creationId xmlns:a16="http://schemas.microsoft.com/office/drawing/2014/main" id="{00000000-0008-0000-0400-0000BE000000}"/>
              </a:ext>
            </a:extLst>
          </xdr:cNvPr>
          <xdr:cNvGrpSpPr/>
        </xdr:nvGrpSpPr>
        <xdr:grpSpPr>
          <a:xfrm>
            <a:off x="21788337" y="23964432"/>
            <a:ext cx="1036706" cy="767666"/>
            <a:chOff x="21618230" y="22624897"/>
            <a:chExt cx="1029359" cy="767666"/>
          </a:xfrm>
        </xdr:grpSpPr>
        <xdr:sp macro="" textlink="">
          <xdr:nvSpPr>
            <xdr:cNvPr id="192" name="Rectangle 191">
              <a:extLst>
                <a:ext uri="{FF2B5EF4-FFF2-40B4-BE49-F238E27FC236}">
                  <a16:creationId xmlns:a16="http://schemas.microsoft.com/office/drawing/2014/main" id="{00000000-0008-0000-0400-0000C0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PBRIDGE_A</a:t>
              </a:r>
            </a:p>
          </xdr:txBody>
        </xdr:sp>
        <xdr:sp macro="" textlink="">
          <xdr:nvSpPr>
            <xdr:cNvPr id="193" name="TextBox 192">
              <a:extLst>
                <a:ext uri="{FF2B5EF4-FFF2-40B4-BE49-F238E27FC236}">
                  <a16:creationId xmlns:a16="http://schemas.microsoft.com/office/drawing/2014/main" id="{00000000-0008-0000-0400-0000C100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grpSp>
      <xdr:sp macro="" textlink="">
        <xdr:nvSpPr>
          <xdr:cNvPr id="191" name="TextBox 190">
            <a:extLst>
              <a:ext uri="{FF2B5EF4-FFF2-40B4-BE49-F238E27FC236}">
                <a16:creationId xmlns:a16="http://schemas.microsoft.com/office/drawing/2014/main" id="{00000000-0008-0000-0400-0000BF000000}"/>
              </a:ext>
            </a:extLst>
          </xdr:cNvPr>
          <xdr:cNvSpPr txBox="1"/>
        </xdr:nvSpPr>
        <xdr:spPr>
          <a:xfrm>
            <a:off x="21775668" y="24517905"/>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Peripheral</a:t>
            </a:r>
            <a:r>
              <a:rPr lang="en-US" sz="600" baseline="0">
                <a:solidFill>
                  <a:schemeClr val="bg1"/>
                </a:solidFill>
              </a:rPr>
              <a:t> CLK</a:t>
            </a:r>
            <a:endParaRPr lang="en-US" sz="600">
              <a:solidFill>
                <a:schemeClr val="bg1"/>
              </a:solidFill>
            </a:endParaRPr>
          </a:p>
        </xdr:txBody>
      </xdr:sp>
    </xdr:grpSp>
    <xdr:clientData/>
  </xdr:twoCellAnchor>
  <xdr:twoCellAnchor>
    <xdr:from>
      <xdr:col>18</xdr:col>
      <xdr:colOff>302173</xdr:colOff>
      <xdr:row>49</xdr:row>
      <xdr:rowOff>27050</xdr:rowOff>
    </xdr:from>
    <xdr:to>
      <xdr:col>41</xdr:col>
      <xdr:colOff>388160</xdr:colOff>
      <xdr:row>49</xdr:row>
      <xdr:rowOff>27050</xdr:rowOff>
    </xdr:to>
    <xdr:cxnSp macro="">
      <xdr:nvCxnSpPr>
        <xdr:cNvPr id="194" name="Straight Arrow Connector 193">
          <a:extLst>
            <a:ext uri="{FF2B5EF4-FFF2-40B4-BE49-F238E27FC236}">
              <a16:creationId xmlns:a16="http://schemas.microsoft.com/office/drawing/2014/main" id="{00000000-0008-0000-0400-0000C2000000}"/>
            </a:ext>
          </a:extLst>
        </xdr:cNvPr>
        <xdr:cNvCxnSpPr>
          <a:endCxn id="193" idx="1"/>
        </xdr:cNvCxnSpPr>
      </xdr:nvCxnSpPr>
      <xdr:spPr>
        <a:xfrm>
          <a:off x="11298621" y="9933050"/>
          <a:ext cx="14137005"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218378</xdr:colOff>
      <xdr:row>52</xdr:row>
      <xdr:rowOff>48041</xdr:rowOff>
    </xdr:from>
    <xdr:to>
      <xdr:col>41</xdr:col>
      <xdr:colOff>375648</xdr:colOff>
      <xdr:row>52</xdr:row>
      <xdr:rowOff>48041</xdr:rowOff>
    </xdr:to>
    <xdr:cxnSp macro="">
      <xdr:nvCxnSpPr>
        <xdr:cNvPr id="199" name="Straight Arrow Connector 198">
          <a:extLst>
            <a:ext uri="{FF2B5EF4-FFF2-40B4-BE49-F238E27FC236}">
              <a16:creationId xmlns:a16="http://schemas.microsoft.com/office/drawing/2014/main" id="{00000000-0008-0000-0400-0000C7000000}"/>
            </a:ext>
          </a:extLst>
        </xdr:cNvPr>
        <xdr:cNvCxnSpPr>
          <a:endCxn id="191" idx="1"/>
        </xdr:cNvCxnSpPr>
      </xdr:nvCxnSpPr>
      <xdr:spPr>
        <a:xfrm>
          <a:off x="24565207" y="10530187"/>
          <a:ext cx="765941" cy="0"/>
        </a:xfrm>
        <a:prstGeom prst="straightConnector1">
          <a:avLst/>
        </a:prstGeom>
        <a:ln w="19050">
          <a:solidFill>
            <a:schemeClr val="accent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229588</xdr:colOff>
      <xdr:row>49</xdr:row>
      <xdr:rowOff>36692</xdr:rowOff>
    </xdr:from>
    <xdr:to>
      <xdr:col>40</xdr:col>
      <xdr:colOff>229588</xdr:colOff>
      <xdr:row>52</xdr:row>
      <xdr:rowOff>36691</xdr:rowOff>
    </xdr:to>
    <xdr:cxnSp macro="">
      <xdr:nvCxnSpPr>
        <xdr:cNvPr id="200" name="Straight Arrow Connector 199">
          <a:extLst>
            <a:ext uri="{FF2B5EF4-FFF2-40B4-BE49-F238E27FC236}">
              <a16:creationId xmlns:a16="http://schemas.microsoft.com/office/drawing/2014/main" id="{00000000-0008-0000-0400-0000C8000000}"/>
            </a:ext>
          </a:extLst>
        </xdr:cNvPr>
        <xdr:cNvCxnSpPr/>
      </xdr:nvCxnSpPr>
      <xdr:spPr>
        <a:xfrm flipV="1">
          <a:off x="24576417" y="9947338"/>
          <a:ext cx="0" cy="571499"/>
        </a:xfrm>
        <a:prstGeom prst="straightConnector1">
          <a:avLst/>
        </a:prstGeom>
        <a:ln w="19050">
          <a:solidFill>
            <a:schemeClr val="accent2">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33618</xdr:colOff>
      <xdr:row>0</xdr:row>
      <xdr:rowOff>11206</xdr:rowOff>
    </xdr:from>
    <xdr:ext cx="4840942" cy="895348"/>
    <xdr:sp macro="" textlink="">
      <xdr:nvSpPr>
        <xdr:cNvPr id="209" name="TextBox 208">
          <a:extLst>
            <a:ext uri="{FF2B5EF4-FFF2-40B4-BE49-F238E27FC236}">
              <a16:creationId xmlns:a16="http://schemas.microsoft.com/office/drawing/2014/main" id="{00000000-0008-0000-0400-0000D1000000}"/>
            </a:ext>
          </a:extLst>
        </xdr:cNvPr>
        <xdr:cNvSpPr txBox="1"/>
      </xdr:nvSpPr>
      <xdr:spPr>
        <a:xfrm>
          <a:off x="1848971" y="11206"/>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MPC574xG</a:t>
          </a:r>
          <a:r>
            <a:rPr lang="en-US" sz="2800" b="1" baseline="0"/>
            <a:t>  LP Domain 1</a:t>
          </a:r>
          <a:endParaRPr lang="en-US" sz="2800" b="1"/>
        </a:p>
      </xdr:txBody>
    </xdr:sp>
    <xdr:clientData/>
  </xdr:oneCellAnchor>
  <xdr:twoCellAnchor>
    <xdr:from>
      <xdr:col>28</xdr:col>
      <xdr:colOff>297656</xdr:colOff>
      <xdr:row>57</xdr:row>
      <xdr:rowOff>10849</xdr:rowOff>
    </xdr:from>
    <xdr:to>
      <xdr:col>41</xdr:col>
      <xdr:colOff>383246</xdr:colOff>
      <xdr:row>57</xdr:row>
      <xdr:rowOff>10849</xdr:rowOff>
    </xdr:to>
    <xdr:cxnSp macro="">
      <xdr:nvCxnSpPr>
        <xdr:cNvPr id="217" name="Straight Arrow Connector 216">
          <a:extLst>
            <a:ext uri="{FF2B5EF4-FFF2-40B4-BE49-F238E27FC236}">
              <a16:creationId xmlns:a16="http://schemas.microsoft.com/office/drawing/2014/main" id="{00000000-0008-0000-0400-0000D9000000}"/>
            </a:ext>
          </a:extLst>
        </xdr:cNvPr>
        <xdr:cNvCxnSpPr/>
      </xdr:nvCxnSpPr>
      <xdr:spPr>
        <a:xfrm>
          <a:off x="17299781" y="11458708"/>
          <a:ext cx="7979434"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45380</xdr:colOff>
      <xdr:row>57</xdr:row>
      <xdr:rowOff>137524</xdr:rowOff>
    </xdr:from>
    <xdr:to>
      <xdr:col>41</xdr:col>
      <xdr:colOff>380366</xdr:colOff>
      <xdr:row>57</xdr:row>
      <xdr:rowOff>137524</xdr:rowOff>
    </xdr:to>
    <xdr:cxnSp macro="">
      <xdr:nvCxnSpPr>
        <xdr:cNvPr id="218" name="Straight Arrow Connector 217">
          <a:extLst>
            <a:ext uri="{FF2B5EF4-FFF2-40B4-BE49-F238E27FC236}">
              <a16:creationId xmlns:a16="http://schemas.microsoft.com/office/drawing/2014/main" id="{00000000-0008-0000-0400-0000DA000000}"/>
            </a:ext>
          </a:extLst>
        </xdr:cNvPr>
        <xdr:cNvCxnSpPr>
          <a:endCxn id="214" idx="1"/>
        </xdr:cNvCxnSpPr>
      </xdr:nvCxnSpPr>
      <xdr:spPr>
        <a:xfrm>
          <a:off x="24370765" y="11714062"/>
          <a:ext cx="943120"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67237</xdr:colOff>
      <xdr:row>57</xdr:row>
      <xdr:rowOff>23382</xdr:rowOff>
    </xdr:from>
    <xdr:to>
      <xdr:col>40</xdr:col>
      <xdr:colOff>67237</xdr:colOff>
      <xdr:row>57</xdr:row>
      <xdr:rowOff>160304</xdr:rowOff>
    </xdr:to>
    <xdr:cxnSp macro="">
      <xdr:nvCxnSpPr>
        <xdr:cNvPr id="219" name="Straight Arrow Connector 218">
          <a:extLst>
            <a:ext uri="{FF2B5EF4-FFF2-40B4-BE49-F238E27FC236}">
              <a16:creationId xmlns:a16="http://schemas.microsoft.com/office/drawing/2014/main" id="{00000000-0008-0000-0400-0000DB000000}"/>
            </a:ext>
          </a:extLst>
        </xdr:cNvPr>
        <xdr:cNvCxnSpPr/>
      </xdr:nvCxnSpPr>
      <xdr:spPr>
        <a:xfrm>
          <a:off x="24355987" y="11471241"/>
          <a:ext cx="0" cy="136922"/>
        </a:xfrm>
        <a:prstGeom prst="straightConnector1">
          <a:avLst/>
        </a:prstGeom>
        <a:ln w="38100">
          <a:solidFill>
            <a:schemeClr val="accent4">
              <a:lumMod val="7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327421</xdr:colOff>
      <xdr:row>59</xdr:row>
      <xdr:rowOff>133856</xdr:rowOff>
    </xdr:from>
    <xdr:to>
      <xdr:col>41</xdr:col>
      <xdr:colOff>374398</xdr:colOff>
      <xdr:row>59</xdr:row>
      <xdr:rowOff>158751</xdr:rowOff>
    </xdr:to>
    <xdr:cxnSp macro="">
      <xdr:nvCxnSpPr>
        <xdr:cNvPr id="220" name="Straight Arrow Connector 219">
          <a:extLst>
            <a:ext uri="{FF2B5EF4-FFF2-40B4-BE49-F238E27FC236}">
              <a16:creationId xmlns:a16="http://schemas.microsoft.com/office/drawing/2014/main" id="{00000000-0008-0000-0400-0000DC000000}"/>
            </a:ext>
          </a:extLst>
        </xdr:cNvPr>
        <xdr:cNvCxnSpPr>
          <a:endCxn id="212" idx="1"/>
        </xdr:cNvCxnSpPr>
      </xdr:nvCxnSpPr>
      <xdr:spPr>
        <a:xfrm>
          <a:off x="16138921" y="12091394"/>
          <a:ext cx="9168996" cy="24895"/>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85485</xdr:colOff>
      <xdr:row>60</xdr:row>
      <xdr:rowOff>87313</xdr:rowOff>
    </xdr:from>
    <xdr:to>
      <xdr:col>41</xdr:col>
      <xdr:colOff>380351</xdr:colOff>
      <xdr:row>60</xdr:row>
      <xdr:rowOff>91479</xdr:rowOff>
    </xdr:to>
    <xdr:cxnSp macro="">
      <xdr:nvCxnSpPr>
        <xdr:cNvPr id="221" name="Straight Arrow Connector 220">
          <a:extLst>
            <a:ext uri="{FF2B5EF4-FFF2-40B4-BE49-F238E27FC236}">
              <a16:creationId xmlns:a16="http://schemas.microsoft.com/office/drawing/2014/main" id="{00000000-0008-0000-0400-0000DD000000}"/>
            </a:ext>
          </a:extLst>
        </xdr:cNvPr>
        <xdr:cNvCxnSpPr/>
      </xdr:nvCxnSpPr>
      <xdr:spPr>
        <a:xfrm flipV="1">
          <a:off x="24374235" y="12106672"/>
          <a:ext cx="902085" cy="4166"/>
        </a:xfrm>
        <a:prstGeom prst="straightConnector1">
          <a:avLst/>
        </a:prstGeom>
        <a:ln w="38100">
          <a:solidFill>
            <a:srgbClr val="FFFF0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89294</xdr:colOff>
      <xdr:row>59</xdr:row>
      <xdr:rowOff>180795</xdr:rowOff>
    </xdr:from>
    <xdr:to>
      <xdr:col>40</xdr:col>
      <xdr:colOff>89294</xdr:colOff>
      <xdr:row>60</xdr:row>
      <xdr:rowOff>127217</xdr:rowOff>
    </xdr:to>
    <xdr:cxnSp macro="">
      <xdr:nvCxnSpPr>
        <xdr:cNvPr id="222" name="Straight Arrow Connector 221">
          <a:extLst>
            <a:ext uri="{FF2B5EF4-FFF2-40B4-BE49-F238E27FC236}">
              <a16:creationId xmlns:a16="http://schemas.microsoft.com/office/drawing/2014/main" id="{00000000-0008-0000-0400-0000DE000000}"/>
            </a:ext>
          </a:extLst>
        </xdr:cNvPr>
        <xdr:cNvCxnSpPr/>
      </xdr:nvCxnSpPr>
      <xdr:spPr>
        <a:xfrm>
          <a:off x="24378044" y="12009654"/>
          <a:ext cx="0" cy="136922"/>
        </a:xfrm>
        <a:prstGeom prst="straightConnector1">
          <a:avLst/>
        </a:prstGeom>
        <a:ln w="38100">
          <a:solidFill>
            <a:srgbClr val="FFFF0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303609</xdr:colOff>
      <xdr:row>3</xdr:row>
      <xdr:rowOff>35725</xdr:rowOff>
    </xdr:from>
    <xdr:to>
      <xdr:col>28</xdr:col>
      <xdr:colOff>303609</xdr:colOff>
      <xdr:row>90</xdr:row>
      <xdr:rowOff>146539</xdr:rowOff>
    </xdr:to>
    <xdr:cxnSp macro="">
      <xdr:nvCxnSpPr>
        <xdr:cNvPr id="228" name="Straight Arrow Connector 227">
          <a:extLst>
            <a:ext uri="{FF2B5EF4-FFF2-40B4-BE49-F238E27FC236}">
              <a16:creationId xmlns:a16="http://schemas.microsoft.com/office/drawing/2014/main" id="{00000000-0008-0000-0400-0000E4000000}"/>
            </a:ext>
          </a:extLst>
        </xdr:cNvPr>
        <xdr:cNvCxnSpPr/>
      </xdr:nvCxnSpPr>
      <xdr:spPr>
        <a:xfrm flipV="1">
          <a:off x="17331378" y="636533"/>
          <a:ext cx="0" cy="17292448"/>
        </a:xfrm>
        <a:prstGeom prst="straightConnector1">
          <a:avLst/>
        </a:prstGeom>
        <a:ln w="38100">
          <a:solidFill>
            <a:schemeClr val="accent4">
              <a:lumMod val="75000"/>
            </a:schemeClr>
          </a:solidFill>
          <a:prstDash val="sysDash"/>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381001</xdr:colOff>
      <xdr:row>0</xdr:row>
      <xdr:rowOff>89297</xdr:rowOff>
    </xdr:from>
    <xdr:ext cx="1057275" cy="419101"/>
    <xdr:sp macro="" textlink="">
      <xdr:nvSpPr>
        <xdr:cNvPr id="229" name="TextBox 228">
          <a:hlinkClick xmlns:r="http://schemas.openxmlformats.org/officeDocument/2006/relationships" r:id="rId8"/>
          <a:extLst>
            <a:ext uri="{FF2B5EF4-FFF2-40B4-BE49-F238E27FC236}">
              <a16:creationId xmlns:a16="http://schemas.microsoft.com/office/drawing/2014/main" id="{00000000-0008-0000-0400-0000E5000000}"/>
            </a:ext>
          </a:extLst>
        </xdr:cNvPr>
        <xdr:cNvSpPr txBox="1"/>
      </xdr:nvSpPr>
      <xdr:spPr>
        <a:xfrm>
          <a:off x="16775907" y="8929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S160</a:t>
          </a:r>
        </a:p>
      </xdr:txBody>
    </xdr:sp>
    <xdr:clientData/>
  </xdr:oneCellAnchor>
  <xdr:oneCellAnchor>
    <xdr:from>
      <xdr:col>15</xdr:col>
      <xdr:colOff>402248</xdr:colOff>
      <xdr:row>91</xdr:row>
      <xdr:rowOff>93738</xdr:rowOff>
    </xdr:from>
    <xdr:ext cx="1057275" cy="419101"/>
    <xdr:sp macro="" textlink="">
      <xdr:nvSpPr>
        <xdr:cNvPr id="158" name="TextBox 157">
          <a:hlinkClick xmlns:r="http://schemas.openxmlformats.org/officeDocument/2006/relationships" r:id="rId2"/>
          <a:extLst>
            <a:ext uri="{FF2B5EF4-FFF2-40B4-BE49-F238E27FC236}">
              <a16:creationId xmlns:a16="http://schemas.microsoft.com/office/drawing/2014/main" id="{00000000-0008-0000-0400-00009E000000}"/>
            </a:ext>
          </a:extLst>
        </xdr:cNvPr>
        <xdr:cNvSpPr txBox="1"/>
      </xdr:nvSpPr>
      <xdr:spPr>
        <a:xfrm>
          <a:off x="9524267" y="1810331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17</xdr:col>
      <xdr:colOff>395681</xdr:colOff>
      <xdr:row>91</xdr:row>
      <xdr:rowOff>100307</xdr:rowOff>
    </xdr:from>
    <xdr:ext cx="1057275" cy="419101"/>
    <xdr:sp macro="" textlink="">
      <xdr:nvSpPr>
        <xdr:cNvPr id="159" name="TextBox 158">
          <a:hlinkClick xmlns:r="http://schemas.openxmlformats.org/officeDocument/2006/relationships" r:id="rId3"/>
          <a:extLst>
            <a:ext uri="{FF2B5EF4-FFF2-40B4-BE49-F238E27FC236}">
              <a16:creationId xmlns:a16="http://schemas.microsoft.com/office/drawing/2014/main" id="{00000000-0008-0000-0400-00009F000000}"/>
            </a:ext>
          </a:extLst>
        </xdr:cNvPr>
        <xdr:cNvSpPr txBox="1"/>
      </xdr:nvSpPr>
      <xdr:spPr>
        <a:xfrm>
          <a:off x="10733969" y="1810988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FS80</a:t>
          </a:r>
        </a:p>
      </xdr:txBody>
    </xdr:sp>
    <xdr:clientData/>
  </xdr:oneCellAnchor>
  <xdr:oneCellAnchor>
    <xdr:from>
      <xdr:col>19</xdr:col>
      <xdr:colOff>389101</xdr:colOff>
      <xdr:row>91</xdr:row>
      <xdr:rowOff>93738</xdr:rowOff>
    </xdr:from>
    <xdr:ext cx="1057275" cy="419101"/>
    <xdr:sp macro="" textlink="">
      <xdr:nvSpPr>
        <xdr:cNvPr id="164" name="TextBox 163">
          <a:hlinkClick xmlns:r="http://schemas.openxmlformats.org/officeDocument/2006/relationships" r:id="rId4"/>
          <a:extLst>
            <a:ext uri="{FF2B5EF4-FFF2-40B4-BE49-F238E27FC236}">
              <a16:creationId xmlns:a16="http://schemas.microsoft.com/office/drawing/2014/main" id="{00000000-0008-0000-0400-0000A4000000}"/>
            </a:ext>
          </a:extLst>
        </xdr:cNvPr>
        <xdr:cNvSpPr txBox="1"/>
      </xdr:nvSpPr>
      <xdr:spPr>
        <a:xfrm>
          <a:off x="11943659" y="1810331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F40</a:t>
          </a:r>
        </a:p>
      </xdr:txBody>
    </xdr:sp>
    <xdr:clientData/>
  </xdr:oneCellAnchor>
  <xdr:oneCellAnchor>
    <xdr:from>
      <xdr:col>21</xdr:col>
      <xdr:colOff>382531</xdr:colOff>
      <xdr:row>91</xdr:row>
      <xdr:rowOff>80600</xdr:rowOff>
    </xdr:from>
    <xdr:ext cx="1057275" cy="419101"/>
    <xdr:sp macro="" textlink="">
      <xdr:nvSpPr>
        <xdr:cNvPr id="173" name="TextBox 172">
          <a:hlinkClick xmlns:r="http://schemas.openxmlformats.org/officeDocument/2006/relationships" r:id="rId5"/>
          <a:extLst>
            <a:ext uri="{FF2B5EF4-FFF2-40B4-BE49-F238E27FC236}">
              <a16:creationId xmlns:a16="http://schemas.microsoft.com/office/drawing/2014/main" id="{00000000-0008-0000-0400-0000AD000000}"/>
            </a:ext>
          </a:extLst>
        </xdr:cNvPr>
        <xdr:cNvSpPr txBox="1"/>
      </xdr:nvSpPr>
      <xdr:spPr>
        <a:xfrm>
          <a:off x="13153358" y="1809017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F20</a:t>
          </a:r>
        </a:p>
      </xdr:txBody>
    </xdr:sp>
    <xdr:clientData/>
  </xdr:oneCellAnchor>
  <xdr:oneCellAnchor>
    <xdr:from>
      <xdr:col>23</xdr:col>
      <xdr:colOff>382532</xdr:colOff>
      <xdr:row>91</xdr:row>
      <xdr:rowOff>93738</xdr:rowOff>
    </xdr:from>
    <xdr:ext cx="1057275" cy="419101"/>
    <xdr:sp macro="" textlink="">
      <xdr:nvSpPr>
        <xdr:cNvPr id="174" name="TextBox 173">
          <a:hlinkClick xmlns:r="http://schemas.openxmlformats.org/officeDocument/2006/relationships" r:id="rId6"/>
          <a:extLst>
            <a:ext uri="{FF2B5EF4-FFF2-40B4-BE49-F238E27FC236}">
              <a16:creationId xmlns:a16="http://schemas.microsoft.com/office/drawing/2014/main" id="{00000000-0008-0000-0400-0000AE000000}"/>
            </a:ext>
          </a:extLst>
        </xdr:cNvPr>
        <xdr:cNvSpPr txBox="1"/>
      </xdr:nvSpPr>
      <xdr:spPr>
        <a:xfrm>
          <a:off x="14369628" y="1810331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oneCellAnchor>
    <xdr:from>
      <xdr:col>25</xdr:col>
      <xdr:colOff>386227</xdr:colOff>
      <xdr:row>91</xdr:row>
      <xdr:rowOff>87168</xdr:rowOff>
    </xdr:from>
    <xdr:ext cx="1057275" cy="419101"/>
    <xdr:sp macro="" textlink="">
      <xdr:nvSpPr>
        <xdr:cNvPr id="175" name="TextBox 174">
          <a:hlinkClick xmlns:r="http://schemas.openxmlformats.org/officeDocument/2006/relationships" r:id="rId7"/>
          <a:extLst>
            <a:ext uri="{FF2B5EF4-FFF2-40B4-BE49-F238E27FC236}">
              <a16:creationId xmlns:a16="http://schemas.microsoft.com/office/drawing/2014/main" id="{00000000-0008-0000-0400-0000AF000000}"/>
            </a:ext>
          </a:extLst>
        </xdr:cNvPr>
        <xdr:cNvSpPr txBox="1"/>
      </xdr:nvSpPr>
      <xdr:spPr>
        <a:xfrm>
          <a:off x="15589592" y="1809674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S80</a:t>
          </a:r>
        </a:p>
      </xdr:txBody>
    </xdr:sp>
    <xdr:clientData/>
  </xdr:oneCellAnchor>
  <xdr:oneCellAnchor>
    <xdr:from>
      <xdr:col>27</xdr:col>
      <xdr:colOff>389102</xdr:colOff>
      <xdr:row>91</xdr:row>
      <xdr:rowOff>104207</xdr:rowOff>
    </xdr:from>
    <xdr:ext cx="1057275" cy="419101"/>
    <xdr:sp macro="" textlink="">
      <xdr:nvSpPr>
        <xdr:cNvPr id="176" name="TextBox 175">
          <a:hlinkClick xmlns:r="http://schemas.openxmlformats.org/officeDocument/2006/relationships" r:id="rId8"/>
          <a:extLst>
            <a:ext uri="{FF2B5EF4-FFF2-40B4-BE49-F238E27FC236}">
              <a16:creationId xmlns:a16="http://schemas.microsoft.com/office/drawing/2014/main" id="{00000000-0008-0000-0400-0000B0000000}"/>
            </a:ext>
          </a:extLst>
        </xdr:cNvPr>
        <xdr:cNvSpPr txBox="1"/>
      </xdr:nvSpPr>
      <xdr:spPr>
        <a:xfrm>
          <a:off x="16808737" y="1811378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S160</a:t>
          </a:r>
        </a:p>
      </xdr:txBody>
    </xdr:sp>
    <xdr:clientData/>
  </xdr:oneCellAnchor>
  <xdr:twoCellAnchor>
    <xdr:from>
      <xdr:col>29</xdr:col>
      <xdr:colOff>455185</xdr:colOff>
      <xdr:row>33</xdr:row>
      <xdr:rowOff>175847</xdr:rowOff>
    </xdr:from>
    <xdr:to>
      <xdr:col>31</xdr:col>
      <xdr:colOff>235197</xdr:colOff>
      <xdr:row>37</xdr:row>
      <xdr:rowOff>188381</xdr:rowOff>
    </xdr:to>
    <xdr:sp macro="" textlink="">
      <xdr:nvSpPr>
        <xdr:cNvPr id="183" name="Rectangle 182">
          <a:extLst>
            <a:ext uri="{FF2B5EF4-FFF2-40B4-BE49-F238E27FC236}">
              <a16:creationId xmlns:a16="http://schemas.microsoft.com/office/drawing/2014/main" id="{00000000-0008-0000-0400-0000B7000000}"/>
            </a:ext>
          </a:extLst>
        </xdr:cNvPr>
        <xdr:cNvSpPr/>
      </xdr:nvSpPr>
      <xdr:spPr>
        <a:xfrm>
          <a:off x="18091089" y="7048501"/>
          <a:ext cx="996281" cy="8331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r>
            <a:rPr lang="en-US" sz="1100" baseline="0"/>
            <a:t> Enable</a:t>
          </a:r>
          <a:endParaRPr lang="en-US" sz="1100"/>
        </a:p>
        <a:p>
          <a:pPr algn="ctr"/>
          <a:r>
            <a:rPr lang="en-US" sz="700"/>
            <a:t>ADC0_MCR[PWDN]</a:t>
          </a:r>
        </a:p>
      </xdr:txBody>
    </xdr:sp>
    <xdr:clientData/>
  </xdr:twoCellAnchor>
  <xdr:oneCellAnchor>
    <xdr:from>
      <xdr:col>30</xdr:col>
      <xdr:colOff>30234</xdr:colOff>
      <xdr:row>38</xdr:row>
      <xdr:rowOff>204108</xdr:rowOff>
    </xdr:from>
    <xdr:ext cx="876300" cy="362607"/>
    <xdr:sp macro="" textlink="">
      <xdr:nvSpPr>
        <xdr:cNvPr id="186" name="TextBox 185">
          <a:extLst>
            <a:ext uri="{FF2B5EF4-FFF2-40B4-BE49-F238E27FC236}">
              <a16:creationId xmlns:a16="http://schemas.microsoft.com/office/drawing/2014/main" id="{00000000-0008-0000-0400-0000BA000000}"/>
            </a:ext>
          </a:extLst>
        </xdr:cNvPr>
        <xdr:cNvSpPr txBox="1"/>
      </xdr:nvSpPr>
      <xdr:spPr>
        <a:xfrm>
          <a:off x="18274272" y="8109858"/>
          <a:ext cx="876300"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On</a:t>
          </a:r>
        </a:p>
        <a:p>
          <a:r>
            <a:rPr lang="en-US" sz="800"/>
            <a:t>1 - Off</a:t>
          </a:r>
        </a:p>
      </xdr:txBody>
    </xdr:sp>
    <xdr:clientData/>
  </xdr:oneCellAnchor>
  <xdr:twoCellAnchor>
    <xdr:from>
      <xdr:col>32</xdr:col>
      <xdr:colOff>375428</xdr:colOff>
      <xdr:row>33</xdr:row>
      <xdr:rowOff>179406</xdr:rowOff>
    </xdr:from>
    <xdr:to>
      <xdr:col>34</xdr:col>
      <xdr:colOff>155441</xdr:colOff>
      <xdr:row>37</xdr:row>
      <xdr:rowOff>191940</xdr:rowOff>
    </xdr:to>
    <xdr:sp macro="" textlink="">
      <xdr:nvSpPr>
        <xdr:cNvPr id="187" name="Rectangle 186">
          <a:extLst>
            <a:ext uri="{FF2B5EF4-FFF2-40B4-BE49-F238E27FC236}">
              <a16:creationId xmlns:a16="http://schemas.microsoft.com/office/drawing/2014/main" id="{00000000-0008-0000-0400-0000BB000000}"/>
            </a:ext>
          </a:extLst>
        </xdr:cNvPr>
        <xdr:cNvSpPr/>
      </xdr:nvSpPr>
      <xdr:spPr>
        <a:xfrm>
          <a:off x="19835736" y="7052060"/>
          <a:ext cx="996282" cy="8331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ADC0</a:t>
          </a:r>
          <a:r>
            <a:rPr lang="en-US" sz="1100" baseline="0"/>
            <a:t> Clock Select</a:t>
          </a:r>
          <a:endParaRPr lang="en-US" sz="1100"/>
        </a:p>
        <a:p>
          <a:pPr algn="ctr"/>
          <a:r>
            <a:rPr lang="en-US" sz="700"/>
            <a:t>ADC0_MCR[ADCLKSEL]</a:t>
          </a:r>
        </a:p>
      </xdr:txBody>
    </xdr:sp>
    <xdr:clientData/>
  </xdr:twoCellAnchor>
  <xdr:oneCellAnchor>
    <xdr:from>
      <xdr:col>32</xdr:col>
      <xdr:colOff>559934</xdr:colOff>
      <xdr:row>38</xdr:row>
      <xdr:rowOff>187779</xdr:rowOff>
    </xdr:from>
    <xdr:ext cx="876300" cy="362607"/>
    <xdr:sp macro="" textlink="">
      <xdr:nvSpPr>
        <xdr:cNvPr id="188" name="TextBox 187">
          <a:extLst>
            <a:ext uri="{FF2B5EF4-FFF2-40B4-BE49-F238E27FC236}">
              <a16:creationId xmlns:a16="http://schemas.microsoft.com/office/drawing/2014/main" id="{00000000-0008-0000-0400-0000BC000000}"/>
            </a:ext>
          </a:extLst>
        </xdr:cNvPr>
        <xdr:cNvSpPr txBox="1"/>
      </xdr:nvSpPr>
      <xdr:spPr>
        <a:xfrm>
          <a:off x="20020242" y="8093529"/>
          <a:ext cx="876300" cy="3626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(FS80)/2</a:t>
          </a:r>
        </a:p>
        <a:p>
          <a:r>
            <a:rPr lang="en-US" sz="800"/>
            <a:t>1 - FS80</a:t>
          </a:r>
        </a:p>
      </xdr:txBody>
    </xdr:sp>
    <xdr:clientData/>
  </xdr:oneCellAnchor>
  <xdr:twoCellAnchor>
    <xdr:from>
      <xdr:col>31</xdr:col>
      <xdr:colOff>235197</xdr:colOff>
      <xdr:row>35</xdr:row>
      <xdr:rowOff>167461</xdr:rowOff>
    </xdr:from>
    <xdr:to>
      <xdr:col>32</xdr:col>
      <xdr:colOff>375428</xdr:colOff>
      <xdr:row>35</xdr:row>
      <xdr:rowOff>171020</xdr:rowOff>
    </xdr:to>
    <xdr:cxnSp macro="">
      <xdr:nvCxnSpPr>
        <xdr:cNvPr id="195" name="Straight Arrow Connector 194">
          <a:extLst>
            <a:ext uri="{FF2B5EF4-FFF2-40B4-BE49-F238E27FC236}">
              <a16:creationId xmlns:a16="http://schemas.microsoft.com/office/drawing/2014/main" id="{00000000-0008-0000-0400-0000C3000000}"/>
            </a:ext>
          </a:extLst>
        </xdr:cNvPr>
        <xdr:cNvCxnSpPr>
          <a:stCxn id="183" idx="3"/>
          <a:endCxn id="187" idx="1"/>
        </xdr:cNvCxnSpPr>
      </xdr:nvCxnSpPr>
      <xdr:spPr>
        <a:xfrm>
          <a:off x="19087370" y="7465076"/>
          <a:ext cx="748366" cy="355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175117</xdr:colOff>
      <xdr:row>36</xdr:row>
      <xdr:rowOff>4802</xdr:rowOff>
    </xdr:from>
    <xdr:to>
      <xdr:col>34</xdr:col>
      <xdr:colOff>439615</xdr:colOff>
      <xdr:row>36</xdr:row>
      <xdr:rowOff>4802</xdr:rowOff>
    </xdr:to>
    <xdr:cxnSp macro="">
      <xdr:nvCxnSpPr>
        <xdr:cNvPr id="196" name="Straight Arrow Connector 195">
          <a:extLst>
            <a:ext uri="{FF2B5EF4-FFF2-40B4-BE49-F238E27FC236}">
              <a16:creationId xmlns:a16="http://schemas.microsoft.com/office/drawing/2014/main" id="{00000000-0008-0000-0400-0000C4000000}"/>
            </a:ext>
          </a:extLst>
        </xdr:cNvPr>
        <xdr:cNvCxnSpPr/>
      </xdr:nvCxnSpPr>
      <xdr:spPr>
        <a:xfrm>
          <a:off x="20851694" y="7500244"/>
          <a:ext cx="26449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390518</xdr:colOff>
      <xdr:row>62</xdr:row>
      <xdr:rowOff>104775</xdr:rowOff>
    </xdr:from>
    <xdr:to>
      <xdr:col>43</xdr:col>
      <xdr:colOff>176473</xdr:colOff>
      <xdr:row>66</xdr:row>
      <xdr:rowOff>163801</xdr:rowOff>
    </xdr:to>
    <xdr:grpSp>
      <xdr:nvGrpSpPr>
        <xdr:cNvPr id="157" name="Group 156">
          <a:extLst>
            <a:ext uri="{FF2B5EF4-FFF2-40B4-BE49-F238E27FC236}">
              <a16:creationId xmlns:a16="http://schemas.microsoft.com/office/drawing/2014/main" id="{00000000-0008-0000-0400-00009D000000}"/>
            </a:ext>
          </a:extLst>
        </xdr:cNvPr>
        <xdr:cNvGrpSpPr/>
      </xdr:nvGrpSpPr>
      <xdr:grpSpPr>
        <a:xfrm>
          <a:off x="25384118" y="12007215"/>
          <a:ext cx="1005155" cy="790546"/>
          <a:chOff x="10109956" y="3587222"/>
          <a:chExt cx="996777" cy="821026"/>
        </a:xfrm>
      </xdr:grpSpPr>
      <xdr:sp macro="" textlink="">
        <xdr:nvSpPr>
          <xdr:cNvPr id="203" name="Rectangle 202">
            <a:extLst>
              <a:ext uri="{FF2B5EF4-FFF2-40B4-BE49-F238E27FC236}">
                <a16:creationId xmlns:a16="http://schemas.microsoft.com/office/drawing/2014/main" id="{00000000-0008-0000-0400-0000CB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XBAR_LPU</a:t>
            </a:r>
          </a:p>
        </xdr:txBody>
      </xdr:sp>
      <xdr:sp macro="" textlink="">
        <xdr:nvSpPr>
          <xdr:cNvPr id="198" name="TextBox 197">
            <a:extLst>
              <a:ext uri="{FF2B5EF4-FFF2-40B4-BE49-F238E27FC236}">
                <a16:creationId xmlns:a16="http://schemas.microsoft.com/office/drawing/2014/main" id="{00000000-0008-0000-0400-0000C6000000}"/>
              </a:ext>
            </a:extLst>
          </xdr:cNvPr>
          <xdr:cNvSpPr txBox="1"/>
        </xdr:nvSpPr>
        <xdr:spPr>
          <a:xfrm>
            <a:off x="10109956" y="3666994"/>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28</xdr:col>
      <xdr:colOff>295275</xdr:colOff>
      <xdr:row>63</xdr:row>
      <xdr:rowOff>95250</xdr:rowOff>
    </xdr:from>
    <xdr:to>
      <xdr:col>41</xdr:col>
      <xdr:colOff>380865</xdr:colOff>
      <xdr:row>63</xdr:row>
      <xdr:rowOff>95250</xdr:rowOff>
    </xdr:to>
    <xdr:cxnSp macro="">
      <xdr:nvCxnSpPr>
        <xdr:cNvPr id="205" name="Straight Arrow Connector 204">
          <a:extLst>
            <a:ext uri="{FF2B5EF4-FFF2-40B4-BE49-F238E27FC236}">
              <a16:creationId xmlns:a16="http://schemas.microsoft.com/office/drawing/2014/main" id="{00000000-0008-0000-0400-0000CD000000}"/>
            </a:ext>
          </a:extLst>
        </xdr:cNvPr>
        <xdr:cNvCxnSpPr/>
      </xdr:nvCxnSpPr>
      <xdr:spPr>
        <a:xfrm>
          <a:off x="17364075" y="12687300"/>
          <a:ext cx="8010390"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381000</xdr:colOff>
      <xdr:row>67</xdr:row>
      <xdr:rowOff>114300</xdr:rowOff>
    </xdr:from>
    <xdr:to>
      <xdr:col>43</xdr:col>
      <xdr:colOff>166955</xdr:colOff>
      <xdr:row>71</xdr:row>
      <xdr:rowOff>173326</xdr:rowOff>
    </xdr:to>
    <xdr:grpSp>
      <xdr:nvGrpSpPr>
        <xdr:cNvPr id="206" name="Group 205">
          <a:extLst>
            <a:ext uri="{FF2B5EF4-FFF2-40B4-BE49-F238E27FC236}">
              <a16:creationId xmlns:a16="http://schemas.microsoft.com/office/drawing/2014/main" id="{00000000-0008-0000-0400-0000CE000000}"/>
            </a:ext>
          </a:extLst>
        </xdr:cNvPr>
        <xdr:cNvGrpSpPr/>
      </xdr:nvGrpSpPr>
      <xdr:grpSpPr>
        <a:xfrm>
          <a:off x="25374600" y="12931140"/>
          <a:ext cx="1005155" cy="790546"/>
          <a:chOff x="10109956" y="3587222"/>
          <a:chExt cx="996777" cy="821026"/>
        </a:xfrm>
      </xdr:grpSpPr>
      <xdr:sp macro="" textlink="">
        <xdr:nvSpPr>
          <xdr:cNvPr id="207" name="Rectangle 206">
            <a:extLst>
              <a:ext uri="{FF2B5EF4-FFF2-40B4-BE49-F238E27FC236}">
                <a16:creationId xmlns:a16="http://schemas.microsoft.com/office/drawing/2014/main" id="{00000000-0008-0000-0400-0000CF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DMC_AIPS0</a:t>
            </a:r>
          </a:p>
        </xdr:txBody>
      </xdr:sp>
      <xdr:sp macro="" textlink="">
        <xdr:nvSpPr>
          <xdr:cNvPr id="208" name="TextBox 207">
            <a:extLst>
              <a:ext uri="{FF2B5EF4-FFF2-40B4-BE49-F238E27FC236}">
                <a16:creationId xmlns:a16="http://schemas.microsoft.com/office/drawing/2014/main" id="{00000000-0008-0000-0400-0000D0000000}"/>
              </a:ext>
            </a:extLst>
          </xdr:cNvPr>
          <xdr:cNvSpPr txBox="1"/>
        </xdr:nvSpPr>
        <xdr:spPr>
          <a:xfrm>
            <a:off x="10109956" y="3666994"/>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clientData/>
  </xdr:twoCellAnchor>
  <xdr:twoCellAnchor>
    <xdr:from>
      <xdr:col>28</xdr:col>
      <xdr:colOff>285751</xdr:colOff>
      <xdr:row>68</xdr:row>
      <xdr:rowOff>113109</xdr:rowOff>
    </xdr:from>
    <xdr:to>
      <xdr:col>41</xdr:col>
      <xdr:colOff>371341</xdr:colOff>
      <xdr:row>68</xdr:row>
      <xdr:rowOff>113109</xdr:rowOff>
    </xdr:to>
    <xdr:cxnSp macro="">
      <xdr:nvCxnSpPr>
        <xdr:cNvPr id="223" name="Straight Arrow Connector 222">
          <a:extLst>
            <a:ext uri="{FF2B5EF4-FFF2-40B4-BE49-F238E27FC236}">
              <a16:creationId xmlns:a16="http://schemas.microsoft.com/office/drawing/2014/main" id="{00000000-0008-0000-0400-0000DF000000}"/>
            </a:ext>
          </a:extLst>
        </xdr:cNvPr>
        <xdr:cNvCxnSpPr/>
      </xdr:nvCxnSpPr>
      <xdr:spPr>
        <a:xfrm>
          <a:off x="17287876" y="13656468"/>
          <a:ext cx="7979434"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404329</xdr:colOff>
      <xdr:row>58</xdr:row>
      <xdr:rowOff>107156</xdr:rowOff>
    </xdr:from>
    <xdr:to>
      <xdr:col>3</xdr:col>
      <xdr:colOff>201746</xdr:colOff>
      <xdr:row>62</xdr:row>
      <xdr:rowOff>166182</xdr:rowOff>
    </xdr:to>
    <xdr:grpSp>
      <xdr:nvGrpSpPr>
        <xdr:cNvPr id="224" name="Group 223">
          <a:extLst>
            <a:ext uri="{FF2B5EF4-FFF2-40B4-BE49-F238E27FC236}">
              <a16:creationId xmlns:a16="http://schemas.microsoft.com/office/drawing/2014/main" id="{00000000-0008-0000-0400-0000E0000000}"/>
            </a:ext>
          </a:extLst>
        </xdr:cNvPr>
        <xdr:cNvGrpSpPr/>
      </xdr:nvGrpSpPr>
      <xdr:grpSpPr>
        <a:xfrm>
          <a:off x="1013929" y="11278076"/>
          <a:ext cx="1016617" cy="790546"/>
          <a:chOff x="10115410" y="3587222"/>
          <a:chExt cx="1008167" cy="821026"/>
        </a:xfrm>
      </xdr:grpSpPr>
      <xdr:sp macro="" textlink="">
        <xdr:nvSpPr>
          <xdr:cNvPr id="225" name="Rectangle 224">
            <a:extLst>
              <a:ext uri="{FF2B5EF4-FFF2-40B4-BE49-F238E27FC236}">
                <a16:creationId xmlns:a16="http://schemas.microsoft.com/office/drawing/2014/main" id="{00000000-0008-0000-0400-0000E1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DMC_PRAM0</a:t>
            </a:r>
          </a:p>
        </xdr:txBody>
      </xdr:sp>
      <xdr:sp macro="" textlink="">
        <xdr:nvSpPr>
          <xdr:cNvPr id="226" name="TextBox 225">
            <a:extLst>
              <a:ext uri="{FF2B5EF4-FFF2-40B4-BE49-F238E27FC236}">
                <a16:creationId xmlns:a16="http://schemas.microsoft.com/office/drawing/2014/main" id="{00000000-0008-0000-0400-0000E2000000}"/>
              </a:ext>
            </a:extLst>
          </xdr:cNvPr>
          <xdr:cNvSpPr txBox="1"/>
        </xdr:nvSpPr>
        <xdr:spPr>
          <a:xfrm>
            <a:off x="10400941" y="3661041"/>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3</xdr:col>
      <xdr:colOff>201746</xdr:colOff>
      <xdr:row>59</xdr:row>
      <xdr:rowOff>89693</xdr:rowOff>
    </xdr:from>
    <xdr:to>
      <xdr:col>28</xdr:col>
      <xdr:colOff>307731</xdr:colOff>
      <xdr:row>59</xdr:row>
      <xdr:rowOff>89693</xdr:rowOff>
    </xdr:to>
    <xdr:cxnSp macro="">
      <xdr:nvCxnSpPr>
        <xdr:cNvPr id="227" name="Straight Arrow Connector 226">
          <a:extLst>
            <a:ext uri="{FF2B5EF4-FFF2-40B4-BE49-F238E27FC236}">
              <a16:creationId xmlns:a16="http://schemas.microsoft.com/office/drawing/2014/main" id="{00000000-0008-0000-0400-0000E3000000}"/>
            </a:ext>
          </a:extLst>
        </xdr:cNvPr>
        <xdr:cNvCxnSpPr>
          <a:endCxn id="226" idx="3"/>
        </xdr:cNvCxnSpPr>
      </xdr:nvCxnSpPr>
      <xdr:spPr>
        <a:xfrm flipH="1">
          <a:off x="2026150" y="11966635"/>
          <a:ext cx="15309350"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395656</xdr:colOff>
      <xdr:row>63</xdr:row>
      <xdr:rowOff>102577</xdr:rowOff>
    </xdr:from>
    <xdr:to>
      <xdr:col>3</xdr:col>
      <xdr:colOff>229708</xdr:colOff>
      <xdr:row>67</xdr:row>
      <xdr:rowOff>161603</xdr:rowOff>
    </xdr:to>
    <xdr:grpSp>
      <xdr:nvGrpSpPr>
        <xdr:cNvPr id="230" name="Group 229">
          <a:extLst>
            <a:ext uri="{FF2B5EF4-FFF2-40B4-BE49-F238E27FC236}">
              <a16:creationId xmlns:a16="http://schemas.microsoft.com/office/drawing/2014/main" id="{00000000-0008-0000-0400-0000E6000000}"/>
            </a:ext>
          </a:extLst>
        </xdr:cNvPr>
        <xdr:cNvGrpSpPr/>
      </xdr:nvGrpSpPr>
      <xdr:grpSpPr>
        <a:xfrm>
          <a:off x="1005256" y="12187897"/>
          <a:ext cx="1053252" cy="790546"/>
          <a:chOff x="10115410" y="3587222"/>
          <a:chExt cx="1044602" cy="821026"/>
        </a:xfrm>
      </xdr:grpSpPr>
      <xdr:sp macro="" textlink="">
        <xdr:nvSpPr>
          <xdr:cNvPr id="231" name="Rectangle 230">
            <a:extLst>
              <a:ext uri="{FF2B5EF4-FFF2-40B4-BE49-F238E27FC236}">
                <a16:creationId xmlns:a16="http://schemas.microsoft.com/office/drawing/2014/main" id="{00000000-0008-0000-0400-0000E7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AHB_E2E_ECC</a:t>
            </a:r>
          </a:p>
        </xdr:txBody>
      </xdr:sp>
      <xdr:sp macro="" textlink="">
        <xdr:nvSpPr>
          <xdr:cNvPr id="232" name="TextBox 231">
            <a:extLst>
              <a:ext uri="{FF2B5EF4-FFF2-40B4-BE49-F238E27FC236}">
                <a16:creationId xmlns:a16="http://schemas.microsoft.com/office/drawing/2014/main" id="{00000000-0008-0000-0400-0000E8000000}"/>
              </a:ext>
            </a:extLst>
          </xdr:cNvPr>
          <xdr:cNvSpPr txBox="1"/>
        </xdr:nvSpPr>
        <xdr:spPr>
          <a:xfrm>
            <a:off x="10437376" y="3661041"/>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3</xdr:col>
      <xdr:colOff>229708</xdr:colOff>
      <xdr:row>64</xdr:row>
      <xdr:rowOff>85114</xdr:rowOff>
    </xdr:from>
    <xdr:to>
      <xdr:col>28</xdr:col>
      <xdr:colOff>318465</xdr:colOff>
      <xdr:row>64</xdr:row>
      <xdr:rowOff>87923</xdr:rowOff>
    </xdr:to>
    <xdr:cxnSp macro="">
      <xdr:nvCxnSpPr>
        <xdr:cNvPr id="233" name="Straight Arrow Connector 232">
          <a:extLst>
            <a:ext uri="{FF2B5EF4-FFF2-40B4-BE49-F238E27FC236}">
              <a16:creationId xmlns:a16="http://schemas.microsoft.com/office/drawing/2014/main" id="{00000000-0008-0000-0400-0000E9000000}"/>
            </a:ext>
          </a:extLst>
        </xdr:cNvPr>
        <xdr:cNvCxnSpPr>
          <a:endCxn id="232" idx="3"/>
        </xdr:cNvCxnSpPr>
      </xdr:nvCxnSpPr>
      <xdr:spPr>
        <a:xfrm flipH="1" flipV="1">
          <a:off x="2054112" y="12914556"/>
          <a:ext cx="15292122" cy="2809"/>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388327</xdr:colOff>
      <xdr:row>68</xdr:row>
      <xdr:rowOff>117231</xdr:rowOff>
    </xdr:from>
    <xdr:to>
      <xdr:col>3</xdr:col>
      <xdr:colOff>222379</xdr:colOff>
      <xdr:row>72</xdr:row>
      <xdr:rowOff>176257</xdr:rowOff>
    </xdr:to>
    <xdr:grpSp>
      <xdr:nvGrpSpPr>
        <xdr:cNvPr id="234" name="Group 233">
          <a:extLst>
            <a:ext uri="{FF2B5EF4-FFF2-40B4-BE49-F238E27FC236}">
              <a16:creationId xmlns:a16="http://schemas.microsoft.com/office/drawing/2014/main" id="{00000000-0008-0000-0400-0000EA000000}"/>
            </a:ext>
          </a:extLst>
        </xdr:cNvPr>
        <xdr:cNvGrpSpPr/>
      </xdr:nvGrpSpPr>
      <xdr:grpSpPr>
        <a:xfrm>
          <a:off x="997927" y="13116951"/>
          <a:ext cx="1053252" cy="790546"/>
          <a:chOff x="10115410" y="3587222"/>
          <a:chExt cx="1044602" cy="821026"/>
        </a:xfrm>
      </xdr:grpSpPr>
      <xdr:sp macro="" textlink="">
        <xdr:nvSpPr>
          <xdr:cNvPr id="235" name="Rectangle 234">
            <a:extLst>
              <a:ext uri="{FF2B5EF4-FFF2-40B4-BE49-F238E27FC236}">
                <a16:creationId xmlns:a16="http://schemas.microsoft.com/office/drawing/2014/main" id="{00000000-0008-0000-0400-0000EB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PRAM_E2E_ECC</a:t>
            </a:r>
          </a:p>
          <a:p>
            <a:pPr algn="ctr"/>
            <a:r>
              <a:rPr lang="en-US" sz="1100"/>
              <a:t>PRAM_CTL0</a:t>
            </a:r>
          </a:p>
        </xdr:txBody>
      </xdr:sp>
      <xdr:sp macro="" textlink="">
        <xdr:nvSpPr>
          <xdr:cNvPr id="236" name="TextBox 235">
            <a:extLst>
              <a:ext uri="{FF2B5EF4-FFF2-40B4-BE49-F238E27FC236}">
                <a16:creationId xmlns:a16="http://schemas.microsoft.com/office/drawing/2014/main" id="{00000000-0008-0000-0400-0000EC000000}"/>
              </a:ext>
            </a:extLst>
          </xdr:cNvPr>
          <xdr:cNvSpPr txBox="1"/>
        </xdr:nvSpPr>
        <xdr:spPr>
          <a:xfrm>
            <a:off x="10437376" y="3595098"/>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3</xdr:col>
      <xdr:colOff>222379</xdr:colOff>
      <xdr:row>69</xdr:row>
      <xdr:rowOff>33825</xdr:rowOff>
    </xdr:from>
    <xdr:to>
      <xdr:col>28</xdr:col>
      <xdr:colOff>308565</xdr:colOff>
      <xdr:row>69</xdr:row>
      <xdr:rowOff>39445</xdr:rowOff>
    </xdr:to>
    <xdr:cxnSp macro="">
      <xdr:nvCxnSpPr>
        <xdr:cNvPr id="237" name="Straight Arrow Connector 236">
          <a:extLst>
            <a:ext uri="{FF2B5EF4-FFF2-40B4-BE49-F238E27FC236}">
              <a16:creationId xmlns:a16="http://schemas.microsoft.com/office/drawing/2014/main" id="{00000000-0008-0000-0400-0000ED000000}"/>
            </a:ext>
          </a:extLst>
        </xdr:cNvPr>
        <xdr:cNvCxnSpPr>
          <a:endCxn id="236" idx="3"/>
        </xdr:cNvCxnSpPr>
      </xdr:nvCxnSpPr>
      <xdr:spPr>
        <a:xfrm flipH="1" flipV="1">
          <a:off x="2046783" y="13815767"/>
          <a:ext cx="15289551" cy="562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205154</xdr:colOff>
      <xdr:row>74</xdr:row>
      <xdr:rowOff>51294</xdr:rowOff>
    </xdr:from>
    <xdr:to>
      <xdr:col>18</xdr:col>
      <xdr:colOff>306721</xdr:colOff>
      <xdr:row>74</xdr:row>
      <xdr:rowOff>51294</xdr:rowOff>
    </xdr:to>
    <xdr:cxnSp macro="">
      <xdr:nvCxnSpPr>
        <xdr:cNvPr id="238" name="Straight Arrow Connector 237">
          <a:extLst>
            <a:ext uri="{FF2B5EF4-FFF2-40B4-BE49-F238E27FC236}">
              <a16:creationId xmlns:a16="http://schemas.microsoft.com/office/drawing/2014/main" id="{00000000-0008-0000-0400-0000EE000000}"/>
            </a:ext>
          </a:extLst>
        </xdr:cNvPr>
        <xdr:cNvCxnSpPr/>
      </xdr:nvCxnSpPr>
      <xdr:spPr>
        <a:xfrm flipH="1">
          <a:off x="2029558" y="14785736"/>
          <a:ext cx="9223586" cy="0"/>
        </a:xfrm>
        <a:prstGeom prst="straightConnector1">
          <a:avLst/>
        </a:prstGeom>
        <a:ln w="19050">
          <a:solidFill>
            <a:schemeClr val="accent6">
              <a:lumMod val="5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380999</xdr:colOff>
      <xdr:row>73</xdr:row>
      <xdr:rowOff>153865</xdr:rowOff>
    </xdr:from>
    <xdr:to>
      <xdr:col>3</xdr:col>
      <xdr:colOff>215051</xdr:colOff>
      <xdr:row>77</xdr:row>
      <xdr:rowOff>176256</xdr:rowOff>
    </xdr:to>
    <xdr:grpSp>
      <xdr:nvGrpSpPr>
        <xdr:cNvPr id="239" name="Group 238">
          <a:extLst>
            <a:ext uri="{FF2B5EF4-FFF2-40B4-BE49-F238E27FC236}">
              <a16:creationId xmlns:a16="http://schemas.microsoft.com/office/drawing/2014/main" id="{00000000-0008-0000-0400-0000EF000000}"/>
            </a:ext>
          </a:extLst>
        </xdr:cNvPr>
        <xdr:cNvGrpSpPr/>
      </xdr:nvGrpSpPr>
      <xdr:grpSpPr>
        <a:xfrm>
          <a:off x="990599" y="14067985"/>
          <a:ext cx="1053252" cy="753911"/>
          <a:chOff x="10115410" y="3587222"/>
          <a:chExt cx="1044602" cy="821026"/>
        </a:xfrm>
      </xdr:grpSpPr>
      <xdr:sp macro="" textlink="">
        <xdr:nvSpPr>
          <xdr:cNvPr id="240" name="Rectangle 239">
            <a:extLst>
              <a:ext uri="{FF2B5EF4-FFF2-40B4-BE49-F238E27FC236}">
                <a16:creationId xmlns:a16="http://schemas.microsoft.com/office/drawing/2014/main" id="{00000000-0008-0000-0400-0000F0000000}"/>
              </a:ext>
            </a:extLst>
          </xdr:cNvPr>
          <xdr:cNvSpPr/>
        </xdr:nvSpPr>
        <xdr:spPr>
          <a:xfrm>
            <a:off x="10115410" y="3587222"/>
            <a:ext cx="991323" cy="8210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INTC</a:t>
            </a:r>
          </a:p>
        </xdr:txBody>
      </xdr:sp>
      <xdr:sp macro="" textlink="">
        <xdr:nvSpPr>
          <xdr:cNvPr id="241" name="TextBox 240">
            <a:extLst>
              <a:ext uri="{FF2B5EF4-FFF2-40B4-BE49-F238E27FC236}">
                <a16:creationId xmlns:a16="http://schemas.microsoft.com/office/drawing/2014/main" id="{00000000-0008-0000-0400-0000F1000000}"/>
              </a:ext>
            </a:extLst>
          </xdr:cNvPr>
          <xdr:cNvSpPr txBox="1"/>
        </xdr:nvSpPr>
        <xdr:spPr>
          <a:xfrm>
            <a:off x="10437376" y="3595098"/>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600">
                <a:solidFill>
                  <a:schemeClr val="bg1"/>
                </a:solidFill>
              </a:rPr>
              <a:t>BIU</a:t>
            </a:r>
          </a:p>
        </xdr:txBody>
      </xdr:sp>
    </xdr:grpSp>
    <xdr:clientData/>
  </xdr:twoCellAnchor>
  <xdr:twoCellAnchor>
    <xdr:from>
      <xdr:col>1</xdr:col>
      <xdr:colOff>388323</xdr:colOff>
      <xdr:row>80</xdr:row>
      <xdr:rowOff>117240</xdr:rowOff>
    </xdr:from>
    <xdr:to>
      <xdr:col>3</xdr:col>
      <xdr:colOff>168804</xdr:colOff>
      <xdr:row>84</xdr:row>
      <xdr:rowOff>168937</xdr:rowOff>
    </xdr:to>
    <xdr:sp macro="" textlink="">
      <xdr:nvSpPr>
        <xdr:cNvPr id="251" name="Rectangle 250">
          <a:extLst>
            <a:ext uri="{FF2B5EF4-FFF2-40B4-BE49-F238E27FC236}">
              <a16:creationId xmlns:a16="http://schemas.microsoft.com/office/drawing/2014/main" id="{00000000-0008-0000-0400-0000FB000000}"/>
            </a:ext>
          </a:extLst>
        </xdr:cNvPr>
        <xdr:cNvSpPr/>
      </xdr:nvSpPr>
      <xdr:spPr>
        <a:xfrm>
          <a:off x="996458" y="16133894"/>
          <a:ext cx="996750" cy="8136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JTAGC</a:t>
          </a:r>
        </a:p>
      </xdr:txBody>
    </xdr:sp>
    <xdr:clientData/>
  </xdr:twoCellAnchor>
  <xdr:twoCellAnchor>
    <xdr:from>
      <xdr:col>3</xdr:col>
      <xdr:colOff>219809</xdr:colOff>
      <xdr:row>82</xdr:row>
      <xdr:rowOff>80607</xdr:rowOff>
    </xdr:from>
    <xdr:to>
      <xdr:col>24</xdr:col>
      <xdr:colOff>316871</xdr:colOff>
      <xdr:row>82</xdr:row>
      <xdr:rowOff>80607</xdr:rowOff>
    </xdr:to>
    <xdr:cxnSp macro="">
      <xdr:nvCxnSpPr>
        <xdr:cNvPr id="253" name="Straight Arrow Connector 252">
          <a:extLst>
            <a:ext uri="{FF2B5EF4-FFF2-40B4-BE49-F238E27FC236}">
              <a16:creationId xmlns:a16="http://schemas.microsoft.com/office/drawing/2014/main" id="{00000000-0008-0000-0400-0000FD000000}"/>
            </a:ext>
          </a:extLst>
        </xdr:cNvPr>
        <xdr:cNvCxnSpPr/>
      </xdr:nvCxnSpPr>
      <xdr:spPr>
        <a:xfrm flipH="1">
          <a:off x="2044213" y="16478261"/>
          <a:ext cx="12867889"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380999</xdr:colOff>
      <xdr:row>78</xdr:row>
      <xdr:rowOff>21981</xdr:rowOff>
    </xdr:from>
    <xdr:ext cx="1057275" cy="419101"/>
    <xdr:sp macro="" textlink="">
      <xdr:nvSpPr>
        <xdr:cNvPr id="256" name="TextBox 255">
          <a:extLst>
            <a:ext uri="{FF2B5EF4-FFF2-40B4-BE49-F238E27FC236}">
              <a16:creationId xmlns:a16="http://schemas.microsoft.com/office/drawing/2014/main" id="{00000000-0008-0000-0400-000000010000}"/>
            </a:ext>
          </a:extLst>
        </xdr:cNvPr>
        <xdr:cNvSpPr txBox="1"/>
      </xdr:nvSpPr>
      <xdr:spPr>
        <a:xfrm>
          <a:off x="4029807" y="1565763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TCK</a:t>
          </a:r>
        </a:p>
      </xdr:txBody>
    </xdr:sp>
    <xdr:clientData/>
  </xdr:oneCellAnchor>
  <xdr:twoCellAnchor>
    <xdr:from>
      <xdr:col>7</xdr:col>
      <xdr:colOff>307731</xdr:colOff>
      <xdr:row>81</xdr:row>
      <xdr:rowOff>2</xdr:rowOff>
    </xdr:from>
    <xdr:to>
      <xdr:col>7</xdr:col>
      <xdr:colOff>307732</xdr:colOff>
      <xdr:row>89</xdr:row>
      <xdr:rowOff>190500</xdr:rowOff>
    </xdr:to>
    <xdr:cxnSp macro="">
      <xdr:nvCxnSpPr>
        <xdr:cNvPr id="257" name="Straight Arrow Connector 256">
          <a:extLst>
            <a:ext uri="{FF2B5EF4-FFF2-40B4-BE49-F238E27FC236}">
              <a16:creationId xmlns:a16="http://schemas.microsoft.com/office/drawing/2014/main" id="{00000000-0008-0000-0400-000001010000}"/>
            </a:ext>
          </a:extLst>
        </xdr:cNvPr>
        <xdr:cNvCxnSpPr/>
      </xdr:nvCxnSpPr>
      <xdr:spPr>
        <a:xfrm flipV="1">
          <a:off x="4564673" y="16207156"/>
          <a:ext cx="1" cy="1751132"/>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373672</xdr:colOff>
      <xdr:row>86</xdr:row>
      <xdr:rowOff>161191</xdr:rowOff>
    </xdr:from>
    <xdr:to>
      <xdr:col>3</xdr:col>
      <xdr:colOff>154153</xdr:colOff>
      <xdr:row>90</xdr:row>
      <xdr:rowOff>176256</xdr:rowOff>
    </xdr:to>
    <xdr:sp macro="" textlink="">
      <xdr:nvSpPr>
        <xdr:cNvPr id="259" name="Rectangle 258">
          <a:extLst>
            <a:ext uri="{FF2B5EF4-FFF2-40B4-BE49-F238E27FC236}">
              <a16:creationId xmlns:a16="http://schemas.microsoft.com/office/drawing/2014/main" id="{00000000-0008-0000-0400-000003010000}"/>
            </a:ext>
          </a:extLst>
        </xdr:cNvPr>
        <xdr:cNvSpPr/>
      </xdr:nvSpPr>
      <xdr:spPr>
        <a:xfrm>
          <a:off x="981807" y="17350153"/>
          <a:ext cx="996750" cy="7843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CJTAG</a:t>
          </a:r>
        </a:p>
      </xdr:txBody>
    </xdr:sp>
    <xdr:clientData/>
  </xdr:twoCellAnchor>
  <xdr:twoCellAnchor>
    <xdr:from>
      <xdr:col>3</xdr:col>
      <xdr:colOff>197828</xdr:colOff>
      <xdr:row>84</xdr:row>
      <xdr:rowOff>58614</xdr:rowOff>
    </xdr:from>
    <xdr:to>
      <xdr:col>7</xdr:col>
      <xdr:colOff>300404</xdr:colOff>
      <xdr:row>84</xdr:row>
      <xdr:rowOff>58614</xdr:rowOff>
    </xdr:to>
    <xdr:cxnSp macro="">
      <xdr:nvCxnSpPr>
        <xdr:cNvPr id="260" name="Straight Arrow Connector 259">
          <a:extLst>
            <a:ext uri="{FF2B5EF4-FFF2-40B4-BE49-F238E27FC236}">
              <a16:creationId xmlns:a16="http://schemas.microsoft.com/office/drawing/2014/main" id="{00000000-0008-0000-0400-000004010000}"/>
            </a:ext>
          </a:extLst>
        </xdr:cNvPr>
        <xdr:cNvCxnSpPr/>
      </xdr:nvCxnSpPr>
      <xdr:spPr>
        <a:xfrm flipH="1">
          <a:off x="2022232" y="16837268"/>
          <a:ext cx="25351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161195</xdr:colOff>
      <xdr:row>87</xdr:row>
      <xdr:rowOff>102577</xdr:rowOff>
    </xdr:from>
    <xdr:to>
      <xdr:col>9</xdr:col>
      <xdr:colOff>212480</xdr:colOff>
      <xdr:row>87</xdr:row>
      <xdr:rowOff>102577</xdr:rowOff>
    </xdr:to>
    <xdr:cxnSp macro="">
      <xdr:nvCxnSpPr>
        <xdr:cNvPr id="262" name="Straight Arrow Connector 261">
          <a:extLst>
            <a:ext uri="{FF2B5EF4-FFF2-40B4-BE49-F238E27FC236}">
              <a16:creationId xmlns:a16="http://schemas.microsoft.com/office/drawing/2014/main" id="{00000000-0008-0000-0400-000006010000}"/>
            </a:ext>
          </a:extLst>
        </xdr:cNvPr>
        <xdr:cNvCxnSpPr/>
      </xdr:nvCxnSpPr>
      <xdr:spPr>
        <a:xfrm flipH="1">
          <a:off x="1985599" y="17489365"/>
          <a:ext cx="370009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190500</xdr:colOff>
      <xdr:row>89</xdr:row>
      <xdr:rowOff>168519</xdr:rowOff>
    </xdr:from>
    <xdr:to>
      <xdr:col>7</xdr:col>
      <xdr:colOff>293076</xdr:colOff>
      <xdr:row>89</xdr:row>
      <xdr:rowOff>168519</xdr:rowOff>
    </xdr:to>
    <xdr:cxnSp macro="">
      <xdr:nvCxnSpPr>
        <xdr:cNvPr id="264" name="Straight Arrow Connector 263">
          <a:extLst>
            <a:ext uri="{FF2B5EF4-FFF2-40B4-BE49-F238E27FC236}">
              <a16:creationId xmlns:a16="http://schemas.microsoft.com/office/drawing/2014/main" id="{00000000-0008-0000-0400-000008010000}"/>
            </a:ext>
          </a:extLst>
        </xdr:cNvPr>
        <xdr:cNvCxnSpPr/>
      </xdr:nvCxnSpPr>
      <xdr:spPr>
        <a:xfrm flipH="1">
          <a:off x="2014904" y="17936307"/>
          <a:ext cx="25351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482203</xdr:colOff>
      <xdr:row>52</xdr:row>
      <xdr:rowOff>148829</xdr:rowOff>
    </xdr:from>
    <xdr:to>
      <xdr:col>8</xdr:col>
      <xdr:colOff>129368</xdr:colOff>
      <xdr:row>54</xdr:row>
      <xdr:rowOff>179741</xdr:rowOff>
    </xdr:to>
    <xdr:sp macro="" textlink="">
      <xdr:nvSpPr>
        <xdr:cNvPr id="266" name="Rectangle 265">
          <a:hlinkClick xmlns:r="http://schemas.openxmlformats.org/officeDocument/2006/relationships" r:id="rId9"/>
          <a:extLst>
            <a:ext uri="{FF2B5EF4-FFF2-40B4-BE49-F238E27FC236}">
              <a16:creationId xmlns:a16="http://schemas.microsoft.com/office/drawing/2014/main" id="{00000000-0008-0000-0400-00000A010000}"/>
            </a:ext>
          </a:extLst>
        </xdr:cNvPr>
        <xdr:cNvSpPr/>
      </xdr:nvSpPr>
      <xdr:spPr>
        <a:xfrm>
          <a:off x="4125516" y="10644188"/>
          <a:ext cx="861602" cy="4119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xdr:col>
      <xdr:colOff>202406</xdr:colOff>
      <xdr:row>54</xdr:row>
      <xdr:rowOff>29766</xdr:rowOff>
    </xdr:from>
    <xdr:to>
      <xdr:col>6</xdr:col>
      <xdr:colOff>470296</xdr:colOff>
      <xdr:row>54</xdr:row>
      <xdr:rowOff>29766</xdr:rowOff>
    </xdr:to>
    <xdr:cxnSp macro="">
      <xdr:nvCxnSpPr>
        <xdr:cNvPr id="270" name="Straight Arrow Connector 269">
          <a:extLst>
            <a:ext uri="{FF2B5EF4-FFF2-40B4-BE49-F238E27FC236}">
              <a16:creationId xmlns:a16="http://schemas.microsoft.com/office/drawing/2014/main" id="{00000000-0008-0000-0400-00000E010000}"/>
            </a:ext>
          </a:extLst>
        </xdr:cNvPr>
        <xdr:cNvCxnSpPr/>
      </xdr:nvCxnSpPr>
      <xdr:spPr>
        <a:xfrm flipH="1">
          <a:off x="2024062" y="10906125"/>
          <a:ext cx="20895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146538</xdr:colOff>
      <xdr:row>32</xdr:row>
      <xdr:rowOff>154788</xdr:rowOff>
    </xdr:from>
    <xdr:to>
      <xdr:col>13</xdr:col>
      <xdr:colOff>476498</xdr:colOff>
      <xdr:row>32</xdr:row>
      <xdr:rowOff>154789</xdr:rowOff>
    </xdr:to>
    <xdr:cxnSp macro="">
      <xdr:nvCxnSpPr>
        <xdr:cNvPr id="287" name="Straight Arrow Connector 286">
          <a:extLst>
            <a:ext uri="{FF2B5EF4-FFF2-40B4-BE49-F238E27FC236}">
              <a16:creationId xmlns:a16="http://schemas.microsoft.com/office/drawing/2014/main" id="{00000000-0008-0000-0400-00001F010000}"/>
            </a:ext>
          </a:extLst>
        </xdr:cNvPr>
        <xdr:cNvCxnSpPr/>
      </xdr:nvCxnSpPr>
      <xdr:spPr>
        <a:xfrm flipH="1" flipV="1">
          <a:off x="6836019" y="6785653"/>
          <a:ext cx="1546229"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374397</xdr:colOff>
      <xdr:row>56</xdr:row>
      <xdr:rowOff>113111</xdr:rowOff>
    </xdr:from>
    <xdr:to>
      <xdr:col>43</xdr:col>
      <xdr:colOff>198435</xdr:colOff>
      <xdr:row>60</xdr:row>
      <xdr:rowOff>181433</xdr:rowOff>
    </xdr:to>
    <xdr:grpSp>
      <xdr:nvGrpSpPr>
        <xdr:cNvPr id="201" name="Group 200">
          <a:extLst>
            <a:ext uri="{FF2B5EF4-FFF2-40B4-BE49-F238E27FC236}">
              <a16:creationId xmlns:a16="http://schemas.microsoft.com/office/drawing/2014/main" id="{00000000-0008-0000-0400-0000C9000000}"/>
            </a:ext>
          </a:extLst>
        </xdr:cNvPr>
        <xdr:cNvGrpSpPr/>
      </xdr:nvGrpSpPr>
      <xdr:grpSpPr>
        <a:xfrm>
          <a:off x="25367997" y="10910651"/>
          <a:ext cx="1043238" cy="807462"/>
          <a:chOff x="25307916" y="11491823"/>
          <a:chExt cx="1040307" cy="837648"/>
        </a:xfrm>
      </xdr:grpSpPr>
      <xdr:grpSp>
        <xdr:nvGrpSpPr>
          <xdr:cNvPr id="210" name="Group 209">
            <a:extLst>
              <a:ext uri="{FF2B5EF4-FFF2-40B4-BE49-F238E27FC236}">
                <a16:creationId xmlns:a16="http://schemas.microsoft.com/office/drawing/2014/main" id="{00000000-0008-0000-0400-0000D2000000}"/>
              </a:ext>
            </a:extLst>
          </xdr:cNvPr>
          <xdr:cNvGrpSpPr/>
        </xdr:nvGrpSpPr>
        <xdr:grpSpPr>
          <a:xfrm>
            <a:off x="25307917" y="11491823"/>
            <a:ext cx="1040306" cy="828352"/>
            <a:chOff x="10072174" y="3587222"/>
            <a:chExt cx="1034541" cy="821026"/>
          </a:xfrm>
        </xdr:grpSpPr>
        <xdr:grpSp>
          <xdr:nvGrpSpPr>
            <xdr:cNvPr id="211" name="Group 210">
              <a:extLst>
                <a:ext uri="{FF2B5EF4-FFF2-40B4-BE49-F238E27FC236}">
                  <a16:creationId xmlns:a16="http://schemas.microsoft.com/office/drawing/2014/main" id="{00000000-0008-0000-0400-0000D3000000}"/>
                </a:ext>
              </a:extLst>
            </xdr:cNvPr>
            <xdr:cNvGrpSpPr/>
          </xdr:nvGrpSpPr>
          <xdr:grpSpPr>
            <a:xfrm>
              <a:off x="10078119" y="3587222"/>
              <a:ext cx="1028596" cy="821026"/>
              <a:chOff x="21781706" y="23964432"/>
              <a:chExt cx="1043337" cy="767666"/>
            </a:xfrm>
          </xdr:grpSpPr>
          <xdr:grpSp>
            <xdr:nvGrpSpPr>
              <xdr:cNvPr id="213" name="Group 212">
                <a:extLst>
                  <a:ext uri="{FF2B5EF4-FFF2-40B4-BE49-F238E27FC236}">
                    <a16:creationId xmlns:a16="http://schemas.microsoft.com/office/drawing/2014/main" id="{00000000-0008-0000-0400-0000D5000000}"/>
                  </a:ext>
                </a:extLst>
              </xdr:cNvPr>
              <xdr:cNvGrpSpPr/>
            </xdr:nvGrpSpPr>
            <xdr:grpSpPr>
              <a:xfrm>
                <a:off x="21788337" y="23964432"/>
                <a:ext cx="1036706" cy="767666"/>
                <a:chOff x="21618230" y="22624897"/>
                <a:chExt cx="1029359" cy="767666"/>
              </a:xfrm>
            </xdr:grpSpPr>
            <xdr:sp macro="" textlink="">
              <xdr:nvSpPr>
                <xdr:cNvPr id="215" name="Rectangle 214">
                  <a:extLst>
                    <a:ext uri="{FF2B5EF4-FFF2-40B4-BE49-F238E27FC236}">
                      <a16:creationId xmlns:a16="http://schemas.microsoft.com/office/drawing/2014/main" id="{00000000-0008-0000-0400-0000D7000000}"/>
                    </a:ext>
                  </a:extLst>
                </xdr:cNvPr>
                <xdr:cNvSpPr/>
              </xdr:nvSpPr>
              <xdr:spPr>
                <a:xfrm>
                  <a:off x="21649186" y="22624897"/>
                  <a:ext cx="998403" cy="767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PRAM</a:t>
                  </a:r>
                </a:p>
              </xdr:txBody>
            </xdr:sp>
            <xdr:sp macro="" textlink="">
              <xdr:nvSpPr>
                <xdr:cNvPr id="216" name="TextBox 215">
                  <a:extLst>
                    <a:ext uri="{FF2B5EF4-FFF2-40B4-BE49-F238E27FC236}">
                      <a16:creationId xmlns:a16="http://schemas.microsoft.com/office/drawing/2014/main" id="{00000000-0008-0000-0400-0000D8000000}"/>
                    </a:ext>
                  </a:extLst>
                </xdr:cNvPr>
                <xdr:cNvSpPr txBox="1"/>
              </xdr:nvSpPr>
              <xdr:spPr>
                <a:xfrm>
                  <a:off x="21618230" y="22624897"/>
                  <a:ext cx="727797"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HCLK</a:t>
                  </a:r>
                </a:p>
              </xdr:txBody>
            </xdr:sp>
          </xdr:grpSp>
          <xdr:sp macro="" textlink="">
            <xdr:nvSpPr>
              <xdr:cNvPr id="214" name="TextBox 213">
                <a:extLst>
                  <a:ext uri="{FF2B5EF4-FFF2-40B4-BE49-F238E27FC236}">
                    <a16:creationId xmlns:a16="http://schemas.microsoft.com/office/drawing/2014/main" id="{00000000-0008-0000-0400-0000D6000000}"/>
                  </a:ext>
                </a:extLst>
              </xdr:cNvPr>
              <xdr:cNvSpPr txBox="1"/>
            </xdr:nvSpPr>
            <xdr:spPr>
              <a:xfrm>
                <a:off x="21781706" y="24072608"/>
                <a:ext cx="732991" cy="185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baseline="0">
                    <a:solidFill>
                      <a:schemeClr val="bg1"/>
                    </a:solidFill>
                  </a:rPr>
                  <a:t>Memory CLK</a:t>
                </a:r>
                <a:endParaRPr lang="en-US" sz="600">
                  <a:solidFill>
                    <a:schemeClr val="bg1"/>
                  </a:solidFill>
                </a:endParaRPr>
              </a:p>
            </xdr:txBody>
          </xdr:sp>
        </xdr:grpSp>
        <xdr:sp macro="" textlink="">
          <xdr:nvSpPr>
            <xdr:cNvPr id="212" name="TextBox 211">
              <a:extLst>
                <a:ext uri="{FF2B5EF4-FFF2-40B4-BE49-F238E27FC236}">
                  <a16:creationId xmlns:a16="http://schemas.microsoft.com/office/drawing/2014/main" id="{00000000-0008-0000-0400-0000D4000000}"/>
                </a:ext>
              </a:extLst>
            </xdr:cNvPr>
            <xdr:cNvSpPr txBox="1"/>
          </xdr:nvSpPr>
          <xdr:spPr>
            <a:xfrm>
              <a:off x="10072174" y="4105144"/>
              <a:ext cx="722636" cy="198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grpSp>
      <xdr:sp macro="" textlink="">
        <xdr:nvSpPr>
          <xdr:cNvPr id="197" name="TextBox 196">
            <a:extLst>
              <a:ext uri="{FF2B5EF4-FFF2-40B4-BE49-F238E27FC236}">
                <a16:creationId xmlns:a16="http://schemas.microsoft.com/office/drawing/2014/main" id="{00000000-0008-0000-0400-0000C5000000}"/>
              </a:ext>
            </a:extLst>
          </xdr:cNvPr>
          <xdr:cNvSpPr txBox="1"/>
        </xdr:nvSpPr>
        <xdr:spPr>
          <a:xfrm>
            <a:off x="25307916" y="12129266"/>
            <a:ext cx="726662" cy="200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baseline="0">
                <a:solidFill>
                  <a:schemeClr val="bg1"/>
                </a:solidFill>
              </a:rPr>
              <a:t>Peripheral CLK</a:t>
            </a:r>
            <a:endParaRPr lang="en-US" sz="600">
              <a:solidFill>
                <a:schemeClr val="bg1"/>
              </a:solidFill>
            </a:endParaRPr>
          </a:p>
        </xdr:txBody>
      </xdr:sp>
    </xdr:grpSp>
    <xdr:clientData/>
  </xdr:twoCellAnchor>
  <xdr:twoCellAnchor>
    <xdr:from>
      <xdr:col>6</xdr:col>
      <xdr:colOff>0</xdr:colOff>
      <xdr:row>5</xdr:row>
      <xdr:rowOff>51287</xdr:rowOff>
    </xdr:from>
    <xdr:to>
      <xdr:col>6</xdr:col>
      <xdr:colOff>597775</xdr:colOff>
      <xdr:row>6</xdr:row>
      <xdr:rowOff>195090</xdr:rowOff>
    </xdr:to>
    <xdr:sp macro="" textlink="">
      <xdr:nvSpPr>
        <xdr:cNvPr id="202" name="Rectangle 201">
          <a:hlinkClick xmlns:r="http://schemas.openxmlformats.org/officeDocument/2006/relationships" r:id="rId9"/>
          <a:extLst>
            <a:ext uri="{FF2B5EF4-FFF2-40B4-BE49-F238E27FC236}">
              <a16:creationId xmlns:a16="http://schemas.microsoft.com/office/drawing/2014/main" id="{00000000-0008-0000-0400-0000CA000000}"/>
            </a:ext>
          </a:extLst>
        </xdr:cNvPr>
        <xdr:cNvSpPr/>
      </xdr:nvSpPr>
      <xdr:spPr>
        <a:xfrm>
          <a:off x="3648808" y="1047749"/>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xdr:col>
      <xdr:colOff>0</xdr:colOff>
      <xdr:row>6</xdr:row>
      <xdr:rowOff>73270</xdr:rowOff>
    </xdr:from>
    <xdr:to>
      <xdr:col>7</xdr:col>
      <xdr:colOff>369218</xdr:colOff>
      <xdr:row>6</xdr:row>
      <xdr:rowOff>73270</xdr:rowOff>
    </xdr:to>
    <xdr:cxnSp macro="">
      <xdr:nvCxnSpPr>
        <xdr:cNvPr id="204" name="Straight Arrow Connector 203">
          <a:extLst>
            <a:ext uri="{FF2B5EF4-FFF2-40B4-BE49-F238E27FC236}">
              <a16:creationId xmlns:a16="http://schemas.microsoft.com/office/drawing/2014/main" id="{00000000-0008-0000-0400-0000CC000000}"/>
            </a:ext>
          </a:extLst>
        </xdr:cNvPr>
        <xdr:cNvCxnSpPr/>
      </xdr:nvCxnSpPr>
      <xdr:spPr>
        <a:xfrm flipH="1">
          <a:off x="4256942" y="1282212"/>
          <a:ext cx="3692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7327</xdr:colOff>
      <xdr:row>8</xdr:row>
      <xdr:rowOff>51289</xdr:rowOff>
    </xdr:from>
    <xdr:to>
      <xdr:col>6</xdr:col>
      <xdr:colOff>605102</xdr:colOff>
      <xdr:row>9</xdr:row>
      <xdr:rowOff>195091</xdr:rowOff>
    </xdr:to>
    <xdr:sp macro="" textlink="">
      <xdr:nvSpPr>
        <xdr:cNvPr id="244" name="Rectangle 243">
          <a:hlinkClick xmlns:r="http://schemas.openxmlformats.org/officeDocument/2006/relationships" r:id="rId9"/>
          <a:extLst>
            <a:ext uri="{FF2B5EF4-FFF2-40B4-BE49-F238E27FC236}">
              <a16:creationId xmlns:a16="http://schemas.microsoft.com/office/drawing/2014/main" id="{00000000-0008-0000-0400-0000F4000000}"/>
            </a:ext>
          </a:extLst>
        </xdr:cNvPr>
        <xdr:cNvSpPr/>
      </xdr:nvSpPr>
      <xdr:spPr>
        <a:xfrm>
          <a:off x="3656135" y="1685193"/>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593480</xdr:colOff>
      <xdr:row>9</xdr:row>
      <xdr:rowOff>7327</xdr:rowOff>
    </xdr:from>
    <xdr:to>
      <xdr:col>7</xdr:col>
      <xdr:colOff>354564</xdr:colOff>
      <xdr:row>9</xdr:row>
      <xdr:rowOff>7327</xdr:rowOff>
    </xdr:to>
    <xdr:cxnSp macro="">
      <xdr:nvCxnSpPr>
        <xdr:cNvPr id="245" name="Straight Arrow Connector 244">
          <a:extLst>
            <a:ext uri="{FF2B5EF4-FFF2-40B4-BE49-F238E27FC236}">
              <a16:creationId xmlns:a16="http://schemas.microsoft.com/office/drawing/2014/main" id="{00000000-0008-0000-0400-0000F5000000}"/>
            </a:ext>
          </a:extLst>
        </xdr:cNvPr>
        <xdr:cNvCxnSpPr/>
      </xdr:nvCxnSpPr>
      <xdr:spPr>
        <a:xfrm flipH="1">
          <a:off x="4242288" y="1853712"/>
          <a:ext cx="3692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7327</xdr:colOff>
      <xdr:row>21</xdr:row>
      <xdr:rowOff>29307</xdr:rowOff>
    </xdr:from>
    <xdr:to>
      <xdr:col>6</xdr:col>
      <xdr:colOff>605102</xdr:colOff>
      <xdr:row>22</xdr:row>
      <xdr:rowOff>173110</xdr:rowOff>
    </xdr:to>
    <xdr:sp macro="" textlink="">
      <xdr:nvSpPr>
        <xdr:cNvPr id="252" name="Rectangle 251">
          <a:hlinkClick xmlns:r="http://schemas.openxmlformats.org/officeDocument/2006/relationships" r:id="rId9"/>
          <a:extLst>
            <a:ext uri="{FF2B5EF4-FFF2-40B4-BE49-F238E27FC236}">
              <a16:creationId xmlns:a16="http://schemas.microsoft.com/office/drawing/2014/main" id="{00000000-0008-0000-0400-0000FC000000}"/>
            </a:ext>
          </a:extLst>
        </xdr:cNvPr>
        <xdr:cNvSpPr/>
      </xdr:nvSpPr>
      <xdr:spPr>
        <a:xfrm>
          <a:off x="3656135" y="4352192"/>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6</xdr:col>
      <xdr:colOff>0</xdr:colOff>
      <xdr:row>24</xdr:row>
      <xdr:rowOff>58616</xdr:rowOff>
    </xdr:from>
    <xdr:to>
      <xdr:col>6</xdr:col>
      <xdr:colOff>597775</xdr:colOff>
      <xdr:row>25</xdr:row>
      <xdr:rowOff>202418</xdr:rowOff>
    </xdr:to>
    <xdr:sp macro="" textlink="">
      <xdr:nvSpPr>
        <xdr:cNvPr id="255" name="Rectangle 254">
          <a:hlinkClick xmlns:r="http://schemas.openxmlformats.org/officeDocument/2006/relationships" r:id="rId9"/>
          <a:extLst>
            <a:ext uri="{FF2B5EF4-FFF2-40B4-BE49-F238E27FC236}">
              <a16:creationId xmlns:a16="http://schemas.microsoft.com/office/drawing/2014/main" id="{00000000-0008-0000-0400-0000FF000000}"/>
            </a:ext>
          </a:extLst>
        </xdr:cNvPr>
        <xdr:cNvSpPr/>
      </xdr:nvSpPr>
      <xdr:spPr>
        <a:xfrm>
          <a:off x="3648808" y="5018943"/>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xdr:col>
      <xdr:colOff>215858</xdr:colOff>
      <xdr:row>22</xdr:row>
      <xdr:rowOff>50521</xdr:rowOff>
    </xdr:from>
    <xdr:to>
      <xdr:col>5</xdr:col>
      <xdr:colOff>593481</xdr:colOff>
      <xdr:row>22</xdr:row>
      <xdr:rowOff>50521</xdr:rowOff>
    </xdr:to>
    <xdr:cxnSp macro="">
      <xdr:nvCxnSpPr>
        <xdr:cNvPr id="258" name="Straight Arrow Connector 257">
          <a:extLst>
            <a:ext uri="{FF2B5EF4-FFF2-40B4-BE49-F238E27FC236}">
              <a16:creationId xmlns:a16="http://schemas.microsoft.com/office/drawing/2014/main" id="{00000000-0008-0000-0400-000002010000}"/>
            </a:ext>
          </a:extLst>
        </xdr:cNvPr>
        <xdr:cNvCxnSpPr>
          <a:endCxn id="54" idx="3"/>
        </xdr:cNvCxnSpPr>
      </xdr:nvCxnSpPr>
      <xdr:spPr>
        <a:xfrm flipH="1">
          <a:off x="2040262" y="4585886"/>
          <a:ext cx="159389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212480</xdr:colOff>
      <xdr:row>25</xdr:row>
      <xdr:rowOff>29308</xdr:rowOff>
    </xdr:from>
    <xdr:to>
      <xdr:col>5</xdr:col>
      <xdr:colOff>590103</xdr:colOff>
      <xdr:row>25</xdr:row>
      <xdr:rowOff>29308</xdr:rowOff>
    </xdr:to>
    <xdr:cxnSp macro="">
      <xdr:nvCxnSpPr>
        <xdr:cNvPr id="261" name="Straight Arrow Connector 260">
          <a:extLst>
            <a:ext uri="{FF2B5EF4-FFF2-40B4-BE49-F238E27FC236}">
              <a16:creationId xmlns:a16="http://schemas.microsoft.com/office/drawing/2014/main" id="{00000000-0008-0000-0400-000005010000}"/>
            </a:ext>
          </a:extLst>
        </xdr:cNvPr>
        <xdr:cNvCxnSpPr/>
      </xdr:nvCxnSpPr>
      <xdr:spPr>
        <a:xfrm flipH="1">
          <a:off x="2036884" y="5202116"/>
          <a:ext cx="159389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0</xdr:colOff>
      <xdr:row>29</xdr:row>
      <xdr:rowOff>36635</xdr:rowOff>
    </xdr:from>
    <xdr:to>
      <xdr:col>7</xdr:col>
      <xdr:colOff>597775</xdr:colOff>
      <xdr:row>30</xdr:row>
      <xdr:rowOff>180437</xdr:rowOff>
    </xdr:to>
    <xdr:sp macro="" textlink="">
      <xdr:nvSpPr>
        <xdr:cNvPr id="263" name="Rectangle 262">
          <a:hlinkClick xmlns:r="http://schemas.openxmlformats.org/officeDocument/2006/relationships" r:id="rId9"/>
          <a:extLst>
            <a:ext uri="{FF2B5EF4-FFF2-40B4-BE49-F238E27FC236}">
              <a16:creationId xmlns:a16="http://schemas.microsoft.com/office/drawing/2014/main" id="{00000000-0008-0000-0400-000007010000}"/>
            </a:ext>
          </a:extLst>
        </xdr:cNvPr>
        <xdr:cNvSpPr/>
      </xdr:nvSpPr>
      <xdr:spPr>
        <a:xfrm>
          <a:off x="4256942" y="6059366"/>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xdr:col>
      <xdr:colOff>0</xdr:colOff>
      <xdr:row>32</xdr:row>
      <xdr:rowOff>58616</xdr:rowOff>
    </xdr:from>
    <xdr:to>
      <xdr:col>7</xdr:col>
      <xdr:colOff>597775</xdr:colOff>
      <xdr:row>33</xdr:row>
      <xdr:rowOff>202418</xdr:rowOff>
    </xdr:to>
    <xdr:sp macro="" textlink="">
      <xdr:nvSpPr>
        <xdr:cNvPr id="265" name="Rectangle 264">
          <a:hlinkClick xmlns:r="http://schemas.openxmlformats.org/officeDocument/2006/relationships" r:id="rId9"/>
          <a:extLst>
            <a:ext uri="{FF2B5EF4-FFF2-40B4-BE49-F238E27FC236}">
              <a16:creationId xmlns:a16="http://schemas.microsoft.com/office/drawing/2014/main" id="{00000000-0008-0000-0400-000009010000}"/>
            </a:ext>
          </a:extLst>
        </xdr:cNvPr>
        <xdr:cNvSpPr/>
      </xdr:nvSpPr>
      <xdr:spPr>
        <a:xfrm>
          <a:off x="4256942" y="6718789"/>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8</xdr:col>
      <xdr:colOff>0</xdr:colOff>
      <xdr:row>30</xdr:row>
      <xdr:rowOff>0</xdr:rowOff>
    </xdr:from>
    <xdr:to>
      <xdr:col>9</xdr:col>
      <xdr:colOff>359019</xdr:colOff>
      <xdr:row>30</xdr:row>
      <xdr:rowOff>1</xdr:rowOff>
    </xdr:to>
    <xdr:cxnSp macro="">
      <xdr:nvCxnSpPr>
        <xdr:cNvPr id="267" name="Straight Arrow Connector 266">
          <a:extLst>
            <a:ext uri="{FF2B5EF4-FFF2-40B4-BE49-F238E27FC236}">
              <a16:creationId xmlns:a16="http://schemas.microsoft.com/office/drawing/2014/main" id="{00000000-0008-0000-0400-00000B010000}"/>
            </a:ext>
          </a:extLst>
        </xdr:cNvPr>
        <xdr:cNvCxnSpPr/>
      </xdr:nvCxnSpPr>
      <xdr:spPr>
        <a:xfrm flipH="1">
          <a:off x="4865077" y="6235212"/>
          <a:ext cx="967154"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584689</xdr:colOff>
      <xdr:row>33</xdr:row>
      <xdr:rowOff>35169</xdr:rowOff>
    </xdr:from>
    <xdr:to>
      <xdr:col>9</xdr:col>
      <xdr:colOff>335573</xdr:colOff>
      <xdr:row>33</xdr:row>
      <xdr:rowOff>35170</xdr:rowOff>
    </xdr:to>
    <xdr:cxnSp macro="">
      <xdr:nvCxnSpPr>
        <xdr:cNvPr id="268" name="Straight Arrow Connector 267">
          <a:extLst>
            <a:ext uri="{FF2B5EF4-FFF2-40B4-BE49-F238E27FC236}">
              <a16:creationId xmlns:a16="http://schemas.microsoft.com/office/drawing/2014/main" id="{00000000-0008-0000-0400-00000C010000}"/>
            </a:ext>
          </a:extLst>
        </xdr:cNvPr>
        <xdr:cNvCxnSpPr/>
      </xdr:nvCxnSpPr>
      <xdr:spPr>
        <a:xfrm flipH="1">
          <a:off x="4841631" y="6907823"/>
          <a:ext cx="967154"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0</xdr:colOff>
      <xdr:row>6</xdr:row>
      <xdr:rowOff>43962</xdr:rowOff>
    </xdr:from>
    <xdr:to>
      <xdr:col>37</xdr:col>
      <xdr:colOff>597775</xdr:colOff>
      <xdr:row>7</xdr:row>
      <xdr:rowOff>187764</xdr:rowOff>
    </xdr:to>
    <xdr:sp macro="" textlink="">
      <xdr:nvSpPr>
        <xdr:cNvPr id="273" name="Rectangle 272">
          <a:hlinkClick xmlns:r="http://schemas.openxmlformats.org/officeDocument/2006/relationships" r:id="rId9"/>
          <a:extLst>
            <a:ext uri="{FF2B5EF4-FFF2-40B4-BE49-F238E27FC236}">
              <a16:creationId xmlns:a16="http://schemas.microsoft.com/office/drawing/2014/main" id="{00000000-0008-0000-0400-000011010000}"/>
            </a:ext>
          </a:extLst>
        </xdr:cNvPr>
        <xdr:cNvSpPr/>
      </xdr:nvSpPr>
      <xdr:spPr>
        <a:xfrm>
          <a:off x="22500981" y="1252904"/>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37</xdr:col>
      <xdr:colOff>583172</xdr:colOff>
      <xdr:row>6</xdr:row>
      <xdr:rowOff>152213</xdr:rowOff>
    </xdr:from>
    <xdr:to>
      <xdr:col>41</xdr:col>
      <xdr:colOff>571500</xdr:colOff>
      <xdr:row>6</xdr:row>
      <xdr:rowOff>152213</xdr:rowOff>
    </xdr:to>
    <xdr:cxnSp macro="">
      <xdr:nvCxnSpPr>
        <xdr:cNvPr id="274" name="Straight Arrow Connector 273">
          <a:extLst>
            <a:ext uri="{FF2B5EF4-FFF2-40B4-BE49-F238E27FC236}">
              <a16:creationId xmlns:a16="http://schemas.microsoft.com/office/drawing/2014/main" id="{00000000-0008-0000-0400-000012010000}"/>
            </a:ext>
          </a:extLst>
        </xdr:cNvPr>
        <xdr:cNvCxnSpPr/>
      </xdr:nvCxnSpPr>
      <xdr:spPr>
        <a:xfrm>
          <a:off x="23084153" y="1361155"/>
          <a:ext cx="242086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7327</xdr:colOff>
      <xdr:row>15</xdr:row>
      <xdr:rowOff>43961</xdr:rowOff>
    </xdr:from>
    <xdr:to>
      <xdr:col>37</xdr:col>
      <xdr:colOff>605102</xdr:colOff>
      <xdr:row>16</xdr:row>
      <xdr:rowOff>187763</xdr:rowOff>
    </xdr:to>
    <xdr:sp macro="" textlink="">
      <xdr:nvSpPr>
        <xdr:cNvPr id="277" name="Rectangle 276">
          <a:hlinkClick xmlns:r="http://schemas.openxmlformats.org/officeDocument/2006/relationships" r:id="rId9"/>
          <a:extLst>
            <a:ext uri="{FF2B5EF4-FFF2-40B4-BE49-F238E27FC236}">
              <a16:creationId xmlns:a16="http://schemas.microsoft.com/office/drawing/2014/main" id="{00000000-0008-0000-0400-000015010000}"/>
            </a:ext>
          </a:extLst>
        </xdr:cNvPr>
        <xdr:cNvSpPr/>
      </xdr:nvSpPr>
      <xdr:spPr>
        <a:xfrm>
          <a:off x="22508308" y="3091961"/>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33</xdr:col>
      <xdr:colOff>196362</xdr:colOff>
      <xdr:row>16</xdr:row>
      <xdr:rowOff>38979</xdr:rowOff>
    </xdr:from>
    <xdr:to>
      <xdr:col>36</xdr:col>
      <xdr:colOff>586154</xdr:colOff>
      <xdr:row>16</xdr:row>
      <xdr:rowOff>38979</xdr:rowOff>
    </xdr:to>
    <xdr:cxnSp macro="">
      <xdr:nvCxnSpPr>
        <xdr:cNvPr id="280" name="Straight Arrow Connector 279">
          <a:extLst>
            <a:ext uri="{FF2B5EF4-FFF2-40B4-BE49-F238E27FC236}">
              <a16:creationId xmlns:a16="http://schemas.microsoft.com/office/drawing/2014/main" id="{00000000-0008-0000-0400-000018010000}"/>
            </a:ext>
          </a:extLst>
        </xdr:cNvPr>
        <xdr:cNvCxnSpPr/>
      </xdr:nvCxnSpPr>
      <xdr:spPr>
        <a:xfrm>
          <a:off x="20264804" y="3299460"/>
          <a:ext cx="2214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7327</xdr:colOff>
      <xdr:row>24</xdr:row>
      <xdr:rowOff>36634</xdr:rowOff>
    </xdr:from>
    <xdr:to>
      <xdr:col>37</xdr:col>
      <xdr:colOff>605102</xdr:colOff>
      <xdr:row>25</xdr:row>
      <xdr:rowOff>180436</xdr:rowOff>
    </xdr:to>
    <xdr:sp macro="" textlink="">
      <xdr:nvSpPr>
        <xdr:cNvPr id="283" name="Rectangle 282">
          <a:hlinkClick xmlns:r="http://schemas.openxmlformats.org/officeDocument/2006/relationships" r:id="rId9"/>
          <a:extLst>
            <a:ext uri="{FF2B5EF4-FFF2-40B4-BE49-F238E27FC236}">
              <a16:creationId xmlns:a16="http://schemas.microsoft.com/office/drawing/2014/main" id="{00000000-0008-0000-0400-00001B010000}"/>
            </a:ext>
          </a:extLst>
        </xdr:cNvPr>
        <xdr:cNvSpPr/>
      </xdr:nvSpPr>
      <xdr:spPr>
        <a:xfrm>
          <a:off x="22508308" y="4996961"/>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33</xdr:col>
      <xdr:colOff>197827</xdr:colOff>
      <xdr:row>25</xdr:row>
      <xdr:rowOff>29308</xdr:rowOff>
    </xdr:from>
    <xdr:to>
      <xdr:col>36</xdr:col>
      <xdr:colOff>587619</xdr:colOff>
      <xdr:row>25</xdr:row>
      <xdr:rowOff>29308</xdr:rowOff>
    </xdr:to>
    <xdr:cxnSp macro="">
      <xdr:nvCxnSpPr>
        <xdr:cNvPr id="285" name="Straight Arrow Connector 284">
          <a:extLst>
            <a:ext uri="{FF2B5EF4-FFF2-40B4-BE49-F238E27FC236}">
              <a16:creationId xmlns:a16="http://schemas.microsoft.com/office/drawing/2014/main" id="{00000000-0008-0000-0400-00001D010000}"/>
            </a:ext>
          </a:extLst>
        </xdr:cNvPr>
        <xdr:cNvCxnSpPr/>
      </xdr:nvCxnSpPr>
      <xdr:spPr>
        <a:xfrm>
          <a:off x="20266269" y="5202116"/>
          <a:ext cx="2214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0</xdr:colOff>
      <xdr:row>35</xdr:row>
      <xdr:rowOff>7327</xdr:rowOff>
    </xdr:from>
    <xdr:to>
      <xdr:col>38</xdr:col>
      <xdr:colOff>597775</xdr:colOff>
      <xdr:row>36</xdr:row>
      <xdr:rowOff>165783</xdr:rowOff>
    </xdr:to>
    <xdr:sp macro="" textlink="">
      <xdr:nvSpPr>
        <xdr:cNvPr id="288" name="Rectangle 287">
          <a:hlinkClick xmlns:r="http://schemas.openxmlformats.org/officeDocument/2006/relationships" r:id="rId9"/>
          <a:extLst>
            <a:ext uri="{FF2B5EF4-FFF2-40B4-BE49-F238E27FC236}">
              <a16:creationId xmlns:a16="http://schemas.microsoft.com/office/drawing/2014/main" id="{00000000-0008-0000-0400-000020010000}"/>
            </a:ext>
          </a:extLst>
        </xdr:cNvPr>
        <xdr:cNvSpPr/>
      </xdr:nvSpPr>
      <xdr:spPr>
        <a:xfrm>
          <a:off x="23109115" y="7304942"/>
          <a:ext cx="597775" cy="3562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38</xdr:col>
      <xdr:colOff>600808</xdr:colOff>
      <xdr:row>35</xdr:row>
      <xdr:rowOff>52254</xdr:rowOff>
    </xdr:from>
    <xdr:to>
      <xdr:col>41</xdr:col>
      <xdr:colOff>366346</xdr:colOff>
      <xdr:row>35</xdr:row>
      <xdr:rowOff>52255</xdr:rowOff>
    </xdr:to>
    <xdr:cxnSp macro="">
      <xdr:nvCxnSpPr>
        <xdr:cNvPr id="289" name="Straight Arrow Connector 288">
          <a:extLst>
            <a:ext uri="{FF2B5EF4-FFF2-40B4-BE49-F238E27FC236}">
              <a16:creationId xmlns:a16="http://schemas.microsoft.com/office/drawing/2014/main" id="{00000000-0008-0000-0400-000021010000}"/>
            </a:ext>
          </a:extLst>
        </xdr:cNvPr>
        <xdr:cNvCxnSpPr/>
      </xdr:nvCxnSpPr>
      <xdr:spPr>
        <a:xfrm flipV="1">
          <a:off x="23709923" y="7349869"/>
          <a:ext cx="1589942" cy="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212481</xdr:colOff>
      <xdr:row>82</xdr:row>
      <xdr:rowOff>80596</xdr:rowOff>
    </xdr:from>
    <xdr:to>
      <xdr:col>9</xdr:col>
      <xdr:colOff>212481</xdr:colOff>
      <xdr:row>87</xdr:row>
      <xdr:rowOff>108239</xdr:rowOff>
    </xdr:to>
    <xdr:cxnSp macro="">
      <xdr:nvCxnSpPr>
        <xdr:cNvPr id="248" name="Straight Arrow Connector 247">
          <a:extLst>
            <a:ext uri="{FF2B5EF4-FFF2-40B4-BE49-F238E27FC236}">
              <a16:creationId xmlns:a16="http://schemas.microsoft.com/office/drawing/2014/main" id="{00000000-0008-0000-0400-0000F8000000}"/>
            </a:ext>
          </a:extLst>
        </xdr:cNvPr>
        <xdr:cNvCxnSpPr/>
      </xdr:nvCxnSpPr>
      <xdr:spPr>
        <a:xfrm flipV="1">
          <a:off x="5706674" y="16377005"/>
          <a:ext cx="0" cy="980143"/>
        </a:xfrm>
        <a:prstGeom prst="straightConnector1">
          <a:avLst/>
        </a:prstGeom>
        <a:ln w="19050">
          <a:solidFill>
            <a:schemeClr val="bg2">
              <a:lumMod val="75000"/>
            </a:schemeClr>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327790</xdr:colOff>
      <xdr:row>4</xdr:row>
      <xdr:rowOff>41054</xdr:rowOff>
    </xdr:from>
    <xdr:ext cx="1238251" cy="476251"/>
    <xdr:sp macro="" textlink="">
      <xdr:nvSpPr>
        <xdr:cNvPr id="5" name="TextBox 4">
          <a:hlinkClick xmlns:r="http://schemas.openxmlformats.org/officeDocument/2006/relationships" r:id="rId1"/>
          <a:extLst>
            <a:ext uri="{FF2B5EF4-FFF2-40B4-BE49-F238E27FC236}">
              <a16:creationId xmlns:a16="http://schemas.microsoft.com/office/drawing/2014/main" id="{00000000-0008-0000-0500-000005000000}"/>
            </a:ext>
          </a:extLst>
        </xdr:cNvPr>
        <xdr:cNvSpPr txBox="1"/>
      </xdr:nvSpPr>
      <xdr:spPr>
        <a:xfrm>
          <a:off x="2160531" y="803054"/>
          <a:ext cx="1238251" cy="4762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TXD_CLK/RMII_CLK</a:t>
          </a:r>
        </a:p>
      </xdr:txBody>
    </xdr:sp>
    <xdr:clientData/>
  </xdr:oneCellAnchor>
  <xdr:twoCellAnchor>
    <xdr:from>
      <xdr:col>4</xdr:col>
      <xdr:colOff>302173</xdr:colOff>
      <xdr:row>15</xdr:row>
      <xdr:rowOff>114300</xdr:rowOff>
    </xdr:from>
    <xdr:to>
      <xdr:col>6</xdr:col>
      <xdr:colOff>400050</xdr:colOff>
      <xdr:row>15</xdr:row>
      <xdr:rowOff>114300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a:off x="2745828" y="3004645"/>
          <a:ext cx="1319705" cy="0"/>
        </a:xfrm>
        <a:prstGeom prst="straightConnector1">
          <a:avLst/>
        </a:prstGeom>
        <a:ln w="19050">
          <a:solidFill>
            <a:schemeClr val="accent5">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422916</xdr:colOff>
      <xdr:row>12</xdr:row>
      <xdr:rowOff>171450</xdr:rowOff>
    </xdr:from>
    <xdr:to>
      <xdr:col>8</xdr:col>
      <xdr:colOff>197068</xdr:colOff>
      <xdr:row>16</xdr:row>
      <xdr:rowOff>182798</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4080516" y="2457450"/>
          <a:ext cx="993352" cy="8019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AUX</a:t>
          </a:r>
          <a:r>
            <a:rPr lang="en-US" sz="1100" baseline="0"/>
            <a:t> CLock</a:t>
          </a:r>
        </a:p>
        <a:p>
          <a:pPr algn="ctr"/>
          <a:r>
            <a:rPr lang="en-US" sz="1100" baseline="0"/>
            <a:t>Selector 2</a:t>
          </a:r>
        </a:p>
        <a:p>
          <a:pPr algn="ctr"/>
          <a:r>
            <a:rPr lang="en-US" sz="900"/>
            <a:t>MC_CGM_AC2_SC[SELCTL]</a:t>
          </a:r>
        </a:p>
      </xdr:txBody>
    </xdr:sp>
    <xdr:clientData/>
  </xdr:twoCellAnchor>
  <xdr:oneCellAnchor>
    <xdr:from>
      <xdr:col>6</xdr:col>
      <xdr:colOff>552450</xdr:colOff>
      <xdr:row>17</xdr:row>
      <xdr:rowOff>190499</xdr:rowOff>
    </xdr:from>
    <xdr:ext cx="1238250" cy="342901"/>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4210050" y="3476624"/>
          <a:ext cx="1238250" cy="342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F40</a:t>
          </a:r>
        </a:p>
        <a:p>
          <a:r>
            <a:rPr lang="en-US" sz="800"/>
            <a:t>1 - TXD_CLK/RMII_CLK</a:t>
          </a:r>
        </a:p>
      </xdr:txBody>
    </xdr:sp>
    <xdr:clientData/>
  </xdr:oneCellAnchor>
  <xdr:oneCellAnchor>
    <xdr:from>
      <xdr:col>0</xdr:col>
      <xdr:colOff>381000</xdr:colOff>
      <xdr:row>4</xdr:row>
      <xdr:rowOff>66674</xdr:rowOff>
    </xdr:from>
    <xdr:ext cx="1057275" cy="419101"/>
    <xdr:sp macro="" textlink="">
      <xdr:nvSpPr>
        <xdr:cNvPr id="11" name="TextBox 10">
          <a:hlinkClick xmlns:r="http://schemas.openxmlformats.org/officeDocument/2006/relationships" r:id="rId2"/>
          <a:extLst>
            <a:ext uri="{FF2B5EF4-FFF2-40B4-BE49-F238E27FC236}">
              <a16:creationId xmlns:a16="http://schemas.microsoft.com/office/drawing/2014/main" id="{00000000-0008-0000-0500-00000B000000}"/>
            </a:ext>
          </a:extLst>
        </xdr:cNvPr>
        <xdr:cNvSpPr txBox="1"/>
      </xdr:nvSpPr>
      <xdr:spPr>
        <a:xfrm>
          <a:off x="381000" y="82867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F40</a:t>
          </a:r>
        </a:p>
      </xdr:txBody>
    </xdr:sp>
    <xdr:clientData/>
  </xdr:oneCellAnchor>
  <xdr:twoCellAnchor>
    <xdr:from>
      <xdr:col>1</xdr:col>
      <xdr:colOff>305803</xdr:colOff>
      <xdr:row>7</xdr:row>
      <xdr:rowOff>5013</xdr:rowOff>
    </xdr:from>
    <xdr:to>
      <xdr:col>1</xdr:col>
      <xdr:colOff>305803</xdr:colOff>
      <xdr:row>39</xdr:row>
      <xdr:rowOff>171450</xdr:rowOff>
    </xdr:to>
    <xdr:cxnSp macro="">
      <xdr:nvCxnSpPr>
        <xdr:cNvPr id="12" name="Straight Arrow Connector 11">
          <a:extLst>
            <a:ext uri="{FF2B5EF4-FFF2-40B4-BE49-F238E27FC236}">
              <a16:creationId xmlns:a16="http://schemas.microsoft.com/office/drawing/2014/main" id="{00000000-0008-0000-0500-00000C000000}"/>
            </a:ext>
          </a:extLst>
        </xdr:cNvPr>
        <xdr:cNvCxnSpPr/>
      </xdr:nvCxnSpPr>
      <xdr:spPr>
        <a:xfrm>
          <a:off x="915403" y="1367088"/>
          <a:ext cx="0" cy="6481512"/>
        </a:xfrm>
        <a:prstGeom prst="straightConnector1">
          <a:avLst/>
        </a:prstGeom>
        <a:ln w="19050">
          <a:solidFill>
            <a:schemeClr val="accent3">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308176</xdr:colOff>
      <xdr:row>13</xdr:row>
      <xdr:rowOff>95664</xdr:rowOff>
    </xdr:from>
    <xdr:to>
      <xdr:col>6</xdr:col>
      <xdr:colOff>420414</xdr:colOff>
      <xdr:row>13</xdr:row>
      <xdr:rowOff>95664</xdr:rowOff>
    </xdr:to>
    <xdr:cxnSp macro="">
      <xdr:nvCxnSpPr>
        <xdr:cNvPr id="13" name="Straight Arrow Connector 12">
          <a:extLst>
            <a:ext uri="{FF2B5EF4-FFF2-40B4-BE49-F238E27FC236}">
              <a16:creationId xmlns:a16="http://schemas.microsoft.com/office/drawing/2014/main" id="{00000000-0008-0000-0500-00000D000000}"/>
            </a:ext>
          </a:extLst>
        </xdr:cNvPr>
        <xdr:cNvCxnSpPr/>
      </xdr:nvCxnSpPr>
      <xdr:spPr>
        <a:xfrm>
          <a:off x="919090" y="2605009"/>
          <a:ext cx="3166807"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293356</xdr:colOff>
      <xdr:row>7</xdr:row>
      <xdr:rowOff>8816</xdr:rowOff>
    </xdr:from>
    <xdr:to>
      <xdr:col>4</xdr:col>
      <xdr:colOff>293356</xdr:colOff>
      <xdr:row>39</xdr:row>
      <xdr:rowOff>161925</xdr:rowOff>
    </xdr:to>
    <xdr:cxnSp macro="">
      <xdr:nvCxnSpPr>
        <xdr:cNvPr id="16" name="Straight Arrow Connector 15">
          <a:extLst>
            <a:ext uri="{FF2B5EF4-FFF2-40B4-BE49-F238E27FC236}">
              <a16:creationId xmlns:a16="http://schemas.microsoft.com/office/drawing/2014/main" id="{00000000-0008-0000-0500-000010000000}"/>
            </a:ext>
          </a:extLst>
        </xdr:cNvPr>
        <xdr:cNvCxnSpPr/>
      </xdr:nvCxnSpPr>
      <xdr:spPr>
        <a:xfrm>
          <a:off x="2731756" y="1370891"/>
          <a:ext cx="0" cy="6468184"/>
        </a:xfrm>
        <a:prstGeom prst="straightConnector1">
          <a:avLst/>
        </a:prstGeom>
        <a:ln w="19050">
          <a:solidFill>
            <a:schemeClr val="accent5">
              <a:lumMod val="40000"/>
              <a:lumOff val="6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290349</xdr:colOff>
      <xdr:row>8</xdr:row>
      <xdr:rowOff>102475</xdr:rowOff>
    </xdr:from>
    <xdr:to>
      <xdr:col>12</xdr:col>
      <xdr:colOff>584637</xdr:colOff>
      <xdr:row>8</xdr:row>
      <xdr:rowOff>102475</xdr:rowOff>
    </xdr:to>
    <xdr:cxnSp macro="">
      <xdr:nvCxnSpPr>
        <xdr:cNvPr id="18" name="Straight Arrow Connector 17">
          <a:extLst>
            <a:ext uri="{FF2B5EF4-FFF2-40B4-BE49-F238E27FC236}">
              <a16:creationId xmlns:a16="http://schemas.microsoft.com/office/drawing/2014/main" id="{00000000-0008-0000-0500-000012000000}"/>
            </a:ext>
          </a:extLst>
        </xdr:cNvPr>
        <xdr:cNvCxnSpPr/>
      </xdr:nvCxnSpPr>
      <xdr:spPr>
        <a:xfrm>
          <a:off x="2734004" y="1659320"/>
          <a:ext cx="5181599" cy="0"/>
        </a:xfrm>
        <a:prstGeom prst="straightConnector1">
          <a:avLst/>
        </a:prstGeom>
        <a:ln w="19050">
          <a:solidFill>
            <a:schemeClr val="accent5">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197068</xdr:colOff>
      <xdr:row>14</xdr:row>
      <xdr:rowOff>177124</xdr:rowOff>
    </xdr:from>
    <xdr:to>
      <xdr:col>13</xdr:col>
      <xdr:colOff>0</xdr:colOff>
      <xdr:row>14</xdr:row>
      <xdr:rowOff>183931</xdr:rowOff>
    </xdr:to>
    <xdr:cxnSp macro="">
      <xdr:nvCxnSpPr>
        <xdr:cNvPr id="23" name="Straight Arrow Connector 22">
          <a:extLst>
            <a:ext uri="{FF2B5EF4-FFF2-40B4-BE49-F238E27FC236}">
              <a16:creationId xmlns:a16="http://schemas.microsoft.com/office/drawing/2014/main" id="{00000000-0008-0000-0500-000017000000}"/>
            </a:ext>
          </a:extLst>
        </xdr:cNvPr>
        <xdr:cNvCxnSpPr>
          <a:stCxn id="9" idx="3"/>
        </xdr:cNvCxnSpPr>
      </xdr:nvCxnSpPr>
      <xdr:spPr>
        <a:xfrm>
          <a:off x="5084378" y="2876969"/>
          <a:ext cx="2857501" cy="6807"/>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584638</xdr:colOff>
      <xdr:row>13</xdr:row>
      <xdr:rowOff>83896</xdr:rowOff>
    </xdr:from>
    <xdr:to>
      <xdr:col>13</xdr:col>
      <xdr:colOff>2672</xdr:colOff>
      <xdr:row>13</xdr:row>
      <xdr:rowOff>83896</xdr:rowOff>
    </xdr:to>
    <xdr:cxnSp macro="">
      <xdr:nvCxnSpPr>
        <xdr:cNvPr id="27" name="Straight Arrow Connector 26">
          <a:extLst>
            <a:ext uri="{FF2B5EF4-FFF2-40B4-BE49-F238E27FC236}">
              <a16:creationId xmlns:a16="http://schemas.microsoft.com/office/drawing/2014/main" id="{00000000-0008-0000-0500-00001B000000}"/>
            </a:ext>
          </a:extLst>
        </xdr:cNvPr>
        <xdr:cNvCxnSpPr>
          <a:endCxn id="20" idx="1"/>
        </xdr:cNvCxnSpPr>
      </xdr:nvCxnSpPr>
      <xdr:spPr>
        <a:xfrm>
          <a:off x="7290238" y="2598496"/>
          <a:ext cx="63723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584639</xdr:colOff>
      <xdr:row>13</xdr:row>
      <xdr:rowOff>83896</xdr:rowOff>
    </xdr:from>
    <xdr:to>
      <xdr:col>11</xdr:col>
      <xdr:colOff>584639</xdr:colOff>
      <xdr:row>15</xdr:row>
      <xdr:rowOff>6569</xdr:rowOff>
    </xdr:to>
    <xdr:cxnSp macro="">
      <xdr:nvCxnSpPr>
        <xdr:cNvPr id="30" name="Straight Arrow Connector 29">
          <a:extLst>
            <a:ext uri="{FF2B5EF4-FFF2-40B4-BE49-F238E27FC236}">
              <a16:creationId xmlns:a16="http://schemas.microsoft.com/office/drawing/2014/main" id="{00000000-0008-0000-0500-00001E000000}"/>
            </a:ext>
          </a:extLst>
        </xdr:cNvPr>
        <xdr:cNvCxnSpPr/>
      </xdr:nvCxnSpPr>
      <xdr:spPr>
        <a:xfrm flipV="1">
          <a:off x="7304691" y="2593241"/>
          <a:ext cx="0" cy="303673"/>
        </a:xfrm>
        <a:prstGeom prst="straightConnector1">
          <a:avLst/>
        </a:prstGeom>
        <a:ln w="19050">
          <a:solidFill>
            <a:sysClr val="windowText" lastClr="000000"/>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302172</xdr:colOff>
      <xdr:row>20</xdr:row>
      <xdr:rowOff>85887</xdr:rowOff>
    </xdr:from>
    <xdr:to>
      <xdr:col>13</xdr:col>
      <xdr:colOff>3985</xdr:colOff>
      <xdr:row>20</xdr:row>
      <xdr:rowOff>85887</xdr:rowOff>
    </xdr:to>
    <xdr:cxnSp macro="">
      <xdr:nvCxnSpPr>
        <xdr:cNvPr id="35" name="Straight Arrow Connector 34">
          <a:extLst>
            <a:ext uri="{FF2B5EF4-FFF2-40B4-BE49-F238E27FC236}">
              <a16:creationId xmlns:a16="http://schemas.microsoft.com/office/drawing/2014/main" id="{00000000-0008-0000-0500-000023000000}"/>
            </a:ext>
          </a:extLst>
        </xdr:cNvPr>
        <xdr:cNvCxnSpPr>
          <a:endCxn id="33" idx="1"/>
        </xdr:cNvCxnSpPr>
      </xdr:nvCxnSpPr>
      <xdr:spPr>
        <a:xfrm>
          <a:off x="911772" y="4010187"/>
          <a:ext cx="7017013" cy="0"/>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296917</xdr:colOff>
      <xdr:row>21</xdr:row>
      <xdr:rowOff>123987</xdr:rowOff>
    </xdr:from>
    <xdr:to>
      <xdr:col>13</xdr:col>
      <xdr:colOff>15810</xdr:colOff>
      <xdr:row>21</xdr:row>
      <xdr:rowOff>126615</xdr:rowOff>
    </xdr:to>
    <xdr:cxnSp macro="">
      <xdr:nvCxnSpPr>
        <xdr:cNvPr id="39" name="Straight Arrow Connector 38">
          <a:extLst>
            <a:ext uri="{FF2B5EF4-FFF2-40B4-BE49-F238E27FC236}">
              <a16:creationId xmlns:a16="http://schemas.microsoft.com/office/drawing/2014/main" id="{00000000-0008-0000-0500-000027000000}"/>
            </a:ext>
          </a:extLst>
        </xdr:cNvPr>
        <xdr:cNvCxnSpPr>
          <a:endCxn id="32" idx="1"/>
        </xdr:cNvCxnSpPr>
      </xdr:nvCxnSpPr>
      <xdr:spPr>
        <a:xfrm flipV="1">
          <a:off x="906517" y="4238787"/>
          <a:ext cx="7034093" cy="2628"/>
        </a:xfrm>
        <a:prstGeom prst="straightConnector1">
          <a:avLst/>
        </a:prstGeom>
        <a:ln w="19050">
          <a:solidFill>
            <a:schemeClr val="accent3">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402020</xdr:colOff>
      <xdr:row>4</xdr:row>
      <xdr:rowOff>71435</xdr:rowOff>
    </xdr:from>
    <xdr:ext cx="1057275" cy="419101"/>
    <xdr:sp macro="" textlink="">
      <xdr:nvSpPr>
        <xdr:cNvPr id="41" name="TextBox 40">
          <a:hlinkClick xmlns:r="http://schemas.openxmlformats.org/officeDocument/2006/relationships" r:id="rId3"/>
          <a:extLst>
            <a:ext uri="{FF2B5EF4-FFF2-40B4-BE49-F238E27FC236}">
              <a16:creationId xmlns:a16="http://schemas.microsoft.com/office/drawing/2014/main" id="{00000000-0008-0000-0500-000029000000}"/>
            </a:ext>
          </a:extLst>
        </xdr:cNvPr>
        <xdr:cNvSpPr txBox="1"/>
      </xdr:nvSpPr>
      <xdr:spPr>
        <a:xfrm>
          <a:off x="1012934" y="83343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F80</a:t>
          </a:r>
        </a:p>
      </xdr:txBody>
    </xdr:sp>
    <xdr:clientData/>
  </xdr:oneCellAnchor>
  <xdr:twoCellAnchor>
    <xdr:from>
      <xdr:col>2</xdr:col>
      <xdr:colOff>315310</xdr:colOff>
      <xdr:row>7</xdr:row>
      <xdr:rowOff>6569</xdr:rowOff>
    </xdr:from>
    <xdr:to>
      <xdr:col>2</xdr:col>
      <xdr:colOff>315310</xdr:colOff>
      <xdr:row>39</xdr:row>
      <xdr:rowOff>180975</xdr:rowOff>
    </xdr:to>
    <xdr:cxnSp macro="">
      <xdr:nvCxnSpPr>
        <xdr:cNvPr id="42" name="Straight Arrow Connector 41">
          <a:extLst>
            <a:ext uri="{FF2B5EF4-FFF2-40B4-BE49-F238E27FC236}">
              <a16:creationId xmlns:a16="http://schemas.microsoft.com/office/drawing/2014/main" id="{00000000-0008-0000-0500-00002A000000}"/>
            </a:ext>
          </a:extLst>
        </xdr:cNvPr>
        <xdr:cNvCxnSpPr/>
      </xdr:nvCxnSpPr>
      <xdr:spPr>
        <a:xfrm>
          <a:off x="1534510" y="1368644"/>
          <a:ext cx="0" cy="6489481"/>
        </a:xfrm>
        <a:prstGeom prst="straightConnector1">
          <a:avLst/>
        </a:prstGeom>
        <a:ln w="19050">
          <a:solidFill>
            <a:schemeClr val="accent4">
              <a:lumMod val="60000"/>
              <a:lumOff val="4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308741</xdr:colOff>
      <xdr:row>24</xdr:row>
      <xdr:rowOff>87200</xdr:rowOff>
    </xdr:from>
    <xdr:to>
      <xdr:col>12</xdr:col>
      <xdr:colOff>589936</xdr:colOff>
      <xdr:row>24</xdr:row>
      <xdr:rowOff>87200</xdr:rowOff>
    </xdr:to>
    <xdr:cxnSp macro="">
      <xdr:nvCxnSpPr>
        <xdr:cNvPr id="46" name="Straight Arrow Connector 45">
          <a:extLst>
            <a:ext uri="{FF2B5EF4-FFF2-40B4-BE49-F238E27FC236}">
              <a16:creationId xmlns:a16="http://schemas.microsoft.com/office/drawing/2014/main" id="{00000000-0008-0000-0500-00002E000000}"/>
            </a:ext>
          </a:extLst>
        </xdr:cNvPr>
        <xdr:cNvCxnSpPr>
          <a:endCxn id="43" idx="1"/>
        </xdr:cNvCxnSpPr>
      </xdr:nvCxnSpPr>
      <xdr:spPr>
        <a:xfrm>
          <a:off x="1527941" y="4773500"/>
          <a:ext cx="6377195" cy="0"/>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306457</xdr:colOff>
      <xdr:row>25</xdr:row>
      <xdr:rowOff>182218</xdr:rowOff>
    </xdr:from>
    <xdr:to>
      <xdr:col>12</xdr:col>
      <xdr:colOff>588641</xdr:colOff>
      <xdr:row>26</xdr:row>
      <xdr:rowOff>2616</xdr:rowOff>
    </xdr:to>
    <xdr:cxnSp macro="">
      <xdr:nvCxnSpPr>
        <xdr:cNvPr id="50" name="Straight Arrow Connector 49">
          <a:extLst>
            <a:ext uri="{FF2B5EF4-FFF2-40B4-BE49-F238E27FC236}">
              <a16:creationId xmlns:a16="http://schemas.microsoft.com/office/drawing/2014/main" id="{00000000-0008-0000-0500-000032000000}"/>
            </a:ext>
          </a:extLst>
        </xdr:cNvPr>
        <xdr:cNvCxnSpPr>
          <a:endCxn id="45" idx="1"/>
        </xdr:cNvCxnSpPr>
      </xdr:nvCxnSpPr>
      <xdr:spPr>
        <a:xfrm>
          <a:off x="1525657" y="5059018"/>
          <a:ext cx="6378184" cy="10898"/>
        </a:xfrm>
        <a:prstGeom prst="straightConnector1">
          <a:avLst/>
        </a:prstGeom>
        <a:ln w="19050">
          <a:solidFill>
            <a:schemeClr val="accent4">
              <a:lumMod val="60000"/>
              <a:lumOff val="4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295604</xdr:colOff>
      <xdr:row>29</xdr:row>
      <xdr:rowOff>93770</xdr:rowOff>
    </xdr:from>
    <xdr:to>
      <xdr:col>12</xdr:col>
      <xdr:colOff>583367</xdr:colOff>
      <xdr:row>29</xdr:row>
      <xdr:rowOff>93770</xdr:rowOff>
    </xdr:to>
    <xdr:cxnSp macro="">
      <xdr:nvCxnSpPr>
        <xdr:cNvPr id="55" name="Straight Arrow Connector 54">
          <a:extLst>
            <a:ext uri="{FF2B5EF4-FFF2-40B4-BE49-F238E27FC236}">
              <a16:creationId xmlns:a16="http://schemas.microsoft.com/office/drawing/2014/main" id="{00000000-0008-0000-0500-000037000000}"/>
            </a:ext>
          </a:extLst>
        </xdr:cNvPr>
        <xdr:cNvCxnSpPr>
          <a:endCxn id="54" idx="1"/>
        </xdr:cNvCxnSpPr>
      </xdr:nvCxnSpPr>
      <xdr:spPr>
        <a:xfrm>
          <a:off x="2734004" y="5732570"/>
          <a:ext cx="5164563" cy="0"/>
        </a:xfrm>
        <a:prstGeom prst="straightConnector1">
          <a:avLst/>
        </a:prstGeom>
        <a:ln w="19050">
          <a:solidFill>
            <a:schemeClr val="accent5">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584681</xdr:colOff>
      <xdr:row>30</xdr:row>
      <xdr:rowOff>8210</xdr:rowOff>
    </xdr:from>
    <xdr:to>
      <xdr:col>14</xdr:col>
      <xdr:colOff>88227</xdr:colOff>
      <xdr:row>31</xdr:row>
      <xdr:rowOff>30869</xdr:rowOff>
    </xdr:to>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7915647" y="5828313"/>
          <a:ext cx="72537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RX_CLK_MAC0</a:t>
          </a:r>
        </a:p>
      </xdr:txBody>
    </xdr:sp>
    <xdr:clientData/>
  </xdr:twoCellAnchor>
  <xdr:oneCellAnchor>
    <xdr:from>
      <xdr:col>6</xdr:col>
      <xdr:colOff>400751</xdr:colOff>
      <xdr:row>29</xdr:row>
      <xdr:rowOff>80469</xdr:rowOff>
    </xdr:from>
    <xdr:ext cx="1057275" cy="419101"/>
    <xdr:sp macro="" textlink="">
      <xdr:nvSpPr>
        <xdr:cNvPr id="62" name="TextBox 61">
          <a:hlinkClick xmlns:r="http://schemas.openxmlformats.org/officeDocument/2006/relationships" r:id="rId4"/>
          <a:extLst>
            <a:ext uri="{FF2B5EF4-FFF2-40B4-BE49-F238E27FC236}">
              <a16:creationId xmlns:a16="http://schemas.microsoft.com/office/drawing/2014/main" id="{00000000-0008-0000-0500-00003E000000}"/>
            </a:ext>
          </a:extLst>
        </xdr:cNvPr>
        <xdr:cNvSpPr txBox="1"/>
      </xdr:nvSpPr>
      <xdr:spPr>
        <a:xfrm>
          <a:off x="4066234" y="571007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RXD_CLK</a:t>
          </a:r>
        </a:p>
      </xdr:txBody>
    </xdr:sp>
    <xdr:clientData/>
  </xdr:oneCellAnchor>
  <xdr:twoCellAnchor>
    <xdr:from>
      <xdr:col>9</xdr:col>
      <xdr:colOff>13138</xdr:colOff>
      <xdr:row>30</xdr:row>
      <xdr:rowOff>124643</xdr:rowOff>
    </xdr:from>
    <xdr:to>
      <xdr:col>12</xdr:col>
      <xdr:colOff>584681</xdr:colOff>
      <xdr:row>30</xdr:row>
      <xdr:rowOff>124643</xdr:rowOff>
    </xdr:to>
    <xdr:cxnSp macro="">
      <xdr:nvCxnSpPr>
        <xdr:cNvPr id="63" name="Straight Arrow Connector 62">
          <a:extLst>
            <a:ext uri="{FF2B5EF4-FFF2-40B4-BE49-F238E27FC236}">
              <a16:creationId xmlns:a16="http://schemas.microsoft.com/office/drawing/2014/main" id="{00000000-0008-0000-0500-00003F000000}"/>
            </a:ext>
          </a:extLst>
        </xdr:cNvPr>
        <xdr:cNvCxnSpPr>
          <a:endCxn id="59" idx="1"/>
        </xdr:cNvCxnSpPr>
      </xdr:nvCxnSpPr>
      <xdr:spPr>
        <a:xfrm>
          <a:off x="5511362" y="5951315"/>
          <a:ext cx="240428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378213</xdr:colOff>
      <xdr:row>31</xdr:row>
      <xdr:rowOff>88655</xdr:rowOff>
    </xdr:from>
    <xdr:ext cx="1057275" cy="419101"/>
    <xdr:sp macro="" textlink="">
      <xdr:nvSpPr>
        <xdr:cNvPr id="68" name="TextBox 67">
          <a:hlinkClick xmlns:r="http://schemas.openxmlformats.org/officeDocument/2006/relationships" r:id="rId5"/>
          <a:extLst>
            <a:ext uri="{FF2B5EF4-FFF2-40B4-BE49-F238E27FC236}">
              <a16:creationId xmlns:a16="http://schemas.microsoft.com/office/drawing/2014/main" id="{00000000-0008-0000-0500-000044000000}"/>
            </a:ext>
          </a:extLst>
        </xdr:cNvPr>
        <xdr:cNvSpPr txBox="1"/>
      </xdr:nvSpPr>
      <xdr:spPr>
        <a:xfrm>
          <a:off x="4027021" y="614069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F160</a:t>
          </a:r>
        </a:p>
      </xdr:txBody>
    </xdr:sp>
    <xdr:clientData/>
  </xdr:oneCellAnchor>
  <xdr:twoCellAnchor>
    <xdr:from>
      <xdr:col>9</xdr:col>
      <xdr:colOff>7327</xdr:colOff>
      <xdr:row>32</xdr:row>
      <xdr:rowOff>109904</xdr:rowOff>
    </xdr:from>
    <xdr:to>
      <xdr:col>12</xdr:col>
      <xdr:colOff>591211</xdr:colOff>
      <xdr:row>32</xdr:row>
      <xdr:rowOff>113034</xdr:rowOff>
    </xdr:to>
    <xdr:cxnSp macro="">
      <xdr:nvCxnSpPr>
        <xdr:cNvPr id="69" name="Straight Arrow Connector 68">
          <a:extLst>
            <a:ext uri="{FF2B5EF4-FFF2-40B4-BE49-F238E27FC236}">
              <a16:creationId xmlns:a16="http://schemas.microsoft.com/office/drawing/2014/main" id="{00000000-0008-0000-0500-000045000000}"/>
            </a:ext>
          </a:extLst>
        </xdr:cNvPr>
        <xdr:cNvCxnSpPr>
          <a:endCxn id="66" idx="1"/>
        </xdr:cNvCxnSpPr>
      </xdr:nvCxnSpPr>
      <xdr:spPr>
        <a:xfrm>
          <a:off x="5493727" y="6367829"/>
          <a:ext cx="2412684" cy="3130"/>
        </a:xfrm>
        <a:prstGeom prst="straightConnector1">
          <a:avLst/>
        </a:prstGeom>
        <a:ln w="19050">
          <a:solidFill>
            <a:schemeClr val="accent6">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391820</xdr:colOff>
      <xdr:row>34</xdr:row>
      <xdr:rowOff>81492</xdr:rowOff>
    </xdr:from>
    <xdr:ext cx="1057275" cy="419101"/>
    <xdr:sp macro="" textlink="">
      <xdr:nvSpPr>
        <xdr:cNvPr id="72" name="TextBox 71">
          <a:hlinkClick xmlns:r="http://schemas.openxmlformats.org/officeDocument/2006/relationships" r:id="rId6"/>
          <a:extLst>
            <a:ext uri="{FF2B5EF4-FFF2-40B4-BE49-F238E27FC236}">
              <a16:creationId xmlns:a16="http://schemas.microsoft.com/office/drawing/2014/main" id="{00000000-0008-0000-0500-000048000000}"/>
            </a:ext>
          </a:extLst>
        </xdr:cNvPr>
        <xdr:cNvSpPr txBox="1"/>
      </xdr:nvSpPr>
      <xdr:spPr>
        <a:xfrm>
          <a:off x="4043844" y="674434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TX_CLK_1</a:t>
          </a:r>
        </a:p>
      </xdr:txBody>
    </xdr:sp>
    <xdr:clientData/>
  </xdr:oneCellAnchor>
  <xdr:twoCellAnchor>
    <xdr:from>
      <xdr:col>9</xdr:col>
      <xdr:colOff>0</xdr:colOff>
      <xdr:row>35</xdr:row>
      <xdr:rowOff>67539</xdr:rowOff>
    </xdr:from>
    <xdr:to>
      <xdr:col>12</xdr:col>
      <xdr:colOff>583367</xdr:colOff>
      <xdr:row>35</xdr:row>
      <xdr:rowOff>67539</xdr:rowOff>
    </xdr:to>
    <xdr:cxnSp macro="">
      <xdr:nvCxnSpPr>
        <xdr:cNvPr id="74" name="Straight Arrow Connector 73">
          <a:extLst>
            <a:ext uri="{FF2B5EF4-FFF2-40B4-BE49-F238E27FC236}">
              <a16:creationId xmlns:a16="http://schemas.microsoft.com/office/drawing/2014/main" id="{00000000-0008-0000-0500-00004A000000}"/>
            </a:ext>
          </a:extLst>
        </xdr:cNvPr>
        <xdr:cNvCxnSpPr>
          <a:endCxn id="73" idx="1"/>
        </xdr:cNvCxnSpPr>
      </xdr:nvCxnSpPr>
      <xdr:spPr>
        <a:xfrm>
          <a:off x="5486400" y="6935064"/>
          <a:ext cx="241216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395036</xdr:colOff>
      <xdr:row>35</xdr:row>
      <xdr:rowOff>98827</xdr:rowOff>
    </xdr:from>
    <xdr:ext cx="1057275" cy="419101"/>
    <xdr:sp macro="" textlink="">
      <xdr:nvSpPr>
        <xdr:cNvPr id="81" name="TextBox 80">
          <a:hlinkClick xmlns:r="http://schemas.openxmlformats.org/officeDocument/2006/relationships" r:id="rId7"/>
          <a:extLst>
            <a:ext uri="{FF2B5EF4-FFF2-40B4-BE49-F238E27FC236}">
              <a16:creationId xmlns:a16="http://schemas.microsoft.com/office/drawing/2014/main" id="{00000000-0008-0000-0500-000051000000}"/>
            </a:ext>
          </a:extLst>
        </xdr:cNvPr>
        <xdr:cNvSpPr txBox="1"/>
      </xdr:nvSpPr>
      <xdr:spPr>
        <a:xfrm>
          <a:off x="4043844" y="697148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RX_CLK_1</a:t>
          </a:r>
        </a:p>
      </xdr:txBody>
    </xdr:sp>
    <xdr:clientData/>
  </xdr:oneCellAnchor>
  <xdr:twoCellAnchor>
    <xdr:from>
      <xdr:col>9</xdr:col>
      <xdr:colOff>7326</xdr:colOff>
      <xdr:row>36</xdr:row>
      <xdr:rowOff>103901</xdr:rowOff>
    </xdr:from>
    <xdr:to>
      <xdr:col>12</xdr:col>
      <xdr:colOff>583367</xdr:colOff>
      <xdr:row>36</xdr:row>
      <xdr:rowOff>103901</xdr:rowOff>
    </xdr:to>
    <xdr:cxnSp macro="">
      <xdr:nvCxnSpPr>
        <xdr:cNvPr id="82" name="Straight Arrow Connector 81">
          <a:extLst>
            <a:ext uri="{FF2B5EF4-FFF2-40B4-BE49-F238E27FC236}">
              <a16:creationId xmlns:a16="http://schemas.microsoft.com/office/drawing/2014/main" id="{00000000-0008-0000-0500-000052000000}"/>
            </a:ext>
          </a:extLst>
        </xdr:cNvPr>
        <xdr:cNvCxnSpPr>
          <a:endCxn id="79" idx="1"/>
        </xdr:cNvCxnSpPr>
      </xdr:nvCxnSpPr>
      <xdr:spPr>
        <a:xfrm>
          <a:off x="5493726" y="7180976"/>
          <a:ext cx="240484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xdr:col>
      <xdr:colOff>308740</xdr:colOff>
      <xdr:row>40</xdr:row>
      <xdr:rowOff>88679</xdr:rowOff>
    </xdr:from>
    <xdr:ext cx="1238251" cy="476251"/>
    <xdr:sp macro="" textlink="">
      <xdr:nvSpPr>
        <xdr:cNvPr id="89" name="TextBox 88">
          <a:hlinkClick xmlns:r="http://schemas.openxmlformats.org/officeDocument/2006/relationships" r:id="rId1"/>
          <a:extLst>
            <a:ext uri="{FF2B5EF4-FFF2-40B4-BE49-F238E27FC236}">
              <a16:creationId xmlns:a16="http://schemas.microsoft.com/office/drawing/2014/main" id="{00000000-0008-0000-0500-000059000000}"/>
            </a:ext>
          </a:extLst>
        </xdr:cNvPr>
        <xdr:cNvSpPr txBox="1"/>
      </xdr:nvSpPr>
      <xdr:spPr>
        <a:xfrm>
          <a:off x="2137540" y="7965854"/>
          <a:ext cx="1238251" cy="4762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TXD_CLK/RMII_CLK</a:t>
          </a:r>
        </a:p>
      </xdr:txBody>
    </xdr:sp>
    <xdr:clientData/>
  </xdr:oneCellAnchor>
  <xdr:oneCellAnchor>
    <xdr:from>
      <xdr:col>0</xdr:col>
      <xdr:colOff>361950</xdr:colOff>
      <xdr:row>40</xdr:row>
      <xdr:rowOff>114299</xdr:rowOff>
    </xdr:from>
    <xdr:ext cx="1057275" cy="419101"/>
    <xdr:sp macro="" textlink="">
      <xdr:nvSpPr>
        <xdr:cNvPr id="90" name="TextBox 89">
          <a:hlinkClick xmlns:r="http://schemas.openxmlformats.org/officeDocument/2006/relationships" r:id="rId8"/>
          <a:extLst>
            <a:ext uri="{FF2B5EF4-FFF2-40B4-BE49-F238E27FC236}">
              <a16:creationId xmlns:a16="http://schemas.microsoft.com/office/drawing/2014/main" id="{00000000-0008-0000-0500-00005A000000}"/>
            </a:ext>
          </a:extLst>
        </xdr:cNvPr>
        <xdr:cNvSpPr txBox="1"/>
      </xdr:nvSpPr>
      <xdr:spPr>
        <a:xfrm>
          <a:off x="361950" y="799147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F40</a:t>
          </a:r>
        </a:p>
      </xdr:txBody>
    </xdr:sp>
    <xdr:clientData/>
  </xdr:oneCellAnchor>
  <xdr:oneCellAnchor>
    <xdr:from>
      <xdr:col>1</xdr:col>
      <xdr:colOff>382970</xdr:colOff>
      <xdr:row>40</xdr:row>
      <xdr:rowOff>119060</xdr:rowOff>
    </xdr:from>
    <xdr:ext cx="1057275" cy="419101"/>
    <xdr:sp macro="" textlink="">
      <xdr:nvSpPr>
        <xdr:cNvPr id="91" name="TextBox 90">
          <a:hlinkClick xmlns:r="http://schemas.openxmlformats.org/officeDocument/2006/relationships" r:id="rId9"/>
          <a:extLst>
            <a:ext uri="{FF2B5EF4-FFF2-40B4-BE49-F238E27FC236}">
              <a16:creationId xmlns:a16="http://schemas.microsoft.com/office/drawing/2014/main" id="{00000000-0008-0000-0500-00005B000000}"/>
            </a:ext>
          </a:extLst>
        </xdr:cNvPr>
        <xdr:cNvSpPr txBox="1"/>
      </xdr:nvSpPr>
      <xdr:spPr>
        <a:xfrm>
          <a:off x="992570" y="7996235"/>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F80</a:t>
          </a:r>
        </a:p>
      </xdr:txBody>
    </xdr:sp>
    <xdr:clientData/>
  </xdr:oneCellAnchor>
  <xdr:oneCellAnchor>
    <xdr:from>
      <xdr:col>6</xdr:col>
      <xdr:colOff>353785</xdr:colOff>
      <xdr:row>0</xdr:row>
      <xdr:rowOff>81643</xdr:rowOff>
    </xdr:from>
    <xdr:ext cx="4840942" cy="895348"/>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4027714" y="81643"/>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ENET Clocking</a:t>
          </a:r>
          <a:r>
            <a:rPr lang="en-US" sz="2800" b="1" baseline="0"/>
            <a:t> In-Depth</a:t>
          </a:r>
          <a:endParaRPr lang="en-US" sz="2800" b="1"/>
        </a:p>
      </xdr:txBody>
    </xdr:sp>
    <xdr:clientData/>
  </xdr:oneCellAnchor>
  <xdr:twoCellAnchor>
    <xdr:from>
      <xdr:col>12</xdr:col>
      <xdr:colOff>583367</xdr:colOff>
      <xdr:row>4</xdr:row>
      <xdr:rowOff>161924</xdr:rowOff>
    </xdr:from>
    <xdr:to>
      <xdr:col>19</xdr:col>
      <xdr:colOff>238123</xdr:colOff>
      <xdr:row>37</xdr:row>
      <xdr:rowOff>9788</xdr:rowOff>
    </xdr:to>
    <xdr:grpSp>
      <xdr:nvGrpSpPr>
        <xdr:cNvPr id="53" name="Group 52">
          <a:extLst>
            <a:ext uri="{FF2B5EF4-FFF2-40B4-BE49-F238E27FC236}">
              <a16:creationId xmlns:a16="http://schemas.microsoft.com/office/drawing/2014/main" id="{00000000-0008-0000-0500-000035000000}"/>
            </a:ext>
          </a:extLst>
        </xdr:cNvPr>
        <xdr:cNvGrpSpPr/>
      </xdr:nvGrpSpPr>
      <xdr:grpSpPr>
        <a:xfrm>
          <a:off x="7898567" y="879100"/>
          <a:ext cx="3921956" cy="5988688"/>
          <a:chOff x="7898567" y="923924"/>
          <a:chExt cx="3921956" cy="6372489"/>
        </a:xfrm>
      </xdr:grpSpPr>
      <xdr:grpSp>
        <xdr:nvGrpSpPr>
          <xdr:cNvPr id="80" name="Group 79">
            <a:extLst>
              <a:ext uri="{FF2B5EF4-FFF2-40B4-BE49-F238E27FC236}">
                <a16:creationId xmlns:a16="http://schemas.microsoft.com/office/drawing/2014/main" id="{00000000-0008-0000-0500-000050000000}"/>
              </a:ext>
            </a:extLst>
          </xdr:cNvPr>
          <xdr:cNvGrpSpPr/>
        </xdr:nvGrpSpPr>
        <xdr:grpSpPr>
          <a:xfrm>
            <a:off x="7898567" y="923924"/>
            <a:ext cx="3921956" cy="6372489"/>
            <a:chOff x="7880982" y="923924"/>
            <a:chExt cx="3911699" cy="6368826"/>
          </a:xfrm>
        </xdr:grpSpPr>
        <xdr:grpSp>
          <xdr:nvGrpSpPr>
            <xdr:cNvPr id="78" name="Group 77">
              <a:extLst>
                <a:ext uri="{FF2B5EF4-FFF2-40B4-BE49-F238E27FC236}">
                  <a16:creationId xmlns:a16="http://schemas.microsoft.com/office/drawing/2014/main" id="{00000000-0008-0000-0500-00004E000000}"/>
                </a:ext>
              </a:extLst>
            </xdr:cNvPr>
            <xdr:cNvGrpSpPr/>
          </xdr:nvGrpSpPr>
          <xdr:grpSpPr>
            <a:xfrm>
              <a:off x="7880982" y="923924"/>
              <a:ext cx="3911699" cy="6332660"/>
              <a:chOff x="7880982" y="923924"/>
              <a:chExt cx="3911699" cy="6332660"/>
            </a:xfrm>
          </xdr:grpSpPr>
          <xdr:grpSp>
            <xdr:nvGrpSpPr>
              <xdr:cNvPr id="67" name="Group 66">
                <a:extLst>
                  <a:ext uri="{FF2B5EF4-FFF2-40B4-BE49-F238E27FC236}">
                    <a16:creationId xmlns:a16="http://schemas.microsoft.com/office/drawing/2014/main" id="{00000000-0008-0000-0500-000043000000}"/>
                  </a:ext>
                </a:extLst>
              </xdr:cNvPr>
              <xdr:cNvGrpSpPr/>
            </xdr:nvGrpSpPr>
            <xdr:grpSpPr>
              <a:xfrm>
                <a:off x="7880982" y="923924"/>
                <a:ext cx="3911699" cy="6332660"/>
                <a:chOff x="7914333" y="923924"/>
                <a:chExt cx="3931152" cy="6243473"/>
              </a:xfrm>
            </xdr:grpSpPr>
            <xdr:grpSp>
              <xdr:nvGrpSpPr>
                <xdr:cNvPr id="61" name="Group 60">
                  <a:extLst>
                    <a:ext uri="{FF2B5EF4-FFF2-40B4-BE49-F238E27FC236}">
                      <a16:creationId xmlns:a16="http://schemas.microsoft.com/office/drawing/2014/main" id="{00000000-0008-0000-0500-00003D000000}"/>
                    </a:ext>
                  </a:extLst>
                </xdr:cNvPr>
                <xdr:cNvGrpSpPr/>
              </xdr:nvGrpSpPr>
              <xdr:grpSpPr>
                <a:xfrm>
                  <a:off x="7914333" y="923924"/>
                  <a:ext cx="3931152" cy="6243473"/>
                  <a:chOff x="7914333" y="923924"/>
                  <a:chExt cx="3931152" cy="6210628"/>
                </a:xfrm>
              </xdr:grpSpPr>
              <xdr:grpSp>
                <xdr:nvGrpSpPr>
                  <xdr:cNvPr id="22" name="Group 21">
                    <a:extLst>
                      <a:ext uri="{FF2B5EF4-FFF2-40B4-BE49-F238E27FC236}">
                        <a16:creationId xmlns:a16="http://schemas.microsoft.com/office/drawing/2014/main" id="{00000000-0008-0000-0500-000016000000}"/>
                      </a:ext>
                    </a:extLst>
                  </xdr:cNvPr>
                  <xdr:cNvGrpSpPr/>
                </xdr:nvGrpSpPr>
                <xdr:grpSpPr>
                  <a:xfrm>
                    <a:off x="7944551" y="923924"/>
                    <a:ext cx="3900934" cy="6210628"/>
                    <a:chOff x="7944551" y="923924"/>
                    <a:chExt cx="3900934" cy="6171215"/>
                  </a:xfrm>
                </xdr:grpSpPr>
                <xdr:grpSp>
                  <xdr:nvGrpSpPr>
                    <xdr:cNvPr id="4" name="Group 3">
                      <a:extLst>
                        <a:ext uri="{FF2B5EF4-FFF2-40B4-BE49-F238E27FC236}">
                          <a16:creationId xmlns:a16="http://schemas.microsoft.com/office/drawing/2014/main" id="{00000000-0008-0000-0500-000004000000}"/>
                        </a:ext>
                      </a:extLst>
                    </xdr:cNvPr>
                    <xdr:cNvGrpSpPr/>
                  </xdr:nvGrpSpPr>
                  <xdr:grpSpPr>
                    <a:xfrm>
                      <a:off x="7944551" y="923924"/>
                      <a:ext cx="3900934" cy="6171215"/>
                      <a:chOff x="7737006" y="885824"/>
                      <a:chExt cx="3893018" cy="6105525"/>
                    </a:xfrm>
                  </xdr:grpSpPr>
                  <xdr:sp macro="" textlink="">
                    <xdr:nvSpPr>
                      <xdr:cNvPr id="2" name="Rectangle 1">
                        <a:extLst>
                          <a:ext uri="{FF2B5EF4-FFF2-40B4-BE49-F238E27FC236}">
                            <a16:creationId xmlns:a16="http://schemas.microsoft.com/office/drawing/2014/main" id="{00000000-0008-0000-0500-000002000000}"/>
                          </a:ext>
                        </a:extLst>
                      </xdr:cNvPr>
                      <xdr:cNvSpPr/>
                    </xdr:nvSpPr>
                    <xdr:spPr>
                      <a:xfrm>
                        <a:off x="7753349" y="885824"/>
                        <a:ext cx="3876675" cy="6105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3200" baseline="0"/>
                          <a:t>ENET Module</a:t>
                        </a:r>
                      </a:p>
                    </xdr:txBody>
                  </xdr:sp>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737006" y="1510906"/>
                        <a:ext cx="723901"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ENET RMII/MII</a:t>
                        </a:r>
                      </a:p>
                    </xdr:txBody>
                  </xdr:sp>
                </xdr:grpSp>
                <xdr:sp macro="" textlink="">
                  <xdr:nvSpPr>
                    <xdr:cNvPr id="20" name="TextBox 19">
                      <a:extLst>
                        <a:ext uri="{FF2B5EF4-FFF2-40B4-BE49-F238E27FC236}">
                          <a16:creationId xmlns:a16="http://schemas.microsoft.com/office/drawing/2014/main" id="{00000000-0008-0000-0500-000014000000}"/>
                        </a:ext>
                      </a:extLst>
                    </xdr:cNvPr>
                    <xdr:cNvSpPr txBox="1"/>
                  </xdr:nvSpPr>
                  <xdr:spPr>
                    <a:xfrm>
                      <a:off x="7944551" y="2487338"/>
                      <a:ext cx="725373" cy="211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ENET0_TIMER</a:t>
                      </a:r>
                    </a:p>
                  </xdr:txBody>
                </xdr:sp>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7952434" y="2777686"/>
                      <a:ext cx="725373" cy="211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ENET1_TIMER</a:t>
                      </a:r>
                    </a:p>
                  </xdr:txBody>
                </xdr:sp>
              </xdr:grpSp>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7957689" y="4123010"/>
                    <a:ext cx="72537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a:t>
                    </a:r>
                  </a:p>
                </xdr:txBody>
              </xdr:sp>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7945864" y="3894410"/>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MAC0/1</a:t>
                    </a:r>
                    <a:r>
                      <a:rPr lang="en-US" sz="600" baseline="0">
                        <a:solidFill>
                          <a:schemeClr val="bg1"/>
                        </a:solidFill>
                      </a:rPr>
                      <a:t> and Switch Reg access CLK</a:t>
                    </a:r>
                    <a:endParaRPr lang="en-US" sz="600">
                      <a:solidFill>
                        <a:schemeClr val="bg1"/>
                      </a:solidFill>
                    </a:endParaRPr>
                  </a:p>
                </xdr:txBody>
              </xdr:sp>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7920902" y="4657723"/>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Switch MAC0/1_SYS_CLK</a:t>
                    </a: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7919588" y="4886324"/>
                    <a:ext cx="72537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GLOBAL CLK</a:t>
                    </a:r>
                  </a:p>
                </xdr:txBody>
              </xdr:sp>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7914333" y="5616793"/>
                    <a:ext cx="72537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TX_CLK_MAC0</a:t>
                    </a:r>
                  </a:p>
                </xdr:txBody>
              </xdr:sp>
            </xdr:grp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7922216" y="6209313"/>
                  <a:ext cx="725373" cy="23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Switch_2*CLK</a:t>
                  </a:r>
                </a:p>
              </xdr:txBody>
            </xdr:sp>
          </xdr:grpSp>
          <xdr:sp macro="" textlink="">
            <xdr:nvSpPr>
              <xdr:cNvPr id="73" name="TextBox 72">
                <a:extLst>
                  <a:ext uri="{FF2B5EF4-FFF2-40B4-BE49-F238E27FC236}">
                    <a16:creationId xmlns:a16="http://schemas.microsoft.com/office/drawing/2014/main" id="{00000000-0008-0000-0500-000049000000}"/>
                  </a:ext>
                </a:extLst>
              </xdr:cNvPr>
              <xdr:cNvSpPr txBox="1"/>
            </xdr:nvSpPr>
            <xdr:spPr>
              <a:xfrm>
                <a:off x="7880982" y="6822097"/>
                <a:ext cx="721784"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TX_CLK_MAC1</a:t>
                </a:r>
              </a:p>
            </xdr:txBody>
          </xdr:sp>
        </xdr:grpSp>
        <xdr:sp macro="" textlink="">
          <xdr:nvSpPr>
            <xdr:cNvPr id="79" name="TextBox 78">
              <a:extLst>
                <a:ext uri="{FF2B5EF4-FFF2-40B4-BE49-F238E27FC236}">
                  <a16:creationId xmlns:a16="http://schemas.microsoft.com/office/drawing/2014/main" id="{00000000-0008-0000-0500-00004F000000}"/>
                </a:ext>
              </a:extLst>
            </xdr:cNvPr>
            <xdr:cNvSpPr txBox="1"/>
          </xdr:nvSpPr>
          <xdr:spPr>
            <a:xfrm>
              <a:off x="7880982" y="7056558"/>
              <a:ext cx="721784"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RX_CLK_MAC1</a:t>
              </a:r>
            </a:p>
          </xdr:txBody>
        </xdr:sp>
      </xdr:grp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7908092" y="5857874"/>
            <a:ext cx="723676" cy="217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RX_CLK_MAC0</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304481</xdr:colOff>
      <xdr:row>13</xdr:row>
      <xdr:rowOff>29307</xdr:rowOff>
    </xdr:from>
    <xdr:to>
      <xdr:col>3</xdr:col>
      <xdr:colOff>304481</xdr:colOff>
      <xdr:row>68</xdr:row>
      <xdr:rowOff>175847</xdr:rowOff>
    </xdr:to>
    <xdr:cxnSp macro="">
      <xdr:nvCxnSpPr>
        <xdr:cNvPr id="166" name="Straight Arrow Connector 165">
          <a:extLst>
            <a:ext uri="{FF2B5EF4-FFF2-40B4-BE49-F238E27FC236}">
              <a16:creationId xmlns:a16="http://schemas.microsoft.com/office/drawing/2014/main" id="{00000000-0008-0000-0600-0000A6000000}"/>
            </a:ext>
          </a:extLst>
        </xdr:cNvPr>
        <xdr:cNvCxnSpPr/>
      </xdr:nvCxnSpPr>
      <xdr:spPr>
        <a:xfrm>
          <a:off x="2128885" y="2535115"/>
          <a:ext cx="0" cy="10939097"/>
        </a:xfrm>
        <a:prstGeom prst="straightConnector1">
          <a:avLst/>
        </a:prstGeom>
        <a:ln w="19050">
          <a:solidFill>
            <a:srgbClr val="FF000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304481</xdr:colOff>
      <xdr:row>13</xdr:row>
      <xdr:rowOff>20865</xdr:rowOff>
    </xdr:from>
    <xdr:to>
      <xdr:col>5</xdr:col>
      <xdr:colOff>304481</xdr:colOff>
      <xdr:row>68</xdr:row>
      <xdr:rowOff>175847</xdr:rowOff>
    </xdr:to>
    <xdr:cxnSp macro="">
      <xdr:nvCxnSpPr>
        <xdr:cNvPr id="167" name="Straight Arrow Connector 166">
          <a:extLst>
            <a:ext uri="{FF2B5EF4-FFF2-40B4-BE49-F238E27FC236}">
              <a16:creationId xmlns:a16="http://schemas.microsoft.com/office/drawing/2014/main" id="{00000000-0008-0000-0600-0000A7000000}"/>
            </a:ext>
          </a:extLst>
        </xdr:cNvPr>
        <xdr:cNvCxnSpPr/>
      </xdr:nvCxnSpPr>
      <xdr:spPr>
        <a:xfrm>
          <a:off x="3345154" y="2526673"/>
          <a:ext cx="0" cy="10947539"/>
        </a:xfrm>
        <a:prstGeom prst="straightConnector1">
          <a:avLst/>
        </a:prstGeom>
        <a:ln w="19050">
          <a:solidFill>
            <a:srgbClr val="00B05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299038</xdr:colOff>
      <xdr:row>13</xdr:row>
      <xdr:rowOff>43961</xdr:rowOff>
    </xdr:from>
    <xdr:to>
      <xdr:col>7</xdr:col>
      <xdr:colOff>299038</xdr:colOff>
      <xdr:row>68</xdr:row>
      <xdr:rowOff>175847</xdr:rowOff>
    </xdr:to>
    <xdr:cxnSp macro="">
      <xdr:nvCxnSpPr>
        <xdr:cNvPr id="168" name="Straight Arrow Connector 167">
          <a:extLst>
            <a:ext uri="{FF2B5EF4-FFF2-40B4-BE49-F238E27FC236}">
              <a16:creationId xmlns:a16="http://schemas.microsoft.com/office/drawing/2014/main" id="{00000000-0008-0000-0600-0000A8000000}"/>
            </a:ext>
          </a:extLst>
        </xdr:cNvPr>
        <xdr:cNvCxnSpPr/>
      </xdr:nvCxnSpPr>
      <xdr:spPr>
        <a:xfrm>
          <a:off x="4555980" y="2549769"/>
          <a:ext cx="0" cy="10924443"/>
        </a:xfrm>
        <a:prstGeom prst="straightConnector1">
          <a:avLst/>
        </a:prstGeom>
        <a:ln w="19050">
          <a:solidFill>
            <a:srgbClr val="FFFF00"/>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293935</xdr:colOff>
      <xdr:row>13</xdr:row>
      <xdr:rowOff>58615</xdr:rowOff>
    </xdr:from>
    <xdr:to>
      <xdr:col>13</xdr:col>
      <xdr:colOff>293935</xdr:colOff>
      <xdr:row>68</xdr:row>
      <xdr:rowOff>168520</xdr:rowOff>
    </xdr:to>
    <xdr:cxnSp macro="">
      <xdr:nvCxnSpPr>
        <xdr:cNvPr id="171" name="Straight Arrow Connector 170">
          <a:extLst>
            <a:ext uri="{FF2B5EF4-FFF2-40B4-BE49-F238E27FC236}">
              <a16:creationId xmlns:a16="http://schemas.microsoft.com/office/drawing/2014/main" id="{00000000-0008-0000-0600-0000AB000000}"/>
            </a:ext>
          </a:extLst>
        </xdr:cNvPr>
        <xdr:cNvCxnSpPr/>
      </xdr:nvCxnSpPr>
      <xdr:spPr>
        <a:xfrm>
          <a:off x="8199685" y="2564423"/>
          <a:ext cx="0" cy="10902462"/>
        </a:xfrm>
        <a:prstGeom prst="straightConnector1">
          <a:avLst/>
        </a:prstGeom>
        <a:ln w="19050">
          <a:solidFill>
            <a:schemeClr val="accent5">
              <a:lumMod val="40000"/>
              <a:lumOff val="60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304819</xdr:colOff>
      <xdr:row>13</xdr:row>
      <xdr:rowOff>36634</xdr:rowOff>
    </xdr:from>
    <xdr:to>
      <xdr:col>11</xdr:col>
      <xdr:colOff>304819</xdr:colOff>
      <xdr:row>68</xdr:row>
      <xdr:rowOff>175847</xdr:rowOff>
    </xdr:to>
    <xdr:cxnSp macro="">
      <xdr:nvCxnSpPr>
        <xdr:cNvPr id="170" name="Straight Arrow Connector 169">
          <a:extLst>
            <a:ext uri="{FF2B5EF4-FFF2-40B4-BE49-F238E27FC236}">
              <a16:creationId xmlns:a16="http://schemas.microsoft.com/office/drawing/2014/main" id="{00000000-0008-0000-0600-0000AA000000}"/>
            </a:ext>
          </a:extLst>
        </xdr:cNvPr>
        <xdr:cNvCxnSpPr/>
      </xdr:nvCxnSpPr>
      <xdr:spPr>
        <a:xfrm>
          <a:off x="6994300" y="2542442"/>
          <a:ext cx="0" cy="10931770"/>
        </a:xfrm>
        <a:prstGeom prst="straightConnector1">
          <a:avLst/>
        </a:prstGeom>
        <a:ln w="19050">
          <a:solidFill>
            <a:schemeClr val="accent6"/>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285884</xdr:colOff>
      <xdr:row>13</xdr:row>
      <xdr:rowOff>21980</xdr:rowOff>
    </xdr:from>
    <xdr:to>
      <xdr:col>9</xdr:col>
      <xdr:colOff>285884</xdr:colOff>
      <xdr:row>69</xdr:row>
      <xdr:rowOff>0</xdr:rowOff>
    </xdr:to>
    <xdr:cxnSp macro="">
      <xdr:nvCxnSpPr>
        <xdr:cNvPr id="169" name="Straight Arrow Connector 168">
          <a:extLst>
            <a:ext uri="{FF2B5EF4-FFF2-40B4-BE49-F238E27FC236}">
              <a16:creationId xmlns:a16="http://schemas.microsoft.com/office/drawing/2014/main" id="{00000000-0008-0000-0600-0000A9000000}"/>
            </a:ext>
          </a:extLst>
        </xdr:cNvPr>
        <xdr:cNvCxnSpPr/>
      </xdr:nvCxnSpPr>
      <xdr:spPr>
        <a:xfrm>
          <a:off x="5759096" y="2527788"/>
          <a:ext cx="0" cy="10961077"/>
        </a:xfrm>
        <a:prstGeom prst="straightConnector1">
          <a:avLst/>
        </a:prstGeom>
        <a:ln w="19050">
          <a:solidFill>
            <a:schemeClr val="accent1">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31</xdr:col>
      <xdr:colOff>278529</xdr:colOff>
      <xdr:row>16</xdr:row>
      <xdr:rowOff>24657</xdr:rowOff>
    </xdr:from>
    <xdr:ext cx="1371601" cy="410818"/>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19130702" y="3153253"/>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FCLK_MCLK[0]</a:t>
          </a:r>
        </a:p>
      </xdr:txBody>
    </xdr:sp>
    <xdr:clientData/>
  </xdr:oneCellAnchor>
  <xdr:oneCellAnchor>
    <xdr:from>
      <xdr:col>27</xdr:col>
      <xdr:colOff>341477</xdr:colOff>
      <xdr:row>16</xdr:row>
      <xdr:rowOff>87605</xdr:rowOff>
    </xdr:from>
    <xdr:ext cx="1143002" cy="273325"/>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16761112" y="3216201"/>
          <a:ext cx="1143002" cy="273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FCLK[0]</a:t>
          </a:r>
        </a:p>
      </xdr:txBody>
    </xdr:sp>
    <xdr:clientData/>
  </xdr:oneCellAnchor>
  <xdr:oneCellAnchor>
    <xdr:from>
      <xdr:col>2</xdr:col>
      <xdr:colOff>409575</xdr:colOff>
      <xdr:row>10</xdr:row>
      <xdr:rowOff>84481</xdr:rowOff>
    </xdr:from>
    <xdr:ext cx="1057275" cy="419101"/>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600-000002000000}"/>
            </a:ext>
          </a:extLst>
        </xdr:cNvPr>
        <xdr:cNvSpPr txBox="1"/>
      </xdr:nvSpPr>
      <xdr:spPr>
        <a:xfrm>
          <a:off x="1635401" y="198948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4</xdr:col>
      <xdr:colOff>386443</xdr:colOff>
      <xdr:row>10</xdr:row>
      <xdr:rowOff>89924</xdr:rowOff>
    </xdr:from>
    <xdr:ext cx="1057275" cy="419101"/>
    <xdr:sp macro="" textlink="">
      <xdr:nvSpPr>
        <xdr:cNvPr id="4" name="TextBox 3">
          <a:hlinkClick xmlns:r="http://schemas.openxmlformats.org/officeDocument/2006/relationships" r:id="rId2"/>
          <a:extLst>
            <a:ext uri="{FF2B5EF4-FFF2-40B4-BE49-F238E27FC236}">
              <a16:creationId xmlns:a16="http://schemas.microsoft.com/office/drawing/2014/main" id="{00000000-0008-0000-0600-000004000000}"/>
            </a:ext>
          </a:extLst>
        </xdr:cNvPr>
        <xdr:cNvSpPr txBox="1"/>
      </xdr:nvSpPr>
      <xdr:spPr>
        <a:xfrm>
          <a:off x="2838095" y="199492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oneCellAnchor>
    <xdr:from>
      <xdr:col>6</xdr:col>
      <xdr:colOff>391886</xdr:colOff>
      <xdr:row>10</xdr:row>
      <xdr:rowOff>89924</xdr:rowOff>
    </xdr:from>
    <xdr:ext cx="1057275" cy="419101"/>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600-000007000000}"/>
            </a:ext>
          </a:extLst>
        </xdr:cNvPr>
        <xdr:cNvSpPr txBox="1"/>
      </xdr:nvSpPr>
      <xdr:spPr>
        <a:xfrm>
          <a:off x="4069364" y="199492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MLB_CLK</a:t>
          </a:r>
        </a:p>
      </xdr:txBody>
    </xdr:sp>
    <xdr:clientData/>
  </xdr:oneCellAnchor>
  <xdr:twoCellAnchor>
    <xdr:from>
      <xdr:col>17</xdr:col>
      <xdr:colOff>395274</xdr:colOff>
      <xdr:row>15</xdr:row>
      <xdr:rowOff>102318</xdr:rowOff>
    </xdr:from>
    <xdr:to>
      <xdr:col>19</xdr:col>
      <xdr:colOff>185331</xdr:colOff>
      <xdr:row>19</xdr:row>
      <xdr:rowOff>168517</xdr:rowOff>
    </xdr:to>
    <xdr:sp macro="" textlink="">
      <xdr:nvSpPr>
        <xdr:cNvPr id="9" name="Rectangle 8">
          <a:extLst>
            <a:ext uri="{FF2B5EF4-FFF2-40B4-BE49-F238E27FC236}">
              <a16:creationId xmlns:a16="http://schemas.microsoft.com/office/drawing/2014/main" id="{00000000-0008-0000-0600-000009000000}"/>
            </a:ext>
          </a:extLst>
        </xdr:cNvPr>
        <xdr:cNvSpPr/>
      </xdr:nvSpPr>
      <xdr:spPr>
        <a:xfrm>
          <a:off x="10733562" y="3040414"/>
          <a:ext cx="1006327" cy="8281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FCLK[0] Input</a:t>
          </a:r>
          <a:r>
            <a:rPr lang="en-US" sz="1100" baseline="0"/>
            <a:t> Clock Selector</a:t>
          </a:r>
        </a:p>
        <a:p>
          <a:pPr algn="ctr"/>
          <a:r>
            <a:rPr lang="en-US" sz="900" baseline="0"/>
            <a:t>I2S0_MCR[MICS]</a:t>
          </a:r>
          <a:endParaRPr lang="en-US" sz="900"/>
        </a:p>
      </xdr:txBody>
    </xdr:sp>
    <xdr:clientData/>
  </xdr:twoCellAnchor>
  <xdr:oneCellAnchor>
    <xdr:from>
      <xdr:col>17</xdr:col>
      <xdr:colOff>543688</xdr:colOff>
      <xdr:row>21</xdr:row>
      <xdr:rowOff>1514</xdr:rowOff>
    </xdr:from>
    <xdr:ext cx="1394929" cy="689741"/>
    <xdr:sp macro="" textlink="">
      <xdr:nvSpPr>
        <xdr:cNvPr id="14" name="TextBox 13">
          <a:extLst>
            <a:ext uri="{FF2B5EF4-FFF2-40B4-BE49-F238E27FC236}">
              <a16:creationId xmlns:a16="http://schemas.microsoft.com/office/drawing/2014/main" id="{00000000-0008-0000-0600-00000E000000}"/>
            </a:ext>
          </a:extLst>
        </xdr:cNvPr>
        <xdr:cNvSpPr txBox="1"/>
      </xdr:nvSpPr>
      <xdr:spPr>
        <a:xfrm>
          <a:off x="10830688" y="4147690"/>
          <a:ext cx="1394929"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FMPLL</a:t>
          </a:r>
          <a:r>
            <a:rPr lang="en-US" sz="800" baseline="0"/>
            <a:t> PHI0</a:t>
          </a:r>
          <a:endParaRPr lang="en-US" sz="800"/>
        </a:p>
        <a:p>
          <a:r>
            <a:rPr lang="en-US" sz="800"/>
            <a:t>1 - MLB_CLK</a:t>
          </a:r>
        </a:p>
        <a:p>
          <a:r>
            <a:rPr lang="en-US" sz="800"/>
            <a:t>2</a:t>
          </a:r>
          <a:r>
            <a:rPr lang="en-US" sz="800" baseline="0"/>
            <a:t> - FXOSC</a:t>
          </a:r>
        </a:p>
        <a:p>
          <a:r>
            <a:rPr lang="en-US" sz="800" baseline="0"/>
            <a:t>3 - MCLK[0]</a:t>
          </a:r>
          <a:endParaRPr lang="en-US" sz="800"/>
        </a:p>
      </xdr:txBody>
    </xdr:sp>
    <xdr:clientData/>
  </xdr:oneCellAnchor>
  <xdr:twoCellAnchor>
    <xdr:from>
      <xdr:col>3</xdr:col>
      <xdr:colOff>296577</xdr:colOff>
      <xdr:row>19</xdr:row>
      <xdr:rowOff>32561</xdr:rowOff>
    </xdr:from>
    <xdr:to>
      <xdr:col>17</xdr:col>
      <xdr:colOff>388327</xdr:colOff>
      <xdr:row>19</xdr:row>
      <xdr:rowOff>32561</xdr:rowOff>
    </xdr:to>
    <xdr:cxnSp macro="">
      <xdr:nvCxnSpPr>
        <xdr:cNvPr id="15" name="Straight Arrow Connector 14">
          <a:extLst>
            <a:ext uri="{FF2B5EF4-FFF2-40B4-BE49-F238E27FC236}">
              <a16:creationId xmlns:a16="http://schemas.microsoft.com/office/drawing/2014/main" id="{00000000-0008-0000-0600-00000F000000}"/>
            </a:ext>
          </a:extLst>
        </xdr:cNvPr>
        <xdr:cNvCxnSpPr/>
      </xdr:nvCxnSpPr>
      <xdr:spPr>
        <a:xfrm>
          <a:off x="2120981" y="3732657"/>
          <a:ext cx="8605634"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302172</xdr:colOff>
      <xdr:row>17</xdr:row>
      <xdr:rowOff>59006</xdr:rowOff>
    </xdr:from>
    <xdr:to>
      <xdr:col>17</xdr:col>
      <xdr:colOff>381000</xdr:colOff>
      <xdr:row>17</xdr:row>
      <xdr:rowOff>59006</xdr:rowOff>
    </xdr:to>
    <xdr:cxnSp macro="">
      <xdr:nvCxnSpPr>
        <xdr:cNvPr id="18" name="Straight Arrow Connector 17">
          <a:extLst>
            <a:ext uri="{FF2B5EF4-FFF2-40B4-BE49-F238E27FC236}">
              <a16:creationId xmlns:a16="http://schemas.microsoft.com/office/drawing/2014/main" id="{00000000-0008-0000-0600-000012000000}"/>
            </a:ext>
          </a:extLst>
        </xdr:cNvPr>
        <xdr:cNvCxnSpPr/>
      </xdr:nvCxnSpPr>
      <xdr:spPr>
        <a:xfrm>
          <a:off x="3342845" y="3378102"/>
          <a:ext cx="7376443"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289034</xdr:colOff>
      <xdr:row>18</xdr:row>
      <xdr:rowOff>4049</xdr:rowOff>
    </xdr:from>
    <xdr:to>
      <xdr:col>17</xdr:col>
      <xdr:colOff>373674</xdr:colOff>
      <xdr:row>18</xdr:row>
      <xdr:rowOff>4049</xdr:rowOff>
    </xdr:to>
    <xdr:cxnSp macro="">
      <xdr:nvCxnSpPr>
        <xdr:cNvPr id="20" name="Straight Arrow Connector 19">
          <a:extLst>
            <a:ext uri="{FF2B5EF4-FFF2-40B4-BE49-F238E27FC236}">
              <a16:creationId xmlns:a16="http://schemas.microsoft.com/office/drawing/2014/main" id="{00000000-0008-0000-0600-000014000000}"/>
            </a:ext>
          </a:extLst>
        </xdr:cNvPr>
        <xdr:cNvCxnSpPr/>
      </xdr:nvCxnSpPr>
      <xdr:spPr>
        <a:xfrm>
          <a:off x="4545976" y="3513645"/>
          <a:ext cx="6165986" cy="0"/>
        </a:xfrm>
        <a:prstGeom prst="straightConnector1">
          <a:avLst/>
        </a:prstGeom>
        <a:ln w="19050">
          <a:solidFill>
            <a:srgbClr val="FFFF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8</xdr:col>
      <xdr:colOff>374431</xdr:colOff>
      <xdr:row>10</xdr:row>
      <xdr:rowOff>86596</xdr:rowOff>
    </xdr:from>
    <xdr:ext cx="1057275" cy="419101"/>
    <xdr:sp macro="" textlink="">
      <xdr:nvSpPr>
        <xdr:cNvPr id="22" name="TextBox 21">
          <a:hlinkClick xmlns:r="http://schemas.openxmlformats.org/officeDocument/2006/relationships" r:id="rId4"/>
          <a:extLst>
            <a:ext uri="{FF2B5EF4-FFF2-40B4-BE49-F238E27FC236}">
              <a16:creationId xmlns:a16="http://schemas.microsoft.com/office/drawing/2014/main" id="{00000000-0008-0000-0600-000016000000}"/>
            </a:ext>
          </a:extLst>
        </xdr:cNvPr>
        <xdr:cNvSpPr txBox="1"/>
      </xdr:nvSpPr>
      <xdr:spPr>
        <a:xfrm>
          <a:off x="5277735" y="199159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MCLK[0]</a:t>
          </a:r>
        </a:p>
      </xdr:txBody>
    </xdr:sp>
    <xdr:clientData/>
  </xdr:oneCellAnchor>
  <xdr:twoCellAnchor>
    <xdr:from>
      <xdr:col>9</xdr:col>
      <xdr:colOff>293914</xdr:colOff>
      <xdr:row>16</xdr:row>
      <xdr:rowOff>97294</xdr:rowOff>
    </xdr:from>
    <xdr:to>
      <xdr:col>17</xdr:col>
      <xdr:colOff>381000</xdr:colOff>
      <xdr:row>16</xdr:row>
      <xdr:rowOff>97294</xdr:rowOff>
    </xdr:to>
    <xdr:cxnSp macro="">
      <xdr:nvCxnSpPr>
        <xdr:cNvPr id="28" name="Straight Arrow Connector 27">
          <a:extLst>
            <a:ext uri="{FF2B5EF4-FFF2-40B4-BE49-F238E27FC236}">
              <a16:creationId xmlns:a16="http://schemas.microsoft.com/office/drawing/2014/main" id="{00000000-0008-0000-0600-00001C000000}"/>
            </a:ext>
          </a:extLst>
        </xdr:cNvPr>
        <xdr:cNvCxnSpPr/>
      </xdr:nvCxnSpPr>
      <xdr:spPr>
        <a:xfrm>
          <a:off x="5767126" y="3225890"/>
          <a:ext cx="4952162" cy="0"/>
        </a:xfrm>
        <a:prstGeom prst="straightConnector1">
          <a:avLst/>
        </a:prstGeom>
        <a:ln w="19050">
          <a:solidFill>
            <a:schemeClr val="accent1">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370426</xdr:colOff>
      <xdr:row>15</xdr:row>
      <xdr:rowOff>105397</xdr:rowOff>
    </xdr:from>
    <xdr:to>
      <xdr:col>23</xdr:col>
      <xdr:colOff>160484</xdr:colOff>
      <xdr:row>19</xdr:row>
      <xdr:rowOff>171596</xdr:rowOff>
    </xdr:to>
    <xdr:sp macro="" textlink="">
      <xdr:nvSpPr>
        <xdr:cNvPr id="16" name="Rectangle 15">
          <a:extLst>
            <a:ext uri="{FF2B5EF4-FFF2-40B4-BE49-F238E27FC236}">
              <a16:creationId xmlns:a16="http://schemas.microsoft.com/office/drawing/2014/main" id="{00000000-0008-0000-0600-000010000000}"/>
            </a:ext>
          </a:extLst>
        </xdr:cNvPr>
        <xdr:cNvSpPr/>
      </xdr:nvSpPr>
      <xdr:spPr>
        <a:xfrm>
          <a:off x="13141253" y="3043493"/>
          <a:ext cx="1006327" cy="8281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Muliplier Numerator</a:t>
          </a:r>
        </a:p>
        <a:p>
          <a:pPr algn="ctr"/>
          <a:r>
            <a:rPr lang="en-US" sz="800"/>
            <a:t>I2S0_MDR[FRACT]</a:t>
          </a:r>
        </a:p>
      </xdr:txBody>
    </xdr:sp>
    <xdr:clientData/>
  </xdr:twoCellAnchor>
  <xdr:twoCellAnchor>
    <xdr:from>
      <xdr:col>19</xdr:col>
      <xdr:colOff>185331</xdr:colOff>
      <xdr:row>17</xdr:row>
      <xdr:rowOff>135418</xdr:rowOff>
    </xdr:from>
    <xdr:to>
      <xdr:col>21</xdr:col>
      <xdr:colOff>370426</xdr:colOff>
      <xdr:row>17</xdr:row>
      <xdr:rowOff>138497</xdr:rowOff>
    </xdr:to>
    <xdr:cxnSp macro="">
      <xdr:nvCxnSpPr>
        <xdr:cNvPr id="17" name="Straight Arrow Connector 16">
          <a:extLst>
            <a:ext uri="{FF2B5EF4-FFF2-40B4-BE49-F238E27FC236}">
              <a16:creationId xmlns:a16="http://schemas.microsoft.com/office/drawing/2014/main" id="{00000000-0008-0000-0600-000011000000}"/>
            </a:ext>
          </a:extLst>
        </xdr:cNvPr>
        <xdr:cNvCxnSpPr>
          <a:stCxn id="9" idx="3"/>
          <a:endCxn id="16" idx="1"/>
        </xdr:cNvCxnSpPr>
      </xdr:nvCxnSpPr>
      <xdr:spPr>
        <a:xfrm>
          <a:off x="11739889" y="3454514"/>
          <a:ext cx="1401364" cy="307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403753</xdr:colOff>
      <xdr:row>15</xdr:row>
      <xdr:rowOff>108969</xdr:rowOff>
    </xdr:from>
    <xdr:to>
      <xdr:col>27</xdr:col>
      <xdr:colOff>193810</xdr:colOff>
      <xdr:row>19</xdr:row>
      <xdr:rowOff>175168</xdr:rowOff>
    </xdr:to>
    <xdr:sp macro="" textlink="">
      <xdr:nvSpPr>
        <xdr:cNvPr id="21" name="Rectangle 20">
          <a:extLst>
            <a:ext uri="{FF2B5EF4-FFF2-40B4-BE49-F238E27FC236}">
              <a16:creationId xmlns:a16="http://schemas.microsoft.com/office/drawing/2014/main" id="{00000000-0008-0000-0600-000015000000}"/>
            </a:ext>
          </a:extLst>
        </xdr:cNvPr>
        <xdr:cNvSpPr/>
      </xdr:nvSpPr>
      <xdr:spPr>
        <a:xfrm>
          <a:off x="15607118" y="3047065"/>
          <a:ext cx="1006327" cy="8281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Multiplier</a:t>
          </a:r>
          <a:r>
            <a:rPr lang="en-US" sz="1100" baseline="0"/>
            <a:t> </a:t>
          </a:r>
          <a:r>
            <a:rPr lang="en-US" sz="1100"/>
            <a:t>Denominator</a:t>
          </a:r>
        </a:p>
        <a:p>
          <a:pPr algn="ctr"/>
          <a:r>
            <a:rPr lang="en-US" sz="800"/>
            <a:t>I2S0_MDR[DIVIDE]</a:t>
          </a:r>
        </a:p>
      </xdr:txBody>
    </xdr:sp>
    <xdr:clientData/>
  </xdr:twoCellAnchor>
  <xdr:twoCellAnchor>
    <xdr:from>
      <xdr:col>23</xdr:col>
      <xdr:colOff>160484</xdr:colOff>
      <xdr:row>17</xdr:row>
      <xdr:rowOff>123843</xdr:rowOff>
    </xdr:from>
    <xdr:to>
      <xdr:col>25</xdr:col>
      <xdr:colOff>403753</xdr:colOff>
      <xdr:row>17</xdr:row>
      <xdr:rowOff>127415</xdr:rowOff>
    </xdr:to>
    <xdr:cxnSp macro="">
      <xdr:nvCxnSpPr>
        <xdr:cNvPr id="24" name="Straight Arrow Connector 23">
          <a:extLst>
            <a:ext uri="{FF2B5EF4-FFF2-40B4-BE49-F238E27FC236}">
              <a16:creationId xmlns:a16="http://schemas.microsoft.com/office/drawing/2014/main" id="{00000000-0008-0000-0600-000018000000}"/>
            </a:ext>
          </a:extLst>
        </xdr:cNvPr>
        <xdr:cNvCxnSpPr>
          <a:stCxn id="16" idx="3"/>
          <a:endCxn id="21" idx="1"/>
        </xdr:cNvCxnSpPr>
      </xdr:nvCxnSpPr>
      <xdr:spPr>
        <a:xfrm>
          <a:off x="14147580" y="3442939"/>
          <a:ext cx="1459538" cy="357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193810</xdr:colOff>
      <xdr:row>17</xdr:row>
      <xdr:rowOff>139839</xdr:rowOff>
    </xdr:from>
    <xdr:to>
      <xdr:col>29</xdr:col>
      <xdr:colOff>394942</xdr:colOff>
      <xdr:row>17</xdr:row>
      <xdr:rowOff>140100</xdr:rowOff>
    </xdr:to>
    <xdr:cxnSp macro="">
      <xdr:nvCxnSpPr>
        <xdr:cNvPr id="27" name="Straight Arrow Connector 26">
          <a:extLst>
            <a:ext uri="{FF2B5EF4-FFF2-40B4-BE49-F238E27FC236}">
              <a16:creationId xmlns:a16="http://schemas.microsoft.com/office/drawing/2014/main" id="{00000000-0008-0000-0600-00001B000000}"/>
            </a:ext>
          </a:extLst>
        </xdr:cNvPr>
        <xdr:cNvCxnSpPr>
          <a:stCxn id="21" idx="3"/>
          <a:endCxn id="32" idx="1"/>
        </xdr:cNvCxnSpPr>
      </xdr:nvCxnSpPr>
      <xdr:spPr>
        <a:xfrm>
          <a:off x="16613445" y="3458935"/>
          <a:ext cx="1417401" cy="26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19</xdr:col>
      <xdr:colOff>322365</xdr:colOff>
      <xdr:row>16</xdr:row>
      <xdr:rowOff>58615</xdr:rowOff>
    </xdr:from>
    <xdr:ext cx="1201407" cy="298620"/>
    <xdr:sp macro="" textlink="">
      <xdr:nvSpPr>
        <xdr:cNvPr id="30" name="TextBox 29">
          <a:extLst>
            <a:ext uri="{FF2B5EF4-FFF2-40B4-BE49-F238E27FC236}">
              <a16:creationId xmlns:a16="http://schemas.microsoft.com/office/drawing/2014/main" id="{00000000-0008-0000-0600-00001E000000}"/>
            </a:ext>
          </a:extLst>
        </xdr:cNvPr>
        <xdr:cNvSpPr txBox="1"/>
      </xdr:nvSpPr>
      <xdr:spPr>
        <a:xfrm>
          <a:off x="11876923" y="3187211"/>
          <a:ext cx="1201407" cy="298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FCLK_IN[0]</a:t>
          </a:r>
        </a:p>
      </xdr:txBody>
    </xdr:sp>
    <xdr:clientData/>
  </xdr:oneCellAnchor>
  <xdr:oneCellAnchor>
    <xdr:from>
      <xdr:col>25</xdr:col>
      <xdr:colOff>242080</xdr:colOff>
      <xdr:row>11</xdr:row>
      <xdr:rowOff>93004</xdr:rowOff>
    </xdr:from>
    <xdr:ext cx="2387925" cy="861391"/>
    <xdr:sp macro="" textlink="">
      <xdr:nvSpPr>
        <xdr:cNvPr id="31" name="TextBox 30">
          <a:extLst>
            <a:ext uri="{FF2B5EF4-FFF2-40B4-BE49-F238E27FC236}">
              <a16:creationId xmlns:a16="http://schemas.microsoft.com/office/drawing/2014/main" id="{00000000-0008-0000-0600-00001F000000}"/>
            </a:ext>
          </a:extLst>
        </xdr:cNvPr>
        <xdr:cNvSpPr txBox="1"/>
      </xdr:nvSpPr>
      <xdr:spPr>
        <a:xfrm>
          <a:off x="15514925" y="2188504"/>
          <a:ext cx="2387925" cy="8613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a:t>
          </a:r>
          <a:r>
            <a:rPr lang="en-US" sz="1400" b="1" baseline="0"/>
            <a:t> = FCLK_IN * (FRACT+1)/(DIVIDE+1)</a:t>
          </a:r>
          <a:endParaRPr lang="en-US" sz="1400" b="1"/>
        </a:p>
      </xdr:txBody>
    </xdr:sp>
    <xdr:clientData/>
  </xdr:oneCellAnchor>
  <xdr:twoCellAnchor>
    <xdr:from>
      <xdr:col>29</xdr:col>
      <xdr:colOff>394942</xdr:colOff>
      <xdr:row>15</xdr:row>
      <xdr:rowOff>109230</xdr:rowOff>
    </xdr:from>
    <xdr:to>
      <xdr:col>31</xdr:col>
      <xdr:colOff>185000</xdr:colOff>
      <xdr:row>19</xdr:row>
      <xdr:rowOff>175429</xdr:rowOff>
    </xdr:to>
    <xdr:sp macro="" textlink="">
      <xdr:nvSpPr>
        <xdr:cNvPr id="32" name="Rectangle 31">
          <a:extLst>
            <a:ext uri="{FF2B5EF4-FFF2-40B4-BE49-F238E27FC236}">
              <a16:creationId xmlns:a16="http://schemas.microsoft.com/office/drawing/2014/main" id="{00000000-0008-0000-0600-000020000000}"/>
            </a:ext>
          </a:extLst>
        </xdr:cNvPr>
        <xdr:cNvSpPr/>
      </xdr:nvSpPr>
      <xdr:spPr>
        <a:xfrm>
          <a:off x="18030846" y="3047326"/>
          <a:ext cx="1006327" cy="8281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Bypass</a:t>
          </a:r>
          <a:r>
            <a:rPr lang="en-US" sz="1100" baseline="0"/>
            <a:t> Select</a:t>
          </a:r>
        </a:p>
        <a:p>
          <a:pPr algn="ctr"/>
          <a:r>
            <a:rPr lang="en-US" sz="900" baseline="0"/>
            <a:t>I2S0_MCR[MOE]</a:t>
          </a:r>
          <a:endParaRPr lang="en-US" sz="900"/>
        </a:p>
      </xdr:txBody>
    </xdr:sp>
    <xdr:clientData/>
  </xdr:twoCellAnchor>
  <xdr:oneCellAnchor>
    <xdr:from>
      <xdr:col>29</xdr:col>
      <xdr:colOff>535414</xdr:colOff>
      <xdr:row>21</xdr:row>
      <xdr:rowOff>15125</xdr:rowOff>
    </xdr:from>
    <xdr:ext cx="962782" cy="354725"/>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18171318" y="4169490"/>
          <a:ext cx="96278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MCLK[0] </a:t>
          </a:r>
        </a:p>
        <a:p>
          <a:r>
            <a:rPr lang="en-US" sz="800"/>
            <a:t>1 - FCLK[0]</a:t>
          </a:r>
        </a:p>
      </xdr:txBody>
    </xdr:sp>
    <xdr:clientData/>
  </xdr:oneCellAnchor>
  <xdr:twoCellAnchor>
    <xdr:from>
      <xdr:col>31</xdr:col>
      <xdr:colOff>197123</xdr:colOff>
      <xdr:row>17</xdr:row>
      <xdr:rowOff>159717</xdr:rowOff>
    </xdr:from>
    <xdr:to>
      <xdr:col>33</xdr:col>
      <xdr:colOff>413738</xdr:colOff>
      <xdr:row>17</xdr:row>
      <xdr:rowOff>163036</xdr:rowOff>
    </xdr:to>
    <xdr:cxnSp macro="">
      <xdr:nvCxnSpPr>
        <xdr:cNvPr id="35" name="Straight Arrow Connector 34">
          <a:extLst>
            <a:ext uri="{FF2B5EF4-FFF2-40B4-BE49-F238E27FC236}">
              <a16:creationId xmlns:a16="http://schemas.microsoft.com/office/drawing/2014/main" id="{00000000-0008-0000-0600-000023000000}"/>
            </a:ext>
          </a:extLst>
        </xdr:cNvPr>
        <xdr:cNvCxnSpPr>
          <a:endCxn id="47" idx="1"/>
        </xdr:cNvCxnSpPr>
      </xdr:nvCxnSpPr>
      <xdr:spPr>
        <a:xfrm>
          <a:off x="19049296" y="3434852"/>
          <a:ext cx="1432884" cy="331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10</xdr:col>
      <xdr:colOff>402591</xdr:colOff>
      <xdr:row>10</xdr:row>
      <xdr:rowOff>81624</xdr:rowOff>
    </xdr:from>
    <xdr:ext cx="1057275" cy="419101"/>
    <xdr:sp macro="" textlink="">
      <xdr:nvSpPr>
        <xdr:cNvPr id="43" name="TextBox 42">
          <a:hlinkClick xmlns:r="http://schemas.openxmlformats.org/officeDocument/2006/relationships" r:id="rId5"/>
          <a:extLst>
            <a:ext uri="{FF2B5EF4-FFF2-40B4-BE49-F238E27FC236}">
              <a16:creationId xmlns:a16="http://schemas.microsoft.com/office/drawing/2014/main" id="{00000000-0008-0000-0600-00002B000000}"/>
            </a:ext>
          </a:extLst>
        </xdr:cNvPr>
        <xdr:cNvSpPr txBox="1"/>
      </xdr:nvSpPr>
      <xdr:spPr>
        <a:xfrm>
          <a:off x="6531721" y="198662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MCLK[1]</a:t>
          </a:r>
        </a:p>
      </xdr:txBody>
    </xdr:sp>
    <xdr:clientData/>
  </xdr:oneCellAnchor>
  <xdr:oneCellAnchor>
    <xdr:from>
      <xdr:col>12</xdr:col>
      <xdr:colOff>408513</xdr:colOff>
      <xdr:row>10</xdr:row>
      <xdr:rowOff>81624</xdr:rowOff>
    </xdr:from>
    <xdr:ext cx="1057275" cy="419101"/>
    <xdr:sp macro="" textlink="">
      <xdr:nvSpPr>
        <xdr:cNvPr id="45" name="TextBox 44">
          <a:hlinkClick xmlns:r="http://schemas.openxmlformats.org/officeDocument/2006/relationships" r:id="rId6"/>
          <a:extLst>
            <a:ext uri="{FF2B5EF4-FFF2-40B4-BE49-F238E27FC236}">
              <a16:creationId xmlns:a16="http://schemas.microsoft.com/office/drawing/2014/main" id="{00000000-0008-0000-0600-00002D000000}"/>
            </a:ext>
          </a:extLst>
        </xdr:cNvPr>
        <xdr:cNvSpPr txBox="1"/>
      </xdr:nvSpPr>
      <xdr:spPr>
        <a:xfrm>
          <a:off x="7723713" y="1986624"/>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MCLK[2]</a:t>
          </a:r>
        </a:p>
      </xdr:txBody>
    </xdr:sp>
    <xdr:clientData/>
  </xdr:oneCellAnchor>
  <xdr:twoCellAnchor>
    <xdr:from>
      <xdr:col>33</xdr:col>
      <xdr:colOff>413738</xdr:colOff>
      <xdr:row>15</xdr:row>
      <xdr:rowOff>115283</xdr:rowOff>
    </xdr:from>
    <xdr:to>
      <xdr:col>35</xdr:col>
      <xdr:colOff>203795</xdr:colOff>
      <xdr:row>19</xdr:row>
      <xdr:rowOff>181482</xdr:rowOff>
    </xdr:to>
    <xdr:sp macro="" textlink="">
      <xdr:nvSpPr>
        <xdr:cNvPr id="47" name="Rectangle 46">
          <a:extLst>
            <a:ext uri="{FF2B5EF4-FFF2-40B4-BE49-F238E27FC236}">
              <a16:creationId xmlns:a16="http://schemas.microsoft.com/office/drawing/2014/main" id="{00000000-0008-0000-0600-00002F000000}"/>
            </a:ext>
          </a:extLst>
        </xdr:cNvPr>
        <xdr:cNvSpPr/>
      </xdr:nvSpPr>
      <xdr:spPr>
        <a:xfrm>
          <a:off x="20639868" y="3005913"/>
          <a:ext cx="1015884" cy="8530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MCLK Select</a:t>
          </a:r>
        </a:p>
        <a:p>
          <a:pPr algn="ctr"/>
          <a:r>
            <a:rPr lang="en-US" sz="900"/>
            <a:t>I2S0_TCR2[MSEL]</a:t>
          </a:r>
        </a:p>
      </xdr:txBody>
    </xdr:sp>
    <xdr:clientData/>
  </xdr:twoCellAnchor>
  <xdr:twoCellAnchor>
    <xdr:from>
      <xdr:col>35</xdr:col>
      <xdr:colOff>203795</xdr:colOff>
      <xdr:row>17</xdr:row>
      <xdr:rowOff>27457</xdr:rowOff>
    </xdr:from>
    <xdr:to>
      <xdr:col>37</xdr:col>
      <xdr:colOff>552450</xdr:colOff>
      <xdr:row>17</xdr:row>
      <xdr:rowOff>27457</xdr:rowOff>
    </xdr:to>
    <xdr:cxnSp macro="">
      <xdr:nvCxnSpPr>
        <xdr:cNvPr id="49" name="Straight Arrow Connector 48">
          <a:extLst>
            <a:ext uri="{FF2B5EF4-FFF2-40B4-BE49-F238E27FC236}">
              <a16:creationId xmlns:a16="http://schemas.microsoft.com/office/drawing/2014/main" id="{00000000-0008-0000-0600-000031000000}"/>
            </a:ext>
          </a:extLst>
        </xdr:cNvPr>
        <xdr:cNvCxnSpPr/>
      </xdr:nvCxnSpPr>
      <xdr:spPr>
        <a:xfrm>
          <a:off x="21539795" y="3332632"/>
          <a:ext cx="156785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495581</xdr:colOff>
      <xdr:row>20</xdr:row>
      <xdr:rowOff>181501</xdr:rowOff>
    </xdr:from>
    <xdr:ext cx="1086398" cy="689741"/>
    <xdr:sp macro="" textlink="">
      <xdr:nvSpPr>
        <xdr:cNvPr id="54" name="TextBox 53">
          <a:extLst>
            <a:ext uri="{FF2B5EF4-FFF2-40B4-BE49-F238E27FC236}">
              <a16:creationId xmlns:a16="http://schemas.microsoft.com/office/drawing/2014/main" id="{00000000-0008-0000-0600-000036000000}"/>
            </a:ext>
          </a:extLst>
        </xdr:cNvPr>
        <xdr:cNvSpPr txBox="1"/>
      </xdr:nvSpPr>
      <xdr:spPr>
        <a:xfrm>
          <a:off x="20721711" y="4082610"/>
          <a:ext cx="1086398"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FCLK_MCLK[0]</a:t>
          </a:r>
        </a:p>
        <a:p>
          <a:r>
            <a:rPr lang="en-US" sz="800"/>
            <a:t>1 - FCLK_MCLK[0]</a:t>
          </a:r>
        </a:p>
        <a:p>
          <a:r>
            <a:rPr lang="en-US" sz="800"/>
            <a:t>2</a:t>
          </a:r>
          <a:r>
            <a:rPr lang="en-US" sz="800" baseline="0"/>
            <a:t> - MCLK[1]</a:t>
          </a:r>
        </a:p>
        <a:p>
          <a:r>
            <a:rPr lang="en-US" sz="800" baseline="0"/>
            <a:t>3 - MCLK[2]</a:t>
          </a:r>
          <a:endParaRPr lang="en-US" sz="800"/>
        </a:p>
      </xdr:txBody>
    </xdr:sp>
    <xdr:clientData/>
  </xdr:oneCellAnchor>
  <xdr:oneCellAnchor>
    <xdr:from>
      <xdr:col>41</xdr:col>
      <xdr:colOff>593390</xdr:colOff>
      <xdr:row>16</xdr:row>
      <xdr:rowOff>105253</xdr:rowOff>
    </xdr:from>
    <xdr:ext cx="1371601" cy="410818"/>
    <xdr:sp macro="" textlink="">
      <xdr:nvSpPr>
        <xdr:cNvPr id="55" name="TextBox 54">
          <a:extLst>
            <a:ext uri="{FF2B5EF4-FFF2-40B4-BE49-F238E27FC236}">
              <a16:creationId xmlns:a16="http://schemas.microsoft.com/office/drawing/2014/main" id="{00000000-0008-0000-0600-000037000000}"/>
            </a:ext>
          </a:extLst>
        </xdr:cNvPr>
        <xdr:cNvSpPr txBox="1"/>
      </xdr:nvSpPr>
      <xdr:spPr>
        <a:xfrm>
          <a:off x="25586990" y="3191353"/>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MCLK_TX_SAI0</a:t>
          </a:r>
        </a:p>
      </xdr:txBody>
    </xdr:sp>
    <xdr:clientData/>
  </xdr:oneCellAnchor>
  <xdr:twoCellAnchor>
    <xdr:from>
      <xdr:col>11</xdr:col>
      <xdr:colOff>307090</xdr:colOff>
      <xdr:row>25</xdr:row>
      <xdr:rowOff>63461</xdr:rowOff>
    </xdr:from>
    <xdr:to>
      <xdr:col>36</xdr:col>
      <xdr:colOff>361950</xdr:colOff>
      <xdr:row>25</xdr:row>
      <xdr:rowOff>63461</xdr:rowOff>
    </xdr:to>
    <xdr:cxnSp macro="">
      <xdr:nvCxnSpPr>
        <xdr:cNvPr id="56" name="Straight Arrow Connector 55">
          <a:extLst>
            <a:ext uri="{FF2B5EF4-FFF2-40B4-BE49-F238E27FC236}">
              <a16:creationId xmlns:a16="http://schemas.microsoft.com/office/drawing/2014/main" id="{00000000-0008-0000-0600-000038000000}"/>
            </a:ext>
          </a:extLst>
        </xdr:cNvPr>
        <xdr:cNvCxnSpPr/>
      </xdr:nvCxnSpPr>
      <xdr:spPr>
        <a:xfrm>
          <a:off x="7012690" y="5025986"/>
          <a:ext cx="15294860" cy="0"/>
        </a:xfrm>
        <a:prstGeom prst="straightConnector1">
          <a:avLst/>
        </a:prstGeom>
        <a:ln w="19050">
          <a:solidFill>
            <a:schemeClr val="accent6"/>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542316</xdr:colOff>
      <xdr:row>19</xdr:row>
      <xdr:rowOff>157370</xdr:rowOff>
    </xdr:from>
    <xdr:to>
      <xdr:col>32</xdr:col>
      <xdr:colOff>542316</xdr:colOff>
      <xdr:row>25</xdr:row>
      <xdr:rowOff>77391</xdr:rowOff>
    </xdr:to>
    <xdr:cxnSp macro="">
      <xdr:nvCxnSpPr>
        <xdr:cNvPr id="58" name="Straight Arrow Connector 57">
          <a:extLst>
            <a:ext uri="{FF2B5EF4-FFF2-40B4-BE49-F238E27FC236}">
              <a16:creationId xmlns:a16="http://schemas.microsoft.com/office/drawing/2014/main" id="{00000000-0008-0000-0600-00003A000000}"/>
            </a:ext>
          </a:extLst>
        </xdr:cNvPr>
        <xdr:cNvCxnSpPr/>
      </xdr:nvCxnSpPr>
      <xdr:spPr>
        <a:xfrm flipV="1">
          <a:off x="19973316" y="3866167"/>
          <a:ext cx="0" cy="1170177"/>
        </a:xfrm>
        <a:prstGeom prst="straightConnector1">
          <a:avLst/>
        </a:prstGeom>
        <a:ln w="19050">
          <a:solidFill>
            <a:schemeClr val="accent6"/>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538370</xdr:colOff>
      <xdr:row>19</xdr:row>
      <xdr:rowOff>154570</xdr:rowOff>
    </xdr:from>
    <xdr:to>
      <xdr:col>33</xdr:col>
      <xdr:colOff>414131</xdr:colOff>
      <xdr:row>19</xdr:row>
      <xdr:rowOff>154570</xdr:rowOff>
    </xdr:to>
    <xdr:cxnSp macro="">
      <xdr:nvCxnSpPr>
        <xdr:cNvPr id="64" name="Straight Arrow Connector 63">
          <a:extLst>
            <a:ext uri="{FF2B5EF4-FFF2-40B4-BE49-F238E27FC236}">
              <a16:creationId xmlns:a16="http://schemas.microsoft.com/office/drawing/2014/main" id="{00000000-0008-0000-0600-000040000000}"/>
            </a:ext>
          </a:extLst>
        </xdr:cNvPr>
        <xdr:cNvCxnSpPr/>
      </xdr:nvCxnSpPr>
      <xdr:spPr>
        <a:xfrm>
          <a:off x="20151587" y="3848613"/>
          <a:ext cx="488674" cy="0"/>
        </a:xfrm>
        <a:prstGeom prst="straightConnector1">
          <a:avLst/>
        </a:prstGeom>
        <a:ln w="19050">
          <a:solidFill>
            <a:schemeClr val="accent6"/>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293836</xdr:colOff>
      <xdr:row>26</xdr:row>
      <xdr:rowOff>58492</xdr:rowOff>
    </xdr:from>
    <xdr:to>
      <xdr:col>36</xdr:col>
      <xdr:colOff>375047</xdr:colOff>
      <xdr:row>26</xdr:row>
      <xdr:rowOff>58492</xdr:rowOff>
    </xdr:to>
    <xdr:cxnSp macro="">
      <xdr:nvCxnSpPr>
        <xdr:cNvPr id="68" name="Straight Arrow Connector 67">
          <a:extLst>
            <a:ext uri="{FF2B5EF4-FFF2-40B4-BE49-F238E27FC236}">
              <a16:creationId xmlns:a16="http://schemas.microsoft.com/office/drawing/2014/main" id="{00000000-0008-0000-0600-000044000000}"/>
            </a:ext>
          </a:extLst>
        </xdr:cNvPr>
        <xdr:cNvCxnSpPr/>
      </xdr:nvCxnSpPr>
      <xdr:spPr>
        <a:xfrm>
          <a:off x="8187680" y="5219851"/>
          <a:ext cx="14047242" cy="0"/>
        </a:xfrm>
        <a:prstGeom prst="straightConnector1">
          <a:avLst/>
        </a:prstGeom>
        <a:ln w="19050">
          <a:solidFill>
            <a:schemeClr val="accent1">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549965</xdr:colOff>
      <xdr:row>19</xdr:row>
      <xdr:rowOff>191014</xdr:rowOff>
    </xdr:from>
    <xdr:to>
      <xdr:col>33</xdr:col>
      <xdr:colOff>549965</xdr:colOff>
      <xdr:row>26</xdr:row>
      <xdr:rowOff>49695</xdr:rowOff>
    </xdr:to>
    <xdr:cxnSp macro="">
      <xdr:nvCxnSpPr>
        <xdr:cNvPr id="70" name="Straight Arrow Connector 69">
          <a:extLst>
            <a:ext uri="{FF2B5EF4-FFF2-40B4-BE49-F238E27FC236}">
              <a16:creationId xmlns:a16="http://schemas.microsoft.com/office/drawing/2014/main" id="{00000000-0008-0000-0600-000046000000}"/>
            </a:ext>
          </a:extLst>
        </xdr:cNvPr>
        <xdr:cNvCxnSpPr/>
      </xdr:nvCxnSpPr>
      <xdr:spPr>
        <a:xfrm flipV="1">
          <a:off x="20776095" y="3885057"/>
          <a:ext cx="0" cy="1233595"/>
        </a:xfrm>
        <a:prstGeom prst="straightConnector1">
          <a:avLst/>
        </a:prstGeom>
        <a:ln w="19050">
          <a:solidFill>
            <a:schemeClr val="accent1">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31</xdr:col>
      <xdr:colOff>280125</xdr:colOff>
      <xdr:row>35</xdr:row>
      <xdr:rowOff>178425</xdr:rowOff>
    </xdr:from>
    <xdr:ext cx="1371601" cy="410818"/>
    <xdr:sp macro="" textlink="">
      <xdr:nvSpPr>
        <xdr:cNvPr id="76" name="TextBox 75">
          <a:extLst>
            <a:ext uri="{FF2B5EF4-FFF2-40B4-BE49-F238E27FC236}">
              <a16:creationId xmlns:a16="http://schemas.microsoft.com/office/drawing/2014/main" id="{00000000-0008-0000-0600-00004C000000}"/>
            </a:ext>
          </a:extLst>
        </xdr:cNvPr>
        <xdr:cNvSpPr txBox="1"/>
      </xdr:nvSpPr>
      <xdr:spPr>
        <a:xfrm>
          <a:off x="19280429" y="6961882"/>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FCLK_MCLK[1]</a:t>
          </a:r>
        </a:p>
      </xdr:txBody>
    </xdr:sp>
    <xdr:clientData/>
  </xdr:oneCellAnchor>
  <xdr:oneCellAnchor>
    <xdr:from>
      <xdr:col>27</xdr:col>
      <xdr:colOff>343073</xdr:colOff>
      <xdr:row>36</xdr:row>
      <xdr:rowOff>50873</xdr:rowOff>
    </xdr:from>
    <xdr:ext cx="1143002" cy="273325"/>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16891725" y="7024830"/>
          <a:ext cx="1143002" cy="273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FCLK[1]</a:t>
          </a:r>
        </a:p>
      </xdr:txBody>
    </xdr:sp>
    <xdr:clientData/>
  </xdr:oneCellAnchor>
  <xdr:twoCellAnchor>
    <xdr:from>
      <xdr:col>17</xdr:col>
      <xdr:colOff>396870</xdr:colOff>
      <xdr:row>35</xdr:row>
      <xdr:rowOff>65586</xdr:rowOff>
    </xdr:from>
    <xdr:to>
      <xdr:col>19</xdr:col>
      <xdr:colOff>186927</xdr:colOff>
      <xdr:row>39</xdr:row>
      <xdr:rowOff>173198</xdr:rowOff>
    </xdr:to>
    <xdr:sp macro="" textlink="">
      <xdr:nvSpPr>
        <xdr:cNvPr id="78" name="Rectangle 77">
          <a:extLst>
            <a:ext uri="{FF2B5EF4-FFF2-40B4-BE49-F238E27FC236}">
              <a16:creationId xmlns:a16="http://schemas.microsoft.com/office/drawing/2014/main" id="{00000000-0008-0000-0600-00004E000000}"/>
            </a:ext>
          </a:extLst>
        </xdr:cNvPr>
        <xdr:cNvSpPr/>
      </xdr:nvSpPr>
      <xdr:spPr>
        <a:xfrm>
          <a:off x="10816392" y="6849043"/>
          <a:ext cx="1015883" cy="8696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FCLK[1] Input</a:t>
          </a:r>
          <a:r>
            <a:rPr lang="en-US" sz="1100" baseline="0"/>
            <a:t> Clock Selector</a:t>
          </a:r>
        </a:p>
        <a:p>
          <a:pPr algn="ctr"/>
          <a:r>
            <a:rPr lang="en-US" sz="900" baseline="0"/>
            <a:t>I2S1_MCR[MICS]</a:t>
          </a:r>
          <a:endParaRPr lang="en-US" sz="900"/>
        </a:p>
      </xdr:txBody>
    </xdr:sp>
    <xdr:clientData/>
  </xdr:twoCellAnchor>
  <xdr:twoCellAnchor>
    <xdr:from>
      <xdr:col>21</xdr:col>
      <xdr:colOff>372022</xdr:colOff>
      <xdr:row>35</xdr:row>
      <xdr:rowOff>68665</xdr:rowOff>
    </xdr:from>
    <xdr:to>
      <xdr:col>23</xdr:col>
      <xdr:colOff>162080</xdr:colOff>
      <xdr:row>39</xdr:row>
      <xdr:rowOff>176277</xdr:rowOff>
    </xdr:to>
    <xdr:sp macro="" textlink="">
      <xdr:nvSpPr>
        <xdr:cNvPr id="79" name="Rectangle 78">
          <a:extLst>
            <a:ext uri="{FF2B5EF4-FFF2-40B4-BE49-F238E27FC236}">
              <a16:creationId xmlns:a16="http://schemas.microsoft.com/office/drawing/2014/main" id="{00000000-0008-0000-0600-00004F000000}"/>
            </a:ext>
          </a:extLst>
        </xdr:cNvPr>
        <xdr:cNvSpPr/>
      </xdr:nvSpPr>
      <xdr:spPr>
        <a:xfrm>
          <a:off x="13243196" y="6852122"/>
          <a:ext cx="1015884" cy="8696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Muliplier Numerator</a:t>
          </a:r>
        </a:p>
        <a:p>
          <a:pPr algn="ctr"/>
          <a:r>
            <a:rPr lang="en-US" sz="800"/>
            <a:t>I2S1_MDR[FRACT]</a:t>
          </a:r>
        </a:p>
      </xdr:txBody>
    </xdr:sp>
    <xdr:clientData/>
  </xdr:twoCellAnchor>
  <xdr:twoCellAnchor>
    <xdr:from>
      <xdr:col>19</xdr:col>
      <xdr:colOff>186927</xdr:colOff>
      <xdr:row>37</xdr:row>
      <xdr:rowOff>106969</xdr:rowOff>
    </xdr:from>
    <xdr:to>
      <xdr:col>21</xdr:col>
      <xdr:colOff>372022</xdr:colOff>
      <xdr:row>37</xdr:row>
      <xdr:rowOff>110048</xdr:rowOff>
    </xdr:to>
    <xdr:cxnSp macro="">
      <xdr:nvCxnSpPr>
        <xdr:cNvPr id="80" name="Straight Arrow Connector 79">
          <a:extLst>
            <a:ext uri="{FF2B5EF4-FFF2-40B4-BE49-F238E27FC236}">
              <a16:creationId xmlns:a16="http://schemas.microsoft.com/office/drawing/2014/main" id="{00000000-0008-0000-0600-000050000000}"/>
            </a:ext>
          </a:extLst>
        </xdr:cNvPr>
        <xdr:cNvCxnSpPr>
          <a:stCxn id="78" idx="3"/>
          <a:endCxn id="79" idx="1"/>
        </xdr:cNvCxnSpPr>
      </xdr:nvCxnSpPr>
      <xdr:spPr>
        <a:xfrm>
          <a:off x="11832275" y="7271426"/>
          <a:ext cx="1410921" cy="307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405349</xdr:colOff>
      <xdr:row>35</xdr:row>
      <xdr:rowOff>72237</xdr:rowOff>
    </xdr:from>
    <xdr:to>
      <xdr:col>27</xdr:col>
      <xdr:colOff>195406</xdr:colOff>
      <xdr:row>39</xdr:row>
      <xdr:rowOff>179849</xdr:rowOff>
    </xdr:to>
    <xdr:sp macro="" textlink="">
      <xdr:nvSpPr>
        <xdr:cNvPr id="81" name="Rectangle 80">
          <a:extLst>
            <a:ext uri="{FF2B5EF4-FFF2-40B4-BE49-F238E27FC236}">
              <a16:creationId xmlns:a16="http://schemas.microsoft.com/office/drawing/2014/main" id="{00000000-0008-0000-0600-000051000000}"/>
            </a:ext>
          </a:extLst>
        </xdr:cNvPr>
        <xdr:cNvSpPr/>
      </xdr:nvSpPr>
      <xdr:spPr>
        <a:xfrm>
          <a:off x="15728175" y="6855694"/>
          <a:ext cx="1015883" cy="8696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Multiplier</a:t>
          </a:r>
          <a:r>
            <a:rPr lang="en-US" sz="1100" baseline="0"/>
            <a:t> </a:t>
          </a:r>
          <a:r>
            <a:rPr lang="en-US" sz="1100"/>
            <a:t>Denominator</a:t>
          </a:r>
        </a:p>
        <a:p>
          <a:pPr algn="ctr"/>
          <a:r>
            <a:rPr lang="en-US" sz="800"/>
            <a:t>I2S1_MDR[DIVIDE]</a:t>
          </a:r>
        </a:p>
      </xdr:txBody>
    </xdr:sp>
    <xdr:clientData/>
  </xdr:twoCellAnchor>
  <xdr:twoCellAnchor>
    <xdr:from>
      <xdr:col>23</xdr:col>
      <xdr:colOff>162080</xdr:colOff>
      <xdr:row>37</xdr:row>
      <xdr:rowOff>95394</xdr:rowOff>
    </xdr:from>
    <xdr:to>
      <xdr:col>25</xdr:col>
      <xdr:colOff>405349</xdr:colOff>
      <xdr:row>37</xdr:row>
      <xdr:rowOff>98966</xdr:rowOff>
    </xdr:to>
    <xdr:cxnSp macro="">
      <xdr:nvCxnSpPr>
        <xdr:cNvPr id="82" name="Straight Arrow Connector 81">
          <a:extLst>
            <a:ext uri="{FF2B5EF4-FFF2-40B4-BE49-F238E27FC236}">
              <a16:creationId xmlns:a16="http://schemas.microsoft.com/office/drawing/2014/main" id="{00000000-0008-0000-0600-000052000000}"/>
            </a:ext>
          </a:extLst>
        </xdr:cNvPr>
        <xdr:cNvCxnSpPr>
          <a:stCxn id="79" idx="3"/>
          <a:endCxn id="81" idx="1"/>
        </xdr:cNvCxnSpPr>
      </xdr:nvCxnSpPr>
      <xdr:spPr>
        <a:xfrm>
          <a:off x="14259080" y="7259851"/>
          <a:ext cx="1469095" cy="357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195406</xdr:colOff>
      <xdr:row>37</xdr:row>
      <xdr:rowOff>111390</xdr:rowOff>
    </xdr:from>
    <xdr:to>
      <xdr:col>29</xdr:col>
      <xdr:colOff>396538</xdr:colOff>
      <xdr:row>37</xdr:row>
      <xdr:rowOff>111651</xdr:rowOff>
    </xdr:to>
    <xdr:cxnSp macro="">
      <xdr:nvCxnSpPr>
        <xdr:cNvPr id="83" name="Straight Arrow Connector 82">
          <a:extLst>
            <a:ext uri="{FF2B5EF4-FFF2-40B4-BE49-F238E27FC236}">
              <a16:creationId xmlns:a16="http://schemas.microsoft.com/office/drawing/2014/main" id="{00000000-0008-0000-0600-000053000000}"/>
            </a:ext>
          </a:extLst>
        </xdr:cNvPr>
        <xdr:cNvCxnSpPr>
          <a:stCxn id="81" idx="3"/>
          <a:endCxn id="85" idx="1"/>
        </xdr:cNvCxnSpPr>
      </xdr:nvCxnSpPr>
      <xdr:spPr>
        <a:xfrm>
          <a:off x="16744058" y="7275847"/>
          <a:ext cx="1426958" cy="26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19</xdr:col>
      <xdr:colOff>323961</xdr:colOff>
      <xdr:row>36</xdr:row>
      <xdr:rowOff>21883</xdr:rowOff>
    </xdr:from>
    <xdr:ext cx="1201407" cy="298620"/>
    <xdr:sp macro="" textlink="">
      <xdr:nvSpPr>
        <xdr:cNvPr id="84" name="TextBox 83">
          <a:extLst>
            <a:ext uri="{FF2B5EF4-FFF2-40B4-BE49-F238E27FC236}">
              <a16:creationId xmlns:a16="http://schemas.microsoft.com/office/drawing/2014/main" id="{00000000-0008-0000-0600-000054000000}"/>
            </a:ext>
          </a:extLst>
        </xdr:cNvPr>
        <xdr:cNvSpPr txBox="1"/>
      </xdr:nvSpPr>
      <xdr:spPr>
        <a:xfrm>
          <a:off x="11969309" y="6995840"/>
          <a:ext cx="1201407" cy="298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FCLK_IN[1]</a:t>
          </a:r>
        </a:p>
      </xdr:txBody>
    </xdr:sp>
    <xdr:clientData/>
  </xdr:oneCellAnchor>
  <xdr:twoCellAnchor>
    <xdr:from>
      <xdr:col>29</xdr:col>
      <xdr:colOff>396538</xdr:colOff>
      <xdr:row>35</xdr:row>
      <xdr:rowOff>72498</xdr:rowOff>
    </xdr:from>
    <xdr:to>
      <xdr:col>31</xdr:col>
      <xdr:colOff>186596</xdr:colOff>
      <xdr:row>39</xdr:row>
      <xdr:rowOff>180110</xdr:rowOff>
    </xdr:to>
    <xdr:sp macro="" textlink="">
      <xdr:nvSpPr>
        <xdr:cNvPr id="85" name="Rectangle 84">
          <a:extLst>
            <a:ext uri="{FF2B5EF4-FFF2-40B4-BE49-F238E27FC236}">
              <a16:creationId xmlns:a16="http://schemas.microsoft.com/office/drawing/2014/main" id="{00000000-0008-0000-0600-000055000000}"/>
            </a:ext>
          </a:extLst>
        </xdr:cNvPr>
        <xdr:cNvSpPr/>
      </xdr:nvSpPr>
      <xdr:spPr>
        <a:xfrm>
          <a:off x="18171016" y="6855955"/>
          <a:ext cx="1015884" cy="8696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solidFill>
              <a:effectLst/>
              <a:uLnTx/>
              <a:uFillTx/>
              <a:latin typeface="+mn-lt"/>
              <a:ea typeface="+mn-ea"/>
              <a:cs typeface="+mn-cs"/>
            </a:rPr>
            <a:t>SAI Bypass Select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prstClr val="white"/>
              </a:solidFill>
              <a:effectLst/>
              <a:uLnTx/>
              <a:uFillTx/>
              <a:latin typeface="+mn-lt"/>
              <a:ea typeface="+mn-ea"/>
              <a:cs typeface="+mn-cs"/>
            </a:rPr>
            <a:t>I2S1_MCR[MOE]</a:t>
          </a:r>
        </a:p>
      </xdr:txBody>
    </xdr:sp>
    <xdr:clientData/>
  </xdr:twoCellAnchor>
  <xdr:twoCellAnchor>
    <xdr:from>
      <xdr:col>31</xdr:col>
      <xdr:colOff>198719</xdr:colOff>
      <xdr:row>37</xdr:row>
      <xdr:rowOff>131268</xdr:rowOff>
    </xdr:from>
    <xdr:to>
      <xdr:col>33</xdr:col>
      <xdr:colOff>415334</xdr:colOff>
      <xdr:row>37</xdr:row>
      <xdr:rowOff>134587</xdr:rowOff>
    </xdr:to>
    <xdr:cxnSp macro="">
      <xdr:nvCxnSpPr>
        <xdr:cNvPr id="86" name="Straight Arrow Connector 85">
          <a:extLst>
            <a:ext uri="{FF2B5EF4-FFF2-40B4-BE49-F238E27FC236}">
              <a16:creationId xmlns:a16="http://schemas.microsoft.com/office/drawing/2014/main" id="{00000000-0008-0000-0600-000056000000}"/>
            </a:ext>
          </a:extLst>
        </xdr:cNvPr>
        <xdr:cNvCxnSpPr>
          <a:endCxn id="87" idx="1"/>
        </xdr:cNvCxnSpPr>
      </xdr:nvCxnSpPr>
      <xdr:spPr>
        <a:xfrm>
          <a:off x="19199023" y="7295725"/>
          <a:ext cx="1442441" cy="331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415334</xdr:colOff>
      <xdr:row>35</xdr:row>
      <xdr:rowOff>78551</xdr:rowOff>
    </xdr:from>
    <xdr:to>
      <xdr:col>35</xdr:col>
      <xdr:colOff>205391</xdr:colOff>
      <xdr:row>39</xdr:row>
      <xdr:rowOff>186163</xdr:rowOff>
    </xdr:to>
    <xdr:sp macro="" textlink="">
      <xdr:nvSpPr>
        <xdr:cNvPr id="87" name="Rectangle 86">
          <a:extLst>
            <a:ext uri="{FF2B5EF4-FFF2-40B4-BE49-F238E27FC236}">
              <a16:creationId xmlns:a16="http://schemas.microsoft.com/office/drawing/2014/main" id="{00000000-0008-0000-0600-000057000000}"/>
            </a:ext>
          </a:extLst>
        </xdr:cNvPr>
        <xdr:cNvSpPr/>
      </xdr:nvSpPr>
      <xdr:spPr>
        <a:xfrm>
          <a:off x="20641464" y="6862008"/>
          <a:ext cx="1015884" cy="86961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MCLK Select</a:t>
          </a:r>
        </a:p>
        <a:p>
          <a:pPr algn="ctr"/>
          <a:r>
            <a:rPr lang="en-US" sz="900"/>
            <a:t>I2S1_TCR2[MSEL]</a:t>
          </a:r>
        </a:p>
      </xdr:txBody>
    </xdr:sp>
    <xdr:clientData/>
  </xdr:twoCellAnchor>
  <xdr:twoCellAnchor>
    <xdr:from>
      <xdr:col>35</xdr:col>
      <xdr:colOff>205391</xdr:colOff>
      <xdr:row>37</xdr:row>
      <xdr:rowOff>27583</xdr:rowOff>
    </xdr:from>
    <xdr:to>
      <xdr:col>37</xdr:col>
      <xdr:colOff>552450</xdr:colOff>
      <xdr:row>37</xdr:row>
      <xdr:rowOff>27583</xdr:rowOff>
    </xdr:to>
    <xdr:cxnSp macro="">
      <xdr:nvCxnSpPr>
        <xdr:cNvPr id="88" name="Straight Arrow Connector 87">
          <a:extLst>
            <a:ext uri="{FF2B5EF4-FFF2-40B4-BE49-F238E27FC236}">
              <a16:creationId xmlns:a16="http://schemas.microsoft.com/office/drawing/2014/main" id="{00000000-0008-0000-0600-000058000000}"/>
            </a:ext>
          </a:extLst>
        </xdr:cNvPr>
        <xdr:cNvCxnSpPr/>
      </xdr:nvCxnSpPr>
      <xdr:spPr>
        <a:xfrm>
          <a:off x="21541391" y="7504708"/>
          <a:ext cx="156625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41</xdr:col>
      <xdr:colOff>590018</xdr:colOff>
      <xdr:row>36</xdr:row>
      <xdr:rowOff>93719</xdr:rowOff>
    </xdr:from>
    <xdr:ext cx="1371601" cy="410818"/>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25583618" y="7361294"/>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MCLK_TX_SAI1</a:t>
          </a:r>
        </a:p>
      </xdr:txBody>
    </xdr:sp>
    <xdr:clientData/>
  </xdr:oneCellAnchor>
  <xdr:twoCellAnchor>
    <xdr:from>
      <xdr:col>3</xdr:col>
      <xdr:colOff>282242</xdr:colOff>
      <xdr:row>39</xdr:row>
      <xdr:rowOff>96584</xdr:rowOff>
    </xdr:from>
    <xdr:to>
      <xdr:col>17</xdr:col>
      <xdr:colOff>373992</xdr:colOff>
      <xdr:row>39</xdr:row>
      <xdr:rowOff>96584</xdr:rowOff>
    </xdr:to>
    <xdr:cxnSp macro="">
      <xdr:nvCxnSpPr>
        <xdr:cNvPr id="90" name="Straight Arrow Connector 89">
          <a:extLst>
            <a:ext uri="{FF2B5EF4-FFF2-40B4-BE49-F238E27FC236}">
              <a16:creationId xmlns:a16="http://schemas.microsoft.com/office/drawing/2014/main" id="{00000000-0008-0000-0600-00005A000000}"/>
            </a:ext>
          </a:extLst>
        </xdr:cNvPr>
        <xdr:cNvCxnSpPr/>
      </xdr:nvCxnSpPr>
      <xdr:spPr>
        <a:xfrm>
          <a:off x="2120981" y="7642041"/>
          <a:ext cx="8672533"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287837</xdr:colOff>
      <xdr:row>37</xdr:row>
      <xdr:rowOff>89899</xdr:rowOff>
    </xdr:from>
    <xdr:to>
      <xdr:col>17</xdr:col>
      <xdr:colOff>366665</xdr:colOff>
      <xdr:row>37</xdr:row>
      <xdr:rowOff>89899</xdr:rowOff>
    </xdr:to>
    <xdr:cxnSp macro="">
      <xdr:nvCxnSpPr>
        <xdr:cNvPr id="91" name="Straight Arrow Connector 90">
          <a:extLst>
            <a:ext uri="{FF2B5EF4-FFF2-40B4-BE49-F238E27FC236}">
              <a16:creationId xmlns:a16="http://schemas.microsoft.com/office/drawing/2014/main" id="{00000000-0008-0000-0600-00005B000000}"/>
            </a:ext>
          </a:extLst>
        </xdr:cNvPr>
        <xdr:cNvCxnSpPr/>
      </xdr:nvCxnSpPr>
      <xdr:spPr>
        <a:xfrm>
          <a:off x="3352402" y="7254356"/>
          <a:ext cx="7433785"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274699</xdr:colOff>
      <xdr:row>38</xdr:row>
      <xdr:rowOff>51507</xdr:rowOff>
    </xdr:from>
    <xdr:to>
      <xdr:col>17</xdr:col>
      <xdr:colOff>359339</xdr:colOff>
      <xdr:row>38</xdr:row>
      <xdr:rowOff>51507</xdr:rowOff>
    </xdr:to>
    <xdr:cxnSp macro="">
      <xdr:nvCxnSpPr>
        <xdr:cNvPr id="92" name="Straight Arrow Connector 91">
          <a:extLst>
            <a:ext uri="{FF2B5EF4-FFF2-40B4-BE49-F238E27FC236}">
              <a16:creationId xmlns:a16="http://schemas.microsoft.com/office/drawing/2014/main" id="{00000000-0008-0000-0600-00005C000000}"/>
            </a:ext>
          </a:extLst>
        </xdr:cNvPr>
        <xdr:cNvCxnSpPr/>
      </xdr:nvCxnSpPr>
      <xdr:spPr>
        <a:xfrm>
          <a:off x="4565090" y="7406464"/>
          <a:ext cx="6213771" cy="0"/>
        </a:xfrm>
        <a:prstGeom prst="straightConnector1">
          <a:avLst/>
        </a:prstGeom>
        <a:ln w="19050">
          <a:solidFill>
            <a:srgbClr val="FFFF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318681</xdr:colOff>
      <xdr:row>36</xdr:row>
      <xdr:rowOff>75055</xdr:rowOff>
    </xdr:from>
    <xdr:to>
      <xdr:col>17</xdr:col>
      <xdr:colOff>372717</xdr:colOff>
      <xdr:row>36</xdr:row>
      <xdr:rowOff>75055</xdr:rowOff>
    </xdr:to>
    <xdr:cxnSp macro="">
      <xdr:nvCxnSpPr>
        <xdr:cNvPr id="94" name="Straight Arrow Connector 93">
          <a:extLst>
            <a:ext uri="{FF2B5EF4-FFF2-40B4-BE49-F238E27FC236}">
              <a16:creationId xmlns:a16="http://schemas.microsoft.com/office/drawing/2014/main" id="{00000000-0008-0000-0600-00005E000000}"/>
            </a:ext>
          </a:extLst>
        </xdr:cNvPr>
        <xdr:cNvCxnSpPr/>
      </xdr:nvCxnSpPr>
      <xdr:spPr>
        <a:xfrm>
          <a:off x="7060724" y="7049012"/>
          <a:ext cx="3731515" cy="0"/>
        </a:xfrm>
        <a:prstGeom prst="straightConnector1">
          <a:avLst/>
        </a:prstGeom>
        <a:ln w="19050">
          <a:solidFill>
            <a:schemeClr val="accent6"/>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545285</xdr:colOff>
      <xdr:row>41</xdr:row>
      <xdr:rowOff>15847</xdr:rowOff>
    </xdr:from>
    <xdr:ext cx="939362" cy="689741"/>
    <xdr:sp macro="" textlink="">
      <xdr:nvSpPr>
        <xdr:cNvPr id="98" name="TextBox 97">
          <a:extLst>
            <a:ext uri="{FF2B5EF4-FFF2-40B4-BE49-F238E27FC236}">
              <a16:creationId xmlns:a16="http://schemas.microsoft.com/office/drawing/2014/main" id="{00000000-0008-0000-0600-000062000000}"/>
            </a:ext>
          </a:extLst>
        </xdr:cNvPr>
        <xdr:cNvSpPr txBox="1"/>
      </xdr:nvSpPr>
      <xdr:spPr>
        <a:xfrm>
          <a:off x="10964807" y="7942304"/>
          <a:ext cx="939362"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FMPLL</a:t>
          </a:r>
          <a:r>
            <a:rPr lang="en-US" sz="800" baseline="0"/>
            <a:t> PHI0</a:t>
          </a:r>
          <a:endParaRPr lang="en-US" sz="800"/>
        </a:p>
        <a:p>
          <a:r>
            <a:rPr lang="en-US" sz="800"/>
            <a:t>1 - MLB_CLK</a:t>
          </a:r>
        </a:p>
        <a:p>
          <a:r>
            <a:rPr lang="en-US" sz="800"/>
            <a:t>2</a:t>
          </a:r>
          <a:r>
            <a:rPr lang="en-US" sz="800" baseline="0"/>
            <a:t> - FXOSC</a:t>
          </a:r>
        </a:p>
        <a:p>
          <a:r>
            <a:rPr lang="en-US" sz="800" baseline="0"/>
            <a:t>3 - MCLK[1]</a:t>
          </a:r>
          <a:endParaRPr lang="en-US" sz="800"/>
        </a:p>
      </xdr:txBody>
    </xdr:sp>
    <xdr:clientData/>
  </xdr:oneCellAnchor>
  <xdr:oneCellAnchor>
    <xdr:from>
      <xdr:col>29</xdr:col>
      <xdr:colOff>554210</xdr:colOff>
      <xdr:row>40</xdr:row>
      <xdr:rowOff>196322</xdr:rowOff>
    </xdr:from>
    <xdr:ext cx="962782" cy="354725"/>
    <xdr:sp macro="" textlink="">
      <xdr:nvSpPr>
        <xdr:cNvPr id="99" name="TextBox 98">
          <a:extLst>
            <a:ext uri="{FF2B5EF4-FFF2-40B4-BE49-F238E27FC236}">
              <a16:creationId xmlns:a16="http://schemas.microsoft.com/office/drawing/2014/main" id="{00000000-0008-0000-0600-000063000000}"/>
            </a:ext>
          </a:extLst>
        </xdr:cNvPr>
        <xdr:cNvSpPr txBox="1"/>
      </xdr:nvSpPr>
      <xdr:spPr>
        <a:xfrm>
          <a:off x="18232610" y="8302097"/>
          <a:ext cx="96278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MCLK[1] </a:t>
          </a:r>
        </a:p>
        <a:p>
          <a:r>
            <a:rPr lang="en-US" sz="800"/>
            <a:t>1 - FCLK[1]</a:t>
          </a:r>
        </a:p>
      </xdr:txBody>
    </xdr:sp>
    <xdr:clientData/>
  </xdr:oneCellAnchor>
  <xdr:oneCellAnchor>
    <xdr:from>
      <xdr:col>33</xdr:col>
      <xdr:colOff>540308</xdr:colOff>
      <xdr:row>40</xdr:row>
      <xdr:rowOff>201379</xdr:rowOff>
    </xdr:from>
    <xdr:ext cx="1086398" cy="689741"/>
    <xdr:sp macro="" textlink="">
      <xdr:nvSpPr>
        <xdr:cNvPr id="100" name="TextBox 99">
          <a:extLst>
            <a:ext uri="{FF2B5EF4-FFF2-40B4-BE49-F238E27FC236}">
              <a16:creationId xmlns:a16="http://schemas.microsoft.com/office/drawing/2014/main" id="{00000000-0008-0000-0600-000064000000}"/>
            </a:ext>
          </a:extLst>
        </xdr:cNvPr>
        <xdr:cNvSpPr txBox="1"/>
      </xdr:nvSpPr>
      <xdr:spPr>
        <a:xfrm>
          <a:off x="20766438" y="7995314"/>
          <a:ext cx="1086398"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FCLK_MCLK[1]</a:t>
          </a:r>
        </a:p>
        <a:p>
          <a:r>
            <a:rPr lang="en-US" sz="800"/>
            <a:t>1 - FCLK_MCLK[1]</a:t>
          </a:r>
        </a:p>
        <a:p>
          <a:r>
            <a:rPr lang="en-US" sz="800"/>
            <a:t>2</a:t>
          </a:r>
          <a:r>
            <a:rPr lang="en-US" sz="800" baseline="0"/>
            <a:t> - MCLK[0]</a:t>
          </a:r>
        </a:p>
        <a:p>
          <a:r>
            <a:rPr lang="en-US" sz="800" baseline="0"/>
            <a:t>3 - MCLK[2]</a:t>
          </a:r>
          <a:endParaRPr lang="en-US" sz="800"/>
        </a:p>
      </xdr:txBody>
    </xdr:sp>
    <xdr:clientData/>
  </xdr:oneCellAnchor>
  <xdr:twoCellAnchor>
    <xdr:from>
      <xdr:col>9</xdr:col>
      <xdr:colOff>292322</xdr:colOff>
      <xdr:row>24</xdr:row>
      <xdr:rowOff>103346</xdr:rowOff>
    </xdr:from>
    <xdr:to>
      <xdr:col>28</xdr:col>
      <xdr:colOff>323022</xdr:colOff>
      <xdr:row>24</xdr:row>
      <xdr:rowOff>103346</xdr:rowOff>
    </xdr:to>
    <xdr:cxnSp macro="">
      <xdr:nvCxnSpPr>
        <xdr:cNvPr id="101" name="Straight Arrow Connector 100">
          <a:extLst>
            <a:ext uri="{FF2B5EF4-FFF2-40B4-BE49-F238E27FC236}">
              <a16:creationId xmlns:a16="http://schemas.microsoft.com/office/drawing/2014/main" id="{00000000-0008-0000-0600-000065000000}"/>
            </a:ext>
          </a:extLst>
        </xdr:cNvPr>
        <xdr:cNvCxnSpPr/>
      </xdr:nvCxnSpPr>
      <xdr:spPr>
        <a:xfrm>
          <a:off x="5808539" y="4791303"/>
          <a:ext cx="11676048" cy="0"/>
        </a:xfrm>
        <a:prstGeom prst="straightConnector1">
          <a:avLst/>
        </a:prstGeom>
        <a:ln w="19050">
          <a:solidFill>
            <a:schemeClr val="accent1">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314739</xdr:colOff>
      <xdr:row>19</xdr:row>
      <xdr:rowOff>56964</xdr:rowOff>
    </xdr:from>
    <xdr:to>
      <xdr:col>29</xdr:col>
      <xdr:colOff>392596</xdr:colOff>
      <xdr:row>19</xdr:row>
      <xdr:rowOff>56964</xdr:rowOff>
    </xdr:to>
    <xdr:cxnSp macro="">
      <xdr:nvCxnSpPr>
        <xdr:cNvPr id="104" name="Straight Arrow Connector 103">
          <a:extLst>
            <a:ext uri="{FF2B5EF4-FFF2-40B4-BE49-F238E27FC236}">
              <a16:creationId xmlns:a16="http://schemas.microsoft.com/office/drawing/2014/main" id="{00000000-0008-0000-0600-000068000000}"/>
            </a:ext>
          </a:extLst>
        </xdr:cNvPr>
        <xdr:cNvCxnSpPr/>
      </xdr:nvCxnSpPr>
      <xdr:spPr>
        <a:xfrm>
          <a:off x="17476304" y="3751007"/>
          <a:ext cx="690770" cy="0"/>
        </a:xfrm>
        <a:prstGeom prst="straightConnector1">
          <a:avLst/>
        </a:prstGeom>
        <a:ln w="19050">
          <a:solidFill>
            <a:schemeClr val="accent1">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314740</xdr:colOff>
      <xdr:row>19</xdr:row>
      <xdr:rowOff>57979</xdr:rowOff>
    </xdr:from>
    <xdr:to>
      <xdr:col>28</xdr:col>
      <xdr:colOff>314740</xdr:colOff>
      <xdr:row>24</xdr:row>
      <xdr:rowOff>107673</xdr:rowOff>
    </xdr:to>
    <xdr:cxnSp macro="">
      <xdr:nvCxnSpPr>
        <xdr:cNvPr id="107" name="Straight Arrow Connector 106">
          <a:extLst>
            <a:ext uri="{FF2B5EF4-FFF2-40B4-BE49-F238E27FC236}">
              <a16:creationId xmlns:a16="http://schemas.microsoft.com/office/drawing/2014/main" id="{00000000-0008-0000-0600-00006B000000}"/>
            </a:ext>
          </a:extLst>
        </xdr:cNvPr>
        <xdr:cNvCxnSpPr/>
      </xdr:nvCxnSpPr>
      <xdr:spPr>
        <a:xfrm>
          <a:off x="17476305" y="3752022"/>
          <a:ext cx="0" cy="1043608"/>
        </a:xfrm>
        <a:prstGeom prst="straightConnector1">
          <a:avLst/>
        </a:prstGeom>
        <a:ln w="19050">
          <a:solidFill>
            <a:schemeClr val="accent1">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297146</xdr:colOff>
      <xdr:row>44</xdr:row>
      <xdr:rowOff>136347</xdr:rowOff>
    </xdr:from>
    <xdr:to>
      <xdr:col>28</xdr:col>
      <xdr:colOff>281609</xdr:colOff>
      <xdr:row>44</xdr:row>
      <xdr:rowOff>136347</xdr:rowOff>
    </xdr:to>
    <xdr:cxnSp macro="">
      <xdr:nvCxnSpPr>
        <xdr:cNvPr id="112" name="Straight Arrow Connector 111">
          <a:extLst>
            <a:ext uri="{FF2B5EF4-FFF2-40B4-BE49-F238E27FC236}">
              <a16:creationId xmlns:a16="http://schemas.microsoft.com/office/drawing/2014/main" id="{00000000-0008-0000-0600-000070000000}"/>
            </a:ext>
          </a:extLst>
        </xdr:cNvPr>
        <xdr:cNvCxnSpPr/>
      </xdr:nvCxnSpPr>
      <xdr:spPr>
        <a:xfrm>
          <a:off x="7039189" y="8717130"/>
          <a:ext cx="10403985" cy="0"/>
        </a:xfrm>
        <a:prstGeom prst="straightConnector1">
          <a:avLst/>
        </a:prstGeom>
        <a:ln w="19050">
          <a:solidFill>
            <a:schemeClr val="accent6"/>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280586</xdr:colOff>
      <xdr:row>39</xdr:row>
      <xdr:rowOff>149087</xdr:rowOff>
    </xdr:from>
    <xdr:to>
      <xdr:col>28</xdr:col>
      <xdr:colOff>280586</xdr:colOff>
      <xdr:row>44</xdr:row>
      <xdr:rowOff>152914</xdr:rowOff>
    </xdr:to>
    <xdr:cxnSp macro="">
      <xdr:nvCxnSpPr>
        <xdr:cNvPr id="116" name="Straight Arrow Connector 115">
          <a:extLst>
            <a:ext uri="{FF2B5EF4-FFF2-40B4-BE49-F238E27FC236}">
              <a16:creationId xmlns:a16="http://schemas.microsoft.com/office/drawing/2014/main" id="{00000000-0008-0000-0600-000074000000}"/>
            </a:ext>
          </a:extLst>
        </xdr:cNvPr>
        <xdr:cNvCxnSpPr/>
      </xdr:nvCxnSpPr>
      <xdr:spPr>
        <a:xfrm flipV="1">
          <a:off x="17442151" y="7735957"/>
          <a:ext cx="0" cy="997740"/>
        </a:xfrm>
        <a:prstGeom prst="straightConnector1">
          <a:avLst/>
        </a:prstGeom>
        <a:ln w="19050">
          <a:solidFill>
            <a:schemeClr val="accent6"/>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276640</xdr:colOff>
      <xdr:row>39</xdr:row>
      <xdr:rowOff>157882</xdr:rowOff>
    </xdr:from>
    <xdr:to>
      <xdr:col>29</xdr:col>
      <xdr:colOff>364435</xdr:colOff>
      <xdr:row>39</xdr:row>
      <xdr:rowOff>157882</xdr:rowOff>
    </xdr:to>
    <xdr:cxnSp macro="">
      <xdr:nvCxnSpPr>
        <xdr:cNvPr id="118" name="Straight Arrow Connector 117">
          <a:extLst>
            <a:ext uri="{FF2B5EF4-FFF2-40B4-BE49-F238E27FC236}">
              <a16:creationId xmlns:a16="http://schemas.microsoft.com/office/drawing/2014/main" id="{00000000-0008-0000-0600-000076000000}"/>
            </a:ext>
          </a:extLst>
        </xdr:cNvPr>
        <xdr:cNvCxnSpPr/>
      </xdr:nvCxnSpPr>
      <xdr:spPr>
        <a:xfrm>
          <a:off x="17438205" y="7744752"/>
          <a:ext cx="700708" cy="0"/>
        </a:xfrm>
        <a:prstGeom prst="straightConnector1">
          <a:avLst/>
        </a:prstGeom>
        <a:ln w="19050">
          <a:solidFill>
            <a:schemeClr val="accent6"/>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295635</xdr:colOff>
      <xdr:row>46</xdr:row>
      <xdr:rowOff>114942</xdr:rowOff>
    </xdr:from>
    <xdr:to>
      <xdr:col>36</xdr:col>
      <xdr:colOff>354724</xdr:colOff>
      <xdr:row>46</xdr:row>
      <xdr:rowOff>114942</xdr:rowOff>
    </xdr:to>
    <xdr:cxnSp macro="">
      <xdr:nvCxnSpPr>
        <xdr:cNvPr id="120" name="Straight Arrow Connector 119">
          <a:extLst>
            <a:ext uri="{FF2B5EF4-FFF2-40B4-BE49-F238E27FC236}">
              <a16:creationId xmlns:a16="http://schemas.microsoft.com/office/drawing/2014/main" id="{00000000-0008-0000-0600-000078000000}"/>
            </a:ext>
          </a:extLst>
        </xdr:cNvPr>
        <xdr:cNvCxnSpPr/>
      </xdr:nvCxnSpPr>
      <xdr:spPr>
        <a:xfrm>
          <a:off x="5793859" y="9344339"/>
          <a:ext cx="16553762" cy="0"/>
        </a:xfrm>
        <a:prstGeom prst="straightConnector1">
          <a:avLst/>
        </a:prstGeom>
        <a:ln w="19050">
          <a:solidFill>
            <a:schemeClr val="accent1">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127553</xdr:colOff>
      <xdr:row>39</xdr:row>
      <xdr:rowOff>99391</xdr:rowOff>
    </xdr:from>
    <xdr:to>
      <xdr:col>33</xdr:col>
      <xdr:colOff>127553</xdr:colOff>
      <xdr:row>46</xdr:row>
      <xdr:rowOff>127551</xdr:rowOff>
    </xdr:to>
    <xdr:cxnSp macro="">
      <xdr:nvCxnSpPr>
        <xdr:cNvPr id="122" name="Straight Arrow Connector 121">
          <a:extLst>
            <a:ext uri="{FF2B5EF4-FFF2-40B4-BE49-F238E27FC236}">
              <a16:creationId xmlns:a16="http://schemas.microsoft.com/office/drawing/2014/main" id="{00000000-0008-0000-0600-00007A000000}"/>
            </a:ext>
          </a:extLst>
        </xdr:cNvPr>
        <xdr:cNvCxnSpPr/>
      </xdr:nvCxnSpPr>
      <xdr:spPr>
        <a:xfrm>
          <a:off x="20353683" y="7686261"/>
          <a:ext cx="0" cy="1403073"/>
        </a:xfrm>
        <a:prstGeom prst="straightConnector1">
          <a:avLst/>
        </a:prstGeom>
        <a:ln w="19050">
          <a:solidFill>
            <a:schemeClr val="accent1">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127552</xdr:colOff>
      <xdr:row>39</xdr:row>
      <xdr:rowOff>109972</xdr:rowOff>
    </xdr:from>
    <xdr:to>
      <xdr:col>33</xdr:col>
      <xdr:colOff>414131</xdr:colOff>
      <xdr:row>39</xdr:row>
      <xdr:rowOff>109972</xdr:rowOff>
    </xdr:to>
    <xdr:cxnSp macro="">
      <xdr:nvCxnSpPr>
        <xdr:cNvPr id="124" name="Straight Arrow Connector 123">
          <a:extLst>
            <a:ext uri="{FF2B5EF4-FFF2-40B4-BE49-F238E27FC236}">
              <a16:creationId xmlns:a16="http://schemas.microsoft.com/office/drawing/2014/main" id="{00000000-0008-0000-0600-00007C000000}"/>
            </a:ext>
          </a:extLst>
        </xdr:cNvPr>
        <xdr:cNvCxnSpPr/>
      </xdr:nvCxnSpPr>
      <xdr:spPr>
        <a:xfrm>
          <a:off x="20353682" y="7696842"/>
          <a:ext cx="286579" cy="0"/>
        </a:xfrm>
        <a:prstGeom prst="straightConnector1">
          <a:avLst/>
        </a:prstGeom>
        <a:ln w="19050">
          <a:solidFill>
            <a:schemeClr val="accent1">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297146</xdr:colOff>
      <xdr:row>47</xdr:row>
      <xdr:rowOff>152910</xdr:rowOff>
    </xdr:from>
    <xdr:to>
      <xdr:col>36</xdr:col>
      <xdr:colOff>361293</xdr:colOff>
      <xdr:row>47</xdr:row>
      <xdr:rowOff>152910</xdr:rowOff>
    </xdr:to>
    <xdr:cxnSp macro="">
      <xdr:nvCxnSpPr>
        <xdr:cNvPr id="126" name="Straight Arrow Connector 125">
          <a:extLst>
            <a:ext uri="{FF2B5EF4-FFF2-40B4-BE49-F238E27FC236}">
              <a16:creationId xmlns:a16="http://schemas.microsoft.com/office/drawing/2014/main" id="{00000000-0008-0000-0600-00007E000000}"/>
            </a:ext>
          </a:extLst>
        </xdr:cNvPr>
        <xdr:cNvCxnSpPr/>
      </xdr:nvCxnSpPr>
      <xdr:spPr>
        <a:xfrm>
          <a:off x="8239025" y="9572807"/>
          <a:ext cx="14115165" cy="0"/>
        </a:xfrm>
        <a:prstGeom prst="straightConnector1">
          <a:avLst/>
        </a:prstGeom>
        <a:ln w="19050">
          <a:solidFill>
            <a:schemeClr val="accent1">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536713</xdr:colOff>
      <xdr:row>39</xdr:row>
      <xdr:rowOff>198782</xdr:rowOff>
    </xdr:from>
    <xdr:to>
      <xdr:col>33</xdr:col>
      <xdr:colOff>536713</xdr:colOff>
      <xdr:row>47</xdr:row>
      <xdr:rowOff>144121</xdr:rowOff>
    </xdr:to>
    <xdr:cxnSp macro="">
      <xdr:nvCxnSpPr>
        <xdr:cNvPr id="127" name="Straight Arrow Connector 126">
          <a:extLst>
            <a:ext uri="{FF2B5EF4-FFF2-40B4-BE49-F238E27FC236}">
              <a16:creationId xmlns:a16="http://schemas.microsoft.com/office/drawing/2014/main" id="{00000000-0008-0000-0600-00007F000000}"/>
            </a:ext>
          </a:extLst>
        </xdr:cNvPr>
        <xdr:cNvCxnSpPr/>
      </xdr:nvCxnSpPr>
      <xdr:spPr>
        <a:xfrm flipV="1">
          <a:off x="20762843" y="7785652"/>
          <a:ext cx="0" cy="1510752"/>
        </a:xfrm>
        <a:prstGeom prst="straightConnector1">
          <a:avLst/>
        </a:prstGeom>
        <a:ln w="19050">
          <a:solidFill>
            <a:schemeClr val="accent1">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31</xdr:col>
      <xdr:colOff>279806</xdr:colOff>
      <xdr:row>53</xdr:row>
      <xdr:rowOff>117712</xdr:rowOff>
    </xdr:from>
    <xdr:ext cx="1371601" cy="410818"/>
    <xdr:sp macro="" textlink="">
      <xdr:nvSpPr>
        <xdr:cNvPr id="172" name="TextBox 171">
          <a:extLst>
            <a:ext uri="{FF2B5EF4-FFF2-40B4-BE49-F238E27FC236}">
              <a16:creationId xmlns:a16="http://schemas.microsoft.com/office/drawing/2014/main" id="{00000000-0008-0000-0600-0000AC000000}"/>
            </a:ext>
          </a:extLst>
        </xdr:cNvPr>
        <xdr:cNvSpPr txBox="1"/>
      </xdr:nvSpPr>
      <xdr:spPr>
        <a:xfrm>
          <a:off x="19131979" y="10456000"/>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FCLK_MCLK[2]</a:t>
          </a:r>
        </a:p>
      </xdr:txBody>
    </xdr:sp>
    <xdr:clientData/>
  </xdr:oneCellAnchor>
  <xdr:oneCellAnchor>
    <xdr:from>
      <xdr:col>27</xdr:col>
      <xdr:colOff>342754</xdr:colOff>
      <xdr:row>53</xdr:row>
      <xdr:rowOff>180660</xdr:rowOff>
    </xdr:from>
    <xdr:ext cx="1143002" cy="273325"/>
    <xdr:sp macro="" textlink="">
      <xdr:nvSpPr>
        <xdr:cNvPr id="173" name="TextBox 172">
          <a:extLst>
            <a:ext uri="{FF2B5EF4-FFF2-40B4-BE49-F238E27FC236}">
              <a16:creationId xmlns:a16="http://schemas.microsoft.com/office/drawing/2014/main" id="{00000000-0008-0000-0600-0000AD000000}"/>
            </a:ext>
          </a:extLst>
        </xdr:cNvPr>
        <xdr:cNvSpPr txBox="1"/>
      </xdr:nvSpPr>
      <xdr:spPr>
        <a:xfrm>
          <a:off x="16762389" y="10518948"/>
          <a:ext cx="1143002" cy="273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FCLK[2]</a:t>
          </a:r>
        </a:p>
      </xdr:txBody>
    </xdr:sp>
    <xdr:clientData/>
  </xdr:oneCellAnchor>
  <xdr:twoCellAnchor>
    <xdr:from>
      <xdr:col>17</xdr:col>
      <xdr:colOff>396551</xdr:colOff>
      <xdr:row>53</xdr:row>
      <xdr:rowOff>4873</xdr:rowOff>
    </xdr:from>
    <xdr:to>
      <xdr:col>19</xdr:col>
      <xdr:colOff>186608</xdr:colOff>
      <xdr:row>57</xdr:row>
      <xdr:rowOff>163773</xdr:rowOff>
    </xdr:to>
    <xdr:sp macro="" textlink="">
      <xdr:nvSpPr>
        <xdr:cNvPr id="174" name="Rectangle 173">
          <a:extLst>
            <a:ext uri="{FF2B5EF4-FFF2-40B4-BE49-F238E27FC236}">
              <a16:creationId xmlns:a16="http://schemas.microsoft.com/office/drawing/2014/main" id="{00000000-0008-0000-0600-0000AE000000}"/>
            </a:ext>
          </a:extLst>
        </xdr:cNvPr>
        <xdr:cNvSpPr/>
      </xdr:nvSpPr>
      <xdr:spPr>
        <a:xfrm>
          <a:off x="10734839" y="10343161"/>
          <a:ext cx="1006327" cy="920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FCLK[2] Input</a:t>
          </a:r>
          <a:r>
            <a:rPr lang="en-US" sz="1100" baseline="0"/>
            <a:t> Clock Selector</a:t>
          </a:r>
        </a:p>
        <a:p>
          <a:pPr algn="ctr"/>
          <a:r>
            <a:rPr lang="en-US" sz="900" baseline="0"/>
            <a:t>I2S2_MCR[MICS]</a:t>
          </a:r>
          <a:endParaRPr lang="en-US" sz="900"/>
        </a:p>
      </xdr:txBody>
    </xdr:sp>
    <xdr:clientData/>
  </xdr:twoCellAnchor>
  <xdr:twoCellAnchor>
    <xdr:from>
      <xdr:col>21</xdr:col>
      <xdr:colOff>371703</xdr:colOff>
      <xdr:row>53</xdr:row>
      <xdr:rowOff>7952</xdr:rowOff>
    </xdr:from>
    <xdr:to>
      <xdr:col>23</xdr:col>
      <xdr:colOff>161761</xdr:colOff>
      <xdr:row>57</xdr:row>
      <xdr:rowOff>166852</xdr:rowOff>
    </xdr:to>
    <xdr:sp macro="" textlink="">
      <xdr:nvSpPr>
        <xdr:cNvPr id="175" name="Rectangle 174">
          <a:extLst>
            <a:ext uri="{FF2B5EF4-FFF2-40B4-BE49-F238E27FC236}">
              <a16:creationId xmlns:a16="http://schemas.microsoft.com/office/drawing/2014/main" id="{00000000-0008-0000-0600-0000AF000000}"/>
            </a:ext>
          </a:extLst>
        </xdr:cNvPr>
        <xdr:cNvSpPr/>
      </xdr:nvSpPr>
      <xdr:spPr>
        <a:xfrm>
          <a:off x="13142530" y="10346240"/>
          <a:ext cx="1006327" cy="920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Muliplier Numerator</a:t>
          </a:r>
        </a:p>
        <a:p>
          <a:pPr algn="ctr"/>
          <a:r>
            <a:rPr lang="en-US" sz="800"/>
            <a:t>I2S2_MDR[FRACT]</a:t>
          </a:r>
        </a:p>
      </xdr:txBody>
    </xdr:sp>
    <xdr:clientData/>
  </xdr:twoCellAnchor>
  <xdr:twoCellAnchor>
    <xdr:from>
      <xdr:col>19</xdr:col>
      <xdr:colOff>186608</xdr:colOff>
      <xdr:row>55</xdr:row>
      <xdr:rowOff>53582</xdr:rowOff>
    </xdr:from>
    <xdr:to>
      <xdr:col>21</xdr:col>
      <xdr:colOff>371703</xdr:colOff>
      <xdr:row>55</xdr:row>
      <xdr:rowOff>56661</xdr:rowOff>
    </xdr:to>
    <xdr:cxnSp macro="">
      <xdr:nvCxnSpPr>
        <xdr:cNvPr id="176" name="Straight Arrow Connector 175">
          <a:extLst>
            <a:ext uri="{FF2B5EF4-FFF2-40B4-BE49-F238E27FC236}">
              <a16:creationId xmlns:a16="http://schemas.microsoft.com/office/drawing/2014/main" id="{00000000-0008-0000-0600-0000B0000000}"/>
            </a:ext>
          </a:extLst>
        </xdr:cNvPr>
        <xdr:cNvCxnSpPr>
          <a:stCxn id="174" idx="3"/>
          <a:endCxn id="175" idx="1"/>
        </xdr:cNvCxnSpPr>
      </xdr:nvCxnSpPr>
      <xdr:spPr>
        <a:xfrm>
          <a:off x="11741166" y="10772870"/>
          <a:ext cx="1401364" cy="307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405030</xdr:colOff>
      <xdr:row>53</xdr:row>
      <xdr:rowOff>11524</xdr:rowOff>
    </xdr:from>
    <xdr:to>
      <xdr:col>27</xdr:col>
      <xdr:colOff>195087</xdr:colOff>
      <xdr:row>57</xdr:row>
      <xdr:rowOff>170424</xdr:rowOff>
    </xdr:to>
    <xdr:sp macro="" textlink="">
      <xdr:nvSpPr>
        <xdr:cNvPr id="177" name="Rectangle 176">
          <a:extLst>
            <a:ext uri="{FF2B5EF4-FFF2-40B4-BE49-F238E27FC236}">
              <a16:creationId xmlns:a16="http://schemas.microsoft.com/office/drawing/2014/main" id="{00000000-0008-0000-0600-0000B1000000}"/>
            </a:ext>
          </a:extLst>
        </xdr:cNvPr>
        <xdr:cNvSpPr/>
      </xdr:nvSpPr>
      <xdr:spPr>
        <a:xfrm>
          <a:off x="15608395" y="10349812"/>
          <a:ext cx="1006327" cy="920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 Multiplier</a:t>
          </a:r>
          <a:r>
            <a:rPr lang="en-US" sz="1100" baseline="0"/>
            <a:t> </a:t>
          </a:r>
          <a:r>
            <a:rPr lang="en-US" sz="1100"/>
            <a:t>Denominator</a:t>
          </a:r>
        </a:p>
        <a:p>
          <a:pPr algn="ctr"/>
          <a:r>
            <a:rPr lang="en-US" sz="800"/>
            <a:t>I2S2_MDR[DIVIDE]</a:t>
          </a:r>
        </a:p>
      </xdr:txBody>
    </xdr:sp>
    <xdr:clientData/>
  </xdr:twoCellAnchor>
  <xdr:twoCellAnchor>
    <xdr:from>
      <xdr:col>23</xdr:col>
      <xdr:colOff>161761</xdr:colOff>
      <xdr:row>55</xdr:row>
      <xdr:rowOff>42007</xdr:rowOff>
    </xdr:from>
    <xdr:to>
      <xdr:col>25</xdr:col>
      <xdr:colOff>405030</xdr:colOff>
      <xdr:row>55</xdr:row>
      <xdr:rowOff>45579</xdr:rowOff>
    </xdr:to>
    <xdr:cxnSp macro="">
      <xdr:nvCxnSpPr>
        <xdr:cNvPr id="178" name="Straight Arrow Connector 177">
          <a:extLst>
            <a:ext uri="{FF2B5EF4-FFF2-40B4-BE49-F238E27FC236}">
              <a16:creationId xmlns:a16="http://schemas.microsoft.com/office/drawing/2014/main" id="{00000000-0008-0000-0600-0000B2000000}"/>
            </a:ext>
          </a:extLst>
        </xdr:cNvPr>
        <xdr:cNvCxnSpPr>
          <a:stCxn id="175" idx="3"/>
          <a:endCxn id="177" idx="1"/>
        </xdr:cNvCxnSpPr>
      </xdr:nvCxnSpPr>
      <xdr:spPr>
        <a:xfrm>
          <a:off x="14148857" y="10761295"/>
          <a:ext cx="1459538" cy="3572"/>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195087</xdr:colOff>
      <xdr:row>55</xdr:row>
      <xdr:rowOff>58003</xdr:rowOff>
    </xdr:from>
    <xdr:to>
      <xdr:col>29</xdr:col>
      <xdr:colOff>396219</xdr:colOff>
      <xdr:row>55</xdr:row>
      <xdr:rowOff>58264</xdr:rowOff>
    </xdr:to>
    <xdr:cxnSp macro="">
      <xdr:nvCxnSpPr>
        <xdr:cNvPr id="179" name="Straight Arrow Connector 178">
          <a:extLst>
            <a:ext uri="{FF2B5EF4-FFF2-40B4-BE49-F238E27FC236}">
              <a16:creationId xmlns:a16="http://schemas.microsoft.com/office/drawing/2014/main" id="{00000000-0008-0000-0600-0000B3000000}"/>
            </a:ext>
          </a:extLst>
        </xdr:cNvPr>
        <xdr:cNvCxnSpPr>
          <a:stCxn id="177" idx="3"/>
          <a:endCxn id="181" idx="1"/>
        </xdr:cNvCxnSpPr>
      </xdr:nvCxnSpPr>
      <xdr:spPr>
        <a:xfrm>
          <a:off x="16614722" y="10777291"/>
          <a:ext cx="1417401" cy="261"/>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19</xdr:col>
      <xdr:colOff>323642</xdr:colOff>
      <xdr:row>53</xdr:row>
      <xdr:rowOff>151670</xdr:rowOff>
    </xdr:from>
    <xdr:ext cx="1201407" cy="298620"/>
    <xdr:sp macro="" textlink="">
      <xdr:nvSpPr>
        <xdr:cNvPr id="180" name="TextBox 179">
          <a:extLst>
            <a:ext uri="{FF2B5EF4-FFF2-40B4-BE49-F238E27FC236}">
              <a16:creationId xmlns:a16="http://schemas.microsoft.com/office/drawing/2014/main" id="{00000000-0008-0000-0600-0000B4000000}"/>
            </a:ext>
          </a:extLst>
        </xdr:cNvPr>
        <xdr:cNvSpPr txBox="1"/>
      </xdr:nvSpPr>
      <xdr:spPr>
        <a:xfrm>
          <a:off x="11878200" y="10489958"/>
          <a:ext cx="1201407" cy="2986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FCLK_IN[2]</a:t>
          </a:r>
        </a:p>
      </xdr:txBody>
    </xdr:sp>
    <xdr:clientData/>
  </xdr:oneCellAnchor>
  <xdr:twoCellAnchor>
    <xdr:from>
      <xdr:col>29</xdr:col>
      <xdr:colOff>396219</xdr:colOff>
      <xdr:row>53</xdr:row>
      <xdr:rowOff>11785</xdr:rowOff>
    </xdr:from>
    <xdr:to>
      <xdr:col>31</xdr:col>
      <xdr:colOff>186277</xdr:colOff>
      <xdr:row>57</xdr:row>
      <xdr:rowOff>170685</xdr:rowOff>
    </xdr:to>
    <xdr:sp macro="" textlink="">
      <xdr:nvSpPr>
        <xdr:cNvPr id="181" name="Rectangle 180">
          <a:extLst>
            <a:ext uri="{FF2B5EF4-FFF2-40B4-BE49-F238E27FC236}">
              <a16:creationId xmlns:a16="http://schemas.microsoft.com/office/drawing/2014/main" id="{00000000-0008-0000-0600-0000B5000000}"/>
            </a:ext>
          </a:extLst>
        </xdr:cNvPr>
        <xdr:cNvSpPr/>
      </xdr:nvSpPr>
      <xdr:spPr>
        <a:xfrm>
          <a:off x="18032123" y="10350073"/>
          <a:ext cx="1006327" cy="920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solidFill>
              <a:effectLst/>
              <a:uLnTx/>
              <a:uFillTx/>
              <a:latin typeface="+mn-lt"/>
              <a:ea typeface="+mn-ea"/>
              <a:cs typeface="+mn-cs"/>
            </a:rPr>
            <a:t>SAI Bypass Select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prstClr val="white"/>
              </a:solidFill>
              <a:effectLst/>
              <a:uLnTx/>
              <a:uFillTx/>
              <a:latin typeface="+mn-lt"/>
              <a:ea typeface="+mn-ea"/>
              <a:cs typeface="+mn-cs"/>
            </a:rPr>
            <a:t>I2S2_MCR[MOE]</a:t>
          </a:r>
        </a:p>
      </xdr:txBody>
    </xdr:sp>
    <xdr:clientData/>
  </xdr:twoCellAnchor>
  <xdr:twoCellAnchor>
    <xdr:from>
      <xdr:col>31</xdr:col>
      <xdr:colOff>198400</xdr:colOff>
      <xdr:row>55</xdr:row>
      <xdr:rowOff>77881</xdr:rowOff>
    </xdr:from>
    <xdr:to>
      <xdr:col>33</xdr:col>
      <xdr:colOff>415015</xdr:colOff>
      <xdr:row>55</xdr:row>
      <xdr:rowOff>81200</xdr:rowOff>
    </xdr:to>
    <xdr:cxnSp macro="">
      <xdr:nvCxnSpPr>
        <xdr:cNvPr id="182" name="Straight Arrow Connector 181">
          <a:extLst>
            <a:ext uri="{FF2B5EF4-FFF2-40B4-BE49-F238E27FC236}">
              <a16:creationId xmlns:a16="http://schemas.microsoft.com/office/drawing/2014/main" id="{00000000-0008-0000-0600-0000B6000000}"/>
            </a:ext>
          </a:extLst>
        </xdr:cNvPr>
        <xdr:cNvCxnSpPr>
          <a:endCxn id="183" idx="1"/>
        </xdr:cNvCxnSpPr>
      </xdr:nvCxnSpPr>
      <xdr:spPr>
        <a:xfrm>
          <a:off x="19050573" y="10797169"/>
          <a:ext cx="1432884" cy="3319"/>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415015</xdr:colOff>
      <xdr:row>53</xdr:row>
      <xdr:rowOff>17838</xdr:rowOff>
    </xdr:from>
    <xdr:to>
      <xdr:col>35</xdr:col>
      <xdr:colOff>205072</xdr:colOff>
      <xdr:row>57</xdr:row>
      <xdr:rowOff>176738</xdr:rowOff>
    </xdr:to>
    <xdr:sp macro="" textlink="">
      <xdr:nvSpPr>
        <xdr:cNvPr id="183" name="Rectangle 182">
          <a:extLst>
            <a:ext uri="{FF2B5EF4-FFF2-40B4-BE49-F238E27FC236}">
              <a16:creationId xmlns:a16="http://schemas.microsoft.com/office/drawing/2014/main" id="{00000000-0008-0000-0600-0000B7000000}"/>
            </a:ext>
          </a:extLst>
        </xdr:cNvPr>
        <xdr:cNvSpPr/>
      </xdr:nvSpPr>
      <xdr:spPr>
        <a:xfrm>
          <a:off x="20483457" y="10356126"/>
          <a:ext cx="1006327" cy="920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MCLK Select</a:t>
          </a:r>
        </a:p>
        <a:p>
          <a:pPr algn="ctr"/>
          <a:r>
            <a:rPr lang="en-US" sz="900"/>
            <a:t>I2S2_TCR2[MSEL]</a:t>
          </a:r>
        </a:p>
      </xdr:txBody>
    </xdr:sp>
    <xdr:clientData/>
  </xdr:twoCellAnchor>
  <xdr:twoCellAnchor>
    <xdr:from>
      <xdr:col>35</xdr:col>
      <xdr:colOff>205072</xdr:colOff>
      <xdr:row>55</xdr:row>
      <xdr:rowOff>31346</xdr:rowOff>
    </xdr:from>
    <xdr:to>
      <xdr:col>37</xdr:col>
      <xdr:colOff>581025</xdr:colOff>
      <xdr:row>55</xdr:row>
      <xdr:rowOff>31346</xdr:rowOff>
    </xdr:to>
    <xdr:cxnSp macro="">
      <xdr:nvCxnSpPr>
        <xdr:cNvPr id="184" name="Straight Arrow Connector 183">
          <a:extLst>
            <a:ext uri="{FF2B5EF4-FFF2-40B4-BE49-F238E27FC236}">
              <a16:creationId xmlns:a16="http://schemas.microsoft.com/office/drawing/2014/main" id="{00000000-0008-0000-0600-0000B8000000}"/>
            </a:ext>
          </a:extLst>
        </xdr:cNvPr>
        <xdr:cNvCxnSpPr/>
      </xdr:nvCxnSpPr>
      <xdr:spPr>
        <a:xfrm>
          <a:off x="21541072" y="11280371"/>
          <a:ext cx="159515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41</xdr:col>
      <xdr:colOff>532549</xdr:colOff>
      <xdr:row>54</xdr:row>
      <xdr:rowOff>93820</xdr:rowOff>
    </xdr:from>
    <xdr:ext cx="1371601" cy="410818"/>
    <xdr:sp macro="" textlink="">
      <xdr:nvSpPr>
        <xdr:cNvPr id="185" name="TextBox 184">
          <a:extLst>
            <a:ext uri="{FF2B5EF4-FFF2-40B4-BE49-F238E27FC236}">
              <a16:creationId xmlns:a16="http://schemas.microsoft.com/office/drawing/2014/main" id="{00000000-0008-0000-0600-0000B9000000}"/>
            </a:ext>
          </a:extLst>
        </xdr:cNvPr>
        <xdr:cNvSpPr txBox="1"/>
      </xdr:nvSpPr>
      <xdr:spPr>
        <a:xfrm>
          <a:off x="25526149" y="11123770"/>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MCLK_TX_SAI2</a:t>
          </a:r>
        </a:p>
      </xdr:txBody>
    </xdr:sp>
    <xdr:clientData/>
  </xdr:oneCellAnchor>
  <xdr:twoCellAnchor>
    <xdr:from>
      <xdr:col>3</xdr:col>
      <xdr:colOff>281923</xdr:colOff>
      <xdr:row>57</xdr:row>
      <xdr:rowOff>87159</xdr:rowOff>
    </xdr:from>
    <xdr:to>
      <xdr:col>17</xdr:col>
      <xdr:colOff>373673</xdr:colOff>
      <xdr:row>57</xdr:row>
      <xdr:rowOff>87159</xdr:rowOff>
    </xdr:to>
    <xdr:cxnSp macro="">
      <xdr:nvCxnSpPr>
        <xdr:cNvPr id="186" name="Straight Arrow Connector 185">
          <a:extLst>
            <a:ext uri="{FF2B5EF4-FFF2-40B4-BE49-F238E27FC236}">
              <a16:creationId xmlns:a16="http://schemas.microsoft.com/office/drawing/2014/main" id="{00000000-0008-0000-0600-0000BA000000}"/>
            </a:ext>
          </a:extLst>
        </xdr:cNvPr>
        <xdr:cNvCxnSpPr/>
      </xdr:nvCxnSpPr>
      <xdr:spPr>
        <a:xfrm>
          <a:off x="2106327" y="11187447"/>
          <a:ext cx="8605634" cy="0"/>
        </a:xfrm>
        <a:prstGeom prst="straightConnector1">
          <a:avLst/>
        </a:prstGeom>
        <a:ln w="19050">
          <a:solidFill>
            <a:srgbClr val="FF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287518</xdr:colOff>
      <xdr:row>55</xdr:row>
      <xdr:rowOff>36512</xdr:rowOff>
    </xdr:from>
    <xdr:to>
      <xdr:col>17</xdr:col>
      <xdr:colOff>366346</xdr:colOff>
      <xdr:row>55</xdr:row>
      <xdr:rowOff>36512</xdr:rowOff>
    </xdr:to>
    <xdr:cxnSp macro="">
      <xdr:nvCxnSpPr>
        <xdr:cNvPr id="187" name="Straight Arrow Connector 186">
          <a:extLst>
            <a:ext uri="{FF2B5EF4-FFF2-40B4-BE49-F238E27FC236}">
              <a16:creationId xmlns:a16="http://schemas.microsoft.com/office/drawing/2014/main" id="{00000000-0008-0000-0600-0000BB000000}"/>
            </a:ext>
          </a:extLst>
        </xdr:cNvPr>
        <xdr:cNvCxnSpPr/>
      </xdr:nvCxnSpPr>
      <xdr:spPr>
        <a:xfrm>
          <a:off x="3328191" y="10755800"/>
          <a:ext cx="7376443" cy="0"/>
        </a:xfrm>
        <a:prstGeom prst="straightConnector1">
          <a:avLst/>
        </a:prstGeom>
        <a:ln w="19050">
          <a:solidFill>
            <a:srgbClr val="00B05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274380</xdr:colOff>
      <xdr:row>56</xdr:row>
      <xdr:rowOff>20101</xdr:rowOff>
    </xdr:from>
    <xdr:to>
      <xdr:col>17</xdr:col>
      <xdr:colOff>359020</xdr:colOff>
      <xdr:row>56</xdr:row>
      <xdr:rowOff>20101</xdr:rowOff>
    </xdr:to>
    <xdr:cxnSp macro="">
      <xdr:nvCxnSpPr>
        <xdr:cNvPr id="188" name="Straight Arrow Connector 187">
          <a:extLst>
            <a:ext uri="{FF2B5EF4-FFF2-40B4-BE49-F238E27FC236}">
              <a16:creationId xmlns:a16="http://schemas.microsoft.com/office/drawing/2014/main" id="{00000000-0008-0000-0600-0000BC000000}"/>
            </a:ext>
          </a:extLst>
        </xdr:cNvPr>
        <xdr:cNvCxnSpPr/>
      </xdr:nvCxnSpPr>
      <xdr:spPr>
        <a:xfrm>
          <a:off x="4531322" y="10929889"/>
          <a:ext cx="6165986" cy="0"/>
        </a:xfrm>
        <a:prstGeom prst="straightConnector1">
          <a:avLst/>
        </a:prstGeom>
        <a:ln w="19050">
          <a:solidFill>
            <a:srgbClr val="FFFF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33</xdr:col>
      <xdr:colOff>536802</xdr:colOff>
      <xdr:row>59</xdr:row>
      <xdr:rowOff>1638</xdr:rowOff>
    </xdr:from>
    <xdr:ext cx="1086398" cy="689741"/>
    <xdr:sp macro="" textlink="">
      <xdr:nvSpPr>
        <xdr:cNvPr id="189" name="TextBox 188">
          <a:extLst>
            <a:ext uri="{FF2B5EF4-FFF2-40B4-BE49-F238E27FC236}">
              <a16:creationId xmlns:a16="http://schemas.microsoft.com/office/drawing/2014/main" id="{00000000-0008-0000-0600-0000BD000000}"/>
            </a:ext>
          </a:extLst>
        </xdr:cNvPr>
        <xdr:cNvSpPr txBox="1"/>
      </xdr:nvSpPr>
      <xdr:spPr>
        <a:xfrm>
          <a:off x="20605244" y="11519561"/>
          <a:ext cx="1086398"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FCLK_MCLK[2]</a:t>
          </a:r>
        </a:p>
        <a:p>
          <a:r>
            <a:rPr lang="en-US" sz="800"/>
            <a:t>1 - FCLK_MCLK[2]</a:t>
          </a:r>
        </a:p>
        <a:p>
          <a:r>
            <a:rPr lang="en-US" sz="800"/>
            <a:t>2</a:t>
          </a:r>
          <a:r>
            <a:rPr lang="en-US" sz="800" baseline="0"/>
            <a:t> - MCLK[0]</a:t>
          </a:r>
        </a:p>
        <a:p>
          <a:r>
            <a:rPr lang="en-US" sz="800" baseline="0"/>
            <a:t>3 - MCLK[1]</a:t>
          </a:r>
          <a:endParaRPr lang="en-US" sz="800"/>
        </a:p>
      </xdr:txBody>
    </xdr:sp>
    <xdr:clientData/>
  </xdr:oneCellAnchor>
  <xdr:oneCellAnchor>
    <xdr:from>
      <xdr:col>29</xdr:col>
      <xdr:colOff>538918</xdr:colOff>
      <xdr:row>58</xdr:row>
      <xdr:rowOff>187084</xdr:rowOff>
    </xdr:from>
    <xdr:ext cx="962782" cy="354725"/>
    <xdr:sp macro="" textlink="">
      <xdr:nvSpPr>
        <xdr:cNvPr id="190" name="TextBox 189">
          <a:extLst>
            <a:ext uri="{FF2B5EF4-FFF2-40B4-BE49-F238E27FC236}">
              <a16:creationId xmlns:a16="http://schemas.microsoft.com/office/drawing/2014/main" id="{00000000-0008-0000-0600-0000BE000000}"/>
            </a:ext>
          </a:extLst>
        </xdr:cNvPr>
        <xdr:cNvSpPr txBox="1"/>
      </xdr:nvSpPr>
      <xdr:spPr>
        <a:xfrm>
          <a:off x="18217318" y="12064759"/>
          <a:ext cx="962782" cy="354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MCLK[2] </a:t>
          </a:r>
        </a:p>
        <a:p>
          <a:r>
            <a:rPr lang="en-US" sz="800"/>
            <a:t>1 - FCLK[2]</a:t>
          </a:r>
        </a:p>
      </xdr:txBody>
    </xdr:sp>
    <xdr:clientData/>
  </xdr:oneCellAnchor>
  <xdr:oneCellAnchor>
    <xdr:from>
      <xdr:col>17</xdr:col>
      <xdr:colOff>531269</xdr:colOff>
      <xdr:row>58</xdr:row>
      <xdr:rowOff>175765</xdr:rowOff>
    </xdr:from>
    <xdr:ext cx="939362" cy="689741"/>
    <xdr:sp macro="" textlink="">
      <xdr:nvSpPr>
        <xdr:cNvPr id="191" name="TextBox 190">
          <a:extLst>
            <a:ext uri="{FF2B5EF4-FFF2-40B4-BE49-F238E27FC236}">
              <a16:creationId xmlns:a16="http://schemas.microsoft.com/office/drawing/2014/main" id="{00000000-0008-0000-0600-0000BF000000}"/>
            </a:ext>
          </a:extLst>
        </xdr:cNvPr>
        <xdr:cNvSpPr txBox="1"/>
      </xdr:nvSpPr>
      <xdr:spPr>
        <a:xfrm>
          <a:off x="10869557" y="11503188"/>
          <a:ext cx="939362"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FMPLL</a:t>
          </a:r>
          <a:r>
            <a:rPr lang="en-US" sz="800" baseline="0"/>
            <a:t> PHI0</a:t>
          </a:r>
          <a:endParaRPr lang="en-US" sz="800"/>
        </a:p>
        <a:p>
          <a:r>
            <a:rPr lang="en-US" sz="800"/>
            <a:t>1 - MLB_CLK</a:t>
          </a:r>
        </a:p>
        <a:p>
          <a:r>
            <a:rPr lang="en-US" sz="800"/>
            <a:t>2</a:t>
          </a:r>
          <a:r>
            <a:rPr lang="en-US" sz="800" baseline="0"/>
            <a:t> - FXOSC</a:t>
          </a:r>
        </a:p>
        <a:p>
          <a:r>
            <a:rPr lang="en-US" sz="800" baseline="0"/>
            <a:t>3 - MCLK[2]</a:t>
          </a:r>
          <a:endParaRPr lang="en-US" sz="800"/>
        </a:p>
      </xdr:txBody>
    </xdr:sp>
    <xdr:clientData/>
  </xdr:oneCellAnchor>
  <xdr:twoCellAnchor>
    <xdr:from>
      <xdr:col>13</xdr:col>
      <xdr:colOff>293323</xdr:colOff>
      <xdr:row>54</xdr:row>
      <xdr:rowOff>14653</xdr:rowOff>
    </xdr:from>
    <xdr:to>
      <xdr:col>17</xdr:col>
      <xdr:colOff>359020</xdr:colOff>
      <xdr:row>54</xdr:row>
      <xdr:rowOff>14653</xdr:rowOff>
    </xdr:to>
    <xdr:cxnSp macro="">
      <xdr:nvCxnSpPr>
        <xdr:cNvPr id="192" name="Straight Arrow Connector 191">
          <a:extLst>
            <a:ext uri="{FF2B5EF4-FFF2-40B4-BE49-F238E27FC236}">
              <a16:creationId xmlns:a16="http://schemas.microsoft.com/office/drawing/2014/main" id="{00000000-0008-0000-0600-0000C0000000}"/>
            </a:ext>
          </a:extLst>
        </xdr:cNvPr>
        <xdr:cNvCxnSpPr/>
      </xdr:nvCxnSpPr>
      <xdr:spPr>
        <a:xfrm>
          <a:off x="8199073" y="10543441"/>
          <a:ext cx="2498235" cy="0"/>
        </a:xfrm>
        <a:prstGeom prst="straightConnector1">
          <a:avLst/>
        </a:prstGeom>
        <a:ln w="19050">
          <a:solidFill>
            <a:schemeClr val="accent1">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293323</xdr:colOff>
      <xdr:row>62</xdr:row>
      <xdr:rowOff>80593</xdr:rowOff>
    </xdr:from>
    <xdr:to>
      <xdr:col>29</xdr:col>
      <xdr:colOff>161192</xdr:colOff>
      <xdr:row>62</xdr:row>
      <xdr:rowOff>80593</xdr:rowOff>
    </xdr:to>
    <xdr:cxnSp macro="">
      <xdr:nvCxnSpPr>
        <xdr:cNvPr id="195" name="Straight Arrow Connector 194">
          <a:extLst>
            <a:ext uri="{FF2B5EF4-FFF2-40B4-BE49-F238E27FC236}">
              <a16:creationId xmlns:a16="http://schemas.microsoft.com/office/drawing/2014/main" id="{00000000-0008-0000-0600-0000C3000000}"/>
            </a:ext>
          </a:extLst>
        </xdr:cNvPr>
        <xdr:cNvCxnSpPr/>
      </xdr:nvCxnSpPr>
      <xdr:spPr>
        <a:xfrm>
          <a:off x="8199073" y="12235958"/>
          <a:ext cx="9598023" cy="0"/>
        </a:xfrm>
        <a:prstGeom prst="straightConnector1">
          <a:avLst/>
        </a:prstGeom>
        <a:ln w="19050">
          <a:solidFill>
            <a:schemeClr val="accent1">
              <a:lumMod val="40000"/>
              <a:lumOff val="6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143286</xdr:colOff>
      <xdr:row>57</xdr:row>
      <xdr:rowOff>79322</xdr:rowOff>
    </xdr:from>
    <xdr:to>
      <xdr:col>29</xdr:col>
      <xdr:colOff>143286</xdr:colOff>
      <xdr:row>62</xdr:row>
      <xdr:rowOff>83149</xdr:rowOff>
    </xdr:to>
    <xdr:cxnSp macro="">
      <xdr:nvCxnSpPr>
        <xdr:cNvPr id="204" name="Straight Arrow Connector 203">
          <a:extLst>
            <a:ext uri="{FF2B5EF4-FFF2-40B4-BE49-F238E27FC236}">
              <a16:creationId xmlns:a16="http://schemas.microsoft.com/office/drawing/2014/main" id="{00000000-0008-0000-0600-0000CC000000}"/>
            </a:ext>
          </a:extLst>
        </xdr:cNvPr>
        <xdr:cNvCxnSpPr/>
      </xdr:nvCxnSpPr>
      <xdr:spPr>
        <a:xfrm flipV="1">
          <a:off x="17779190" y="11230899"/>
          <a:ext cx="0" cy="1007615"/>
        </a:xfrm>
        <a:prstGeom prst="straightConnector1">
          <a:avLst/>
        </a:prstGeom>
        <a:ln w="19050">
          <a:solidFill>
            <a:schemeClr val="accent1">
              <a:lumMod val="40000"/>
              <a:lumOff val="60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29</xdr:col>
      <xdr:colOff>132012</xdr:colOff>
      <xdr:row>57</xdr:row>
      <xdr:rowOff>80790</xdr:rowOff>
    </xdr:from>
    <xdr:to>
      <xdr:col>29</xdr:col>
      <xdr:colOff>373673</xdr:colOff>
      <xdr:row>57</xdr:row>
      <xdr:rowOff>80790</xdr:rowOff>
    </xdr:to>
    <xdr:cxnSp macro="">
      <xdr:nvCxnSpPr>
        <xdr:cNvPr id="205" name="Straight Arrow Connector 204">
          <a:extLst>
            <a:ext uri="{FF2B5EF4-FFF2-40B4-BE49-F238E27FC236}">
              <a16:creationId xmlns:a16="http://schemas.microsoft.com/office/drawing/2014/main" id="{00000000-0008-0000-0600-0000CD000000}"/>
            </a:ext>
          </a:extLst>
        </xdr:cNvPr>
        <xdr:cNvCxnSpPr/>
      </xdr:nvCxnSpPr>
      <xdr:spPr>
        <a:xfrm>
          <a:off x="17767916" y="11232367"/>
          <a:ext cx="241661" cy="0"/>
        </a:xfrm>
        <a:prstGeom prst="straightConnector1">
          <a:avLst/>
        </a:prstGeom>
        <a:ln w="19050">
          <a:solidFill>
            <a:schemeClr val="accent1">
              <a:lumMod val="40000"/>
              <a:lumOff val="60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280025</xdr:colOff>
      <xdr:row>64</xdr:row>
      <xdr:rowOff>115898</xdr:rowOff>
    </xdr:from>
    <xdr:to>
      <xdr:col>36</xdr:col>
      <xdr:colOff>400706</xdr:colOff>
      <xdr:row>64</xdr:row>
      <xdr:rowOff>115898</xdr:rowOff>
    </xdr:to>
    <xdr:cxnSp macro="">
      <xdr:nvCxnSpPr>
        <xdr:cNvPr id="207" name="Straight Arrow Connector 206">
          <a:extLst>
            <a:ext uri="{FF2B5EF4-FFF2-40B4-BE49-F238E27FC236}">
              <a16:creationId xmlns:a16="http://schemas.microsoft.com/office/drawing/2014/main" id="{00000000-0008-0000-0600-0000CF000000}"/>
            </a:ext>
          </a:extLst>
        </xdr:cNvPr>
        <xdr:cNvCxnSpPr/>
      </xdr:nvCxnSpPr>
      <xdr:spPr>
        <a:xfrm>
          <a:off x="5778249" y="13056760"/>
          <a:ext cx="16615354" cy="0"/>
        </a:xfrm>
        <a:prstGeom prst="straightConnector1">
          <a:avLst/>
        </a:prstGeom>
        <a:ln w="19050">
          <a:solidFill>
            <a:schemeClr val="accent1">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109395</xdr:colOff>
      <xdr:row>57</xdr:row>
      <xdr:rowOff>95569</xdr:rowOff>
    </xdr:from>
    <xdr:to>
      <xdr:col>33</xdr:col>
      <xdr:colOff>109395</xdr:colOff>
      <xdr:row>64</xdr:row>
      <xdr:rowOff>123729</xdr:rowOff>
    </xdr:to>
    <xdr:cxnSp macro="">
      <xdr:nvCxnSpPr>
        <xdr:cNvPr id="208" name="Straight Arrow Connector 207">
          <a:extLst>
            <a:ext uri="{FF2B5EF4-FFF2-40B4-BE49-F238E27FC236}">
              <a16:creationId xmlns:a16="http://schemas.microsoft.com/office/drawing/2014/main" id="{00000000-0008-0000-0600-0000D0000000}"/>
            </a:ext>
          </a:extLst>
        </xdr:cNvPr>
        <xdr:cNvCxnSpPr/>
      </xdr:nvCxnSpPr>
      <xdr:spPr>
        <a:xfrm>
          <a:off x="20177837" y="11247146"/>
          <a:ext cx="0" cy="1412948"/>
        </a:xfrm>
        <a:prstGeom prst="straightConnector1">
          <a:avLst/>
        </a:prstGeom>
        <a:ln w="19050">
          <a:solidFill>
            <a:schemeClr val="accent1">
              <a:lumMod val="75000"/>
            </a:schemeClr>
          </a:solidFill>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102067</xdr:colOff>
      <xdr:row>57</xdr:row>
      <xdr:rowOff>91496</xdr:rowOff>
    </xdr:from>
    <xdr:to>
      <xdr:col>33</xdr:col>
      <xdr:colOff>388646</xdr:colOff>
      <xdr:row>57</xdr:row>
      <xdr:rowOff>91496</xdr:rowOff>
    </xdr:to>
    <xdr:cxnSp macro="">
      <xdr:nvCxnSpPr>
        <xdr:cNvPr id="209" name="Straight Arrow Connector 208">
          <a:extLst>
            <a:ext uri="{FF2B5EF4-FFF2-40B4-BE49-F238E27FC236}">
              <a16:creationId xmlns:a16="http://schemas.microsoft.com/office/drawing/2014/main" id="{00000000-0008-0000-0600-0000D1000000}"/>
            </a:ext>
          </a:extLst>
        </xdr:cNvPr>
        <xdr:cNvCxnSpPr/>
      </xdr:nvCxnSpPr>
      <xdr:spPr>
        <a:xfrm>
          <a:off x="20170509" y="11243073"/>
          <a:ext cx="286579" cy="0"/>
        </a:xfrm>
        <a:prstGeom prst="straightConnector1">
          <a:avLst/>
        </a:prstGeom>
        <a:ln w="19050">
          <a:solidFill>
            <a:schemeClr val="accent1">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305746</xdr:colOff>
      <xdr:row>65</xdr:row>
      <xdr:rowOff>107995</xdr:rowOff>
    </xdr:from>
    <xdr:to>
      <xdr:col>36</xdr:col>
      <xdr:colOff>394137</xdr:colOff>
      <xdr:row>65</xdr:row>
      <xdr:rowOff>107995</xdr:rowOff>
    </xdr:to>
    <xdr:cxnSp macro="">
      <xdr:nvCxnSpPr>
        <xdr:cNvPr id="210" name="Straight Arrow Connector 209">
          <a:extLst>
            <a:ext uri="{FF2B5EF4-FFF2-40B4-BE49-F238E27FC236}">
              <a16:creationId xmlns:a16="http://schemas.microsoft.com/office/drawing/2014/main" id="{00000000-0008-0000-0600-0000D2000000}"/>
            </a:ext>
          </a:extLst>
        </xdr:cNvPr>
        <xdr:cNvCxnSpPr/>
      </xdr:nvCxnSpPr>
      <xdr:spPr>
        <a:xfrm>
          <a:off x="7025798" y="13239357"/>
          <a:ext cx="15361236" cy="0"/>
        </a:xfrm>
        <a:prstGeom prst="straightConnector1">
          <a:avLst/>
        </a:prstGeom>
        <a:ln w="19050">
          <a:solidFill>
            <a:schemeClr val="accent6"/>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451016</xdr:colOff>
      <xdr:row>57</xdr:row>
      <xdr:rowOff>197827</xdr:rowOff>
    </xdr:from>
    <xdr:to>
      <xdr:col>33</xdr:col>
      <xdr:colOff>451016</xdr:colOff>
      <xdr:row>65</xdr:row>
      <xdr:rowOff>112459</xdr:rowOff>
    </xdr:to>
    <xdr:cxnSp macro="">
      <xdr:nvCxnSpPr>
        <xdr:cNvPr id="212" name="Straight Arrow Connector 211">
          <a:extLst>
            <a:ext uri="{FF2B5EF4-FFF2-40B4-BE49-F238E27FC236}">
              <a16:creationId xmlns:a16="http://schemas.microsoft.com/office/drawing/2014/main" id="{00000000-0008-0000-0600-0000D4000000}"/>
            </a:ext>
          </a:extLst>
        </xdr:cNvPr>
        <xdr:cNvCxnSpPr/>
      </xdr:nvCxnSpPr>
      <xdr:spPr>
        <a:xfrm flipV="1">
          <a:off x="20519458" y="11349404"/>
          <a:ext cx="0" cy="1489920"/>
        </a:xfrm>
        <a:prstGeom prst="straightConnector1">
          <a:avLst/>
        </a:prstGeom>
        <a:ln w="19050">
          <a:solidFill>
            <a:schemeClr val="accent6"/>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xdr:col>
      <xdr:colOff>411805</xdr:colOff>
      <xdr:row>69</xdr:row>
      <xdr:rowOff>132734</xdr:rowOff>
    </xdr:from>
    <xdr:ext cx="1057275" cy="419101"/>
    <xdr:sp macro="" textlink="">
      <xdr:nvSpPr>
        <xdr:cNvPr id="222" name="TextBox 221">
          <a:hlinkClick xmlns:r="http://schemas.openxmlformats.org/officeDocument/2006/relationships" r:id="rId1"/>
          <a:extLst>
            <a:ext uri="{FF2B5EF4-FFF2-40B4-BE49-F238E27FC236}">
              <a16:creationId xmlns:a16="http://schemas.microsoft.com/office/drawing/2014/main" id="{00000000-0008-0000-0600-0000DE000000}"/>
            </a:ext>
          </a:extLst>
        </xdr:cNvPr>
        <xdr:cNvSpPr txBox="1"/>
      </xdr:nvSpPr>
      <xdr:spPr>
        <a:xfrm>
          <a:off x="1622040" y="14252146"/>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FXOSC</a:t>
          </a:r>
        </a:p>
      </xdr:txBody>
    </xdr:sp>
    <xdr:clientData/>
  </xdr:oneCellAnchor>
  <xdr:oneCellAnchor>
    <xdr:from>
      <xdr:col>4</xdr:col>
      <xdr:colOff>388673</xdr:colOff>
      <xdr:row>69</xdr:row>
      <xdr:rowOff>104559</xdr:rowOff>
    </xdr:from>
    <xdr:ext cx="1057275" cy="419101"/>
    <xdr:sp macro="" textlink="">
      <xdr:nvSpPr>
        <xdr:cNvPr id="223" name="TextBox 222">
          <a:hlinkClick xmlns:r="http://schemas.openxmlformats.org/officeDocument/2006/relationships" r:id="rId2"/>
          <a:extLst>
            <a:ext uri="{FF2B5EF4-FFF2-40B4-BE49-F238E27FC236}">
              <a16:creationId xmlns:a16="http://schemas.microsoft.com/office/drawing/2014/main" id="{00000000-0008-0000-0600-0000DF000000}"/>
            </a:ext>
          </a:extLst>
        </xdr:cNvPr>
        <xdr:cNvSpPr txBox="1"/>
      </xdr:nvSpPr>
      <xdr:spPr>
        <a:xfrm>
          <a:off x="2821211" y="1360075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FMPLL PHI0</a:t>
          </a:r>
        </a:p>
      </xdr:txBody>
    </xdr:sp>
    <xdr:clientData/>
  </xdr:oneCellAnchor>
  <xdr:oneCellAnchor>
    <xdr:from>
      <xdr:col>6</xdr:col>
      <xdr:colOff>394116</xdr:colOff>
      <xdr:row>69</xdr:row>
      <xdr:rowOff>104559</xdr:rowOff>
    </xdr:from>
    <xdr:ext cx="1057275" cy="419101"/>
    <xdr:sp macro="" textlink="">
      <xdr:nvSpPr>
        <xdr:cNvPr id="224" name="TextBox 223">
          <a:hlinkClick xmlns:r="http://schemas.openxmlformats.org/officeDocument/2006/relationships" r:id="rId3"/>
          <a:extLst>
            <a:ext uri="{FF2B5EF4-FFF2-40B4-BE49-F238E27FC236}">
              <a16:creationId xmlns:a16="http://schemas.microsoft.com/office/drawing/2014/main" id="{00000000-0008-0000-0600-0000E0000000}"/>
            </a:ext>
          </a:extLst>
        </xdr:cNvPr>
        <xdr:cNvSpPr txBox="1"/>
      </xdr:nvSpPr>
      <xdr:spPr>
        <a:xfrm>
          <a:off x="4042924" y="1360075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MLB_CLK</a:t>
          </a:r>
        </a:p>
      </xdr:txBody>
    </xdr:sp>
    <xdr:clientData/>
  </xdr:oneCellAnchor>
  <xdr:oneCellAnchor>
    <xdr:from>
      <xdr:col>8</xdr:col>
      <xdr:colOff>376661</xdr:colOff>
      <xdr:row>69</xdr:row>
      <xdr:rowOff>101231</xdr:rowOff>
    </xdr:from>
    <xdr:ext cx="1057275" cy="419101"/>
    <xdr:sp macro="" textlink="">
      <xdr:nvSpPr>
        <xdr:cNvPr id="225" name="TextBox 224">
          <a:hlinkClick xmlns:r="http://schemas.openxmlformats.org/officeDocument/2006/relationships" r:id="rId4"/>
          <a:extLst>
            <a:ext uri="{FF2B5EF4-FFF2-40B4-BE49-F238E27FC236}">
              <a16:creationId xmlns:a16="http://schemas.microsoft.com/office/drawing/2014/main" id="{00000000-0008-0000-0600-0000E1000000}"/>
            </a:ext>
          </a:extLst>
        </xdr:cNvPr>
        <xdr:cNvSpPr txBox="1"/>
      </xdr:nvSpPr>
      <xdr:spPr>
        <a:xfrm>
          <a:off x="5241738" y="13597423"/>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MCLK[0]</a:t>
          </a:r>
        </a:p>
      </xdr:txBody>
    </xdr:sp>
    <xdr:clientData/>
  </xdr:oneCellAnchor>
  <xdr:oneCellAnchor>
    <xdr:from>
      <xdr:col>10</xdr:col>
      <xdr:colOff>404821</xdr:colOff>
      <xdr:row>69</xdr:row>
      <xdr:rowOff>96259</xdr:rowOff>
    </xdr:from>
    <xdr:ext cx="1057275" cy="419101"/>
    <xdr:sp macro="" textlink="">
      <xdr:nvSpPr>
        <xdr:cNvPr id="226" name="TextBox 225">
          <a:hlinkClick xmlns:r="http://schemas.openxmlformats.org/officeDocument/2006/relationships" r:id="rId5"/>
          <a:extLst>
            <a:ext uri="{FF2B5EF4-FFF2-40B4-BE49-F238E27FC236}">
              <a16:creationId xmlns:a16="http://schemas.microsoft.com/office/drawing/2014/main" id="{00000000-0008-0000-0600-0000E2000000}"/>
            </a:ext>
          </a:extLst>
        </xdr:cNvPr>
        <xdr:cNvSpPr txBox="1"/>
      </xdr:nvSpPr>
      <xdr:spPr>
        <a:xfrm>
          <a:off x="6486167" y="1359245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MCLK[1]</a:t>
          </a:r>
        </a:p>
      </xdr:txBody>
    </xdr:sp>
    <xdr:clientData/>
  </xdr:oneCellAnchor>
  <xdr:oneCellAnchor>
    <xdr:from>
      <xdr:col>12</xdr:col>
      <xdr:colOff>410743</xdr:colOff>
      <xdr:row>69</xdr:row>
      <xdr:rowOff>96259</xdr:rowOff>
    </xdr:from>
    <xdr:ext cx="1057275" cy="419101"/>
    <xdr:sp macro="" textlink="">
      <xdr:nvSpPr>
        <xdr:cNvPr id="227" name="TextBox 226">
          <a:hlinkClick xmlns:r="http://schemas.openxmlformats.org/officeDocument/2006/relationships" r:id="rId6"/>
          <a:extLst>
            <a:ext uri="{FF2B5EF4-FFF2-40B4-BE49-F238E27FC236}">
              <a16:creationId xmlns:a16="http://schemas.microsoft.com/office/drawing/2014/main" id="{00000000-0008-0000-0600-0000E3000000}"/>
            </a:ext>
          </a:extLst>
        </xdr:cNvPr>
        <xdr:cNvSpPr txBox="1"/>
      </xdr:nvSpPr>
      <xdr:spPr>
        <a:xfrm>
          <a:off x="7708358" y="13592451"/>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MCLK[2]</a:t>
          </a:r>
        </a:p>
      </xdr:txBody>
    </xdr:sp>
    <xdr:clientData/>
  </xdr:oneCellAnchor>
  <xdr:oneCellAnchor>
    <xdr:from>
      <xdr:col>7</xdr:col>
      <xdr:colOff>214993</xdr:colOff>
      <xdr:row>1</xdr:row>
      <xdr:rowOff>34018</xdr:rowOff>
    </xdr:from>
    <xdr:ext cx="4840942" cy="895348"/>
    <xdr:sp macro="" textlink="">
      <xdr:nvSpPr>
        <xdr:cNvPr id="109" name="TextBox 108">
          <a:extLst>
            <a:ext uri="{FF2B5EF4-FFF2-40B4-BE49-F238E27FC236}">
              <a16:creationId xmlns:a16="http://schemas.microsoft.com/office/drawing/2014/main" id="{00000000-0008-0000-0600-00006D000000}"/>
            </a:ext>
          </a:extLst>
        </xdr:cNvPr>
        <xdr:cNvSpPr txBox="1"/>
      </xdr:nvSpPr>
      <xdr:spPr>
        <a:xfrm>
          <a:off x="4501243" y="224518"/>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SAI Clocking</a:t>
          </a:r>
          <a:r>
            <a:rPr lang="en-US" sz="2800" b="1" baseline="0"/>
            <a:t> In-Depth</a:t>
          </a:r>
          <a:endParaRPr lang="en-US" sz="2800" b="1"/>
        </a:p>
      </xdr:txBody>
    </xdr:sp>
    <xdr:clientData/>
  </xdr:oneCellAnchor>
  <xdr:twoCellAnchor>
    <xdr:from>
      <xdr:col>36</xdr:col>
      <xdr:colOff>133350</xdr:colOff>
      <xdr:row>17</xdr:row>
      <xdr:rowOff>19050</xdr:rowOff>
    </xdr:from>
    <xdr:to>
      <xdr:col>36</xdr:col>
      <xdr:colOff>133350</xdr:colOff>
      <xdr:row>20</xdr:row>
      <xdr:rowOff>38101</xdr:rowOff>
    </xdr:to>
    <xdr:cxnSp macro="">
      <xdr:nvCxnSpPr>
        <xdr:cNvPr id="110" name="Straight Arrow Connector 109">
          <a:extLst>
            <a:ext uri="{FF2B5EF4-FFF2-40B4-BE49-F238E27FC236}">
              <a16:creationId xmlns:a16="http://schemas.microsoft.com/office/drawing/2014/main" id="{00000000-0008-0000-0600-00006E000000}"/>
            </a:ext>
          </a:extLst>
        </xdr:cNvPr>
        <xdr:cNvCxnSpPr/>
      </xdr:nvCxnSpPr>
      <xdr:spPr>
        <a:xfrm flipV="1">
          <a:off x="22078950" y="3324225"/>
          <a:ext cx="0" cy="647701"/>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133350</xdr:colOff>
      <xdr:row>37</xdr:row>
      <xdr:rowOff>38100</xdr:rowOff>
    </xdr:from>
    <xdr:to>
      <xdr:col>36</xdr:col>
      <xdr:colOff>133350</xdr:colOff>
      <xdr:row>39</xdr:row>
      <xdr:rowOff>19050</xdr:rowOff>
    </xdr:to>
    <xdr:cxnSp macro="">
      <xdr:nvCxnSpPr>
        <xdr:cNvPr id="111" name="Straight Arrow Connector 110">
          <a:extLst>
            <a:ext uri="{FF2B5EF4-FFF2-40B4-BE49-F238E27FC236}">
              <a16:creationId xmlns:a16="http://schemas.microsoft.com/office/drawing/2014/main" id="{00000000-0008-0000-0600-00006F000000}"/>
            </a:ext>
          </a:extLst>
        </xdr:cNvPr>
        <xdr:cNvCxnSpPr/>
      </xdr:nvCxnSpPr>
      <xdr:spPr>
        <a:xfrm flipV="1">
          <a:off x="22078950" y="7515225"/>
          <a:ext cx="0" cy="40005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133350</xdr:colOff>
      <xdr:row>55</xdr:row>
      <xdr:rowOff>38100</xdr:rowOff>
    </xdr:from>
    <xdr:to>
      <xdr:col>36</xdr:col>
      <xdr:colOff>133350</xdr:colOff>
      <xdr:row>57</xdr:row>
      <xdr:rowOff>24848</xdr:rowOff>
    </xdr:to>
    <xdr:cxnSp macro="">
      <xdr:nvCxnSpPr>
        <xdr:cNvPr id="113" name="Straight Arrow Connector 112">
          <a:extLst>
            <a:ext uri="{FF2B5EF4-FFF2-40B4-BE49-F238E27FC236}">
              <a16:creationId xmlns:a16="http://schemas.microsoft.com/office/drawing/2014/main" id="{00000000-0008-0000-0600-000071000000}"/>
            </a:ext>
          </a:extLst>
        </xdr:cNvPr>
        <xdr:cNvCxnSpPr/>
      </xdr:nvCxnSpPr>
      <xdr:spPr>
        <a:xfrm flipV="1">
          <a:off x="22078950" y="11287125"/>
          <a:ext cx="0" cy="405848"/>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200025</xdr:colOff>
      <xdr:row>20</xdr:row>
      <xdr:rowOff>9525</xdr:rowOff>
    </xdr:from>
    <xdr:to>
      <xdr:col>48</xdr:col>
      <xdr:colOff>381000</xdr:colOff>
      <xdr:row>20</xdr:row>
      <xdr:rowOff>9525</xdr:rowOff>
    </xdr:to>
    <xdr:cxnSp macro="">
      <xdr:nvCxnSpPr>
        <xdr:cNvPr id="114" name="Straight Arrow Connector 113">
          <a:extLst>
            <a:ext uri="{FF2B5EF4-FFF2-40B4-BE49-F238E27FC236}">
              <a16:creationId xmlns:a16="http://schemas.microsoft.com/office/drawing/2014/main" id="{00000000-0008-0000-0600-000072000000}"/>
            </a:ext>
          </a:extLst>
        </xdr:cNvPr>
        <xdr:cNvCxnSpPr/>
      </xdr:nvCxnSpPr>
      <xdr:spPr>
        <a:xfrm>
          <a:off x="28241625" y="3924300"/>
          <a:ext cx="14001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390525</xdr:colOff>
      <xdr:row>19</xdr:row>
      <xdr:rowOff>76200</xdr:rowOff>
    </xdr:from>
    <xdr:to>
      <xdr:col>50</xdr:col>
      <xdr:colOff>180583</xdr:colOff>
      <xdr:row>23</xdr:row>
      <xdr:rowOff>180499</xdr:rowOff>
    </xdr:to>
    <xdr:sp macro="" textlink="">
      <xdr:nvSpPr>
        <xdr:cNvPr id="115" name="Rectangle 114">
          <a:extLst>
            <a:ext uri="{FF2B5EF4-FFF2-40B4-BE49-F238E27FC236}">
              <a16:creationId xmlns:a16="http://schemas.microsoft.com/office/drawing/2014/main" id="{00000000-0008-0000-0600-000073000000}"/>
            </a:ext>
          </a:extLst>
        </xdr:cNvPr>
        <xdr:cNvSpPr/>
      </xdr:nvSpPr>
      <xdr:spPr>
        <a:xfrm>
          <a:off x="29651325" y="3781425"/>
          <a:ext cx="1009258" cy="9424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Select</a:t>
          </a:r>
        </a:p>
        <a:p>
          <a:pPr algn="ctr"/>
          <a:r>
            <a:rPr lang="en-US" sz="900"/>
            <a:t>I2S0_TCR2[BCD]</a:t>
          </a:r>
        </a:p>
      </xdr:txBody>
    </xdr:sp>
    <xdr:clientData/>
  </xdr:twoCellAnchor>
  <xdr:oneCellAnchor>
    <xdr:from>
      <xdr:col>48</xdr:col>
      <xdr:colOff>566811</xdr:colOff>
      <xdr:row>24</xdr:row>
      <xdr:rowOff>205935</xdr:rowOff>
    </xdr:from>
    <xdr:ext cx="1086398" cy="403665"/>
    <xdr:sp macro="" textlink="">
      <xdr:nvSpPr>
        <xdr:cNvPr id="117" name="TextBox 116">
          <a:extLst>
            <a:ext uri="{FF2B5EF4-FFF2-40B4-BE49-F238E27FC236}">
              <a16:creationId xmlns:a16="http://schemas.microsoft.com/office/drawing/2014/main" id="{00000000-0008-0000-0600-000075000000}"/>
            </a:ext>
          </a:extLst>
        </xdr:cNvPr>
        <xdr:cNvSpPr txBox="1"/>
      </xdr:nvSpPr>
      <xdr:spPr>
        <a:xfrm>
          <a:off x="29827611" y="4958910"/>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BCLK[0]</a:t>
          </a:r>
        </a:p>
        <a:p>
          <a:r>
            <a:rPr lang="en-US" sz="800"/>
            <a:t>1 - MCLK_TX_SAI0</a:t>
          </a:r>
        </a:p>
      </xdr:txBody>
    </xdr:sp>
    <xdr:clientData/>
  </xdr:oneCellAnchor>
  <xdr:twoCellAnchor>
    <xdr:from>
      <xdr:col>48</xdr:col>
      <xdr:colOff>423370</xdr:colOff>
      <xdr:row>38</xdr:row>
      <xdr:rowOff>132365</xdr:rowOff>
    </xdr:from>
    <xdr:to>
      <xdr:col>50</xdr:col>
      <xdr:colOff>213428</xdr:colOff>
      <xdr:row>42</xdr:row>
      <xdr:rowOff>177543</xdr:rowOff>
    </xdr:to>
    <xdr:sp macro="" textlink="">
      <xdr:nvSpPr>
        <xdr:cNvPr id="119" name="Rectangle 118">
          <a:extLst>
            <a:ext uri="{FF2B5EF4-FFF2-40B4-BE49-F238E27FC236}">
              <a16:creationId xmlns:a16="http://schemas.microsoft.com/office/drawing/2014/main" id="{00000000-0008-0000-0600-000077000000}"/>
            </a:ext>
          </a:extLst>
        </xdr:cNvPr>
        <xdr:cNvSpPr/>
      </xdr:nvSpPr>
      <xdr:spPr>
        <a:xfrm>
          <a:off x="29684170" y="7723790"/>
          <a:ext cx="1009258" cy="8833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solidFill>
              <a:effectLst/>
              <a:uLnTx/>
              <a:uFillTx/>
              <a:latin typeface="+mn-lt"/>
              <a:ea typeface="+mn-ea"/>
              <a:cs typeface="+mn-cs"/>
            </a:rPr>
            <a:t>BCLK Select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prstClr val="white"/>
              </a:solidFill>
              <a:effectLst/>
              <a:uLnTx/>
              <a:uFillTx/>
              <a:latin typeface="+mn-lt"/>
              <a:ea typeface="+mn-ea"/>
              <a:cs typeface="+mn-cs"/>
            </a:rPr>
            <a:t>I2S1_TCR2[BCD]</a:t>
          </a:r>
        </a:p>
      </xdr:txBody>
    </xdr:sp>
    <xdr:clientData/>
  </xdr:twoCellAnchor>
  <xdr:oneCellAnchor>
    <xdr:from>
      <xdr:col>35</xdr:col>
      <xdr:colOff>485775</xdr:colOff>
      <xdr:row>21</xdr:row>
      <xdr:rowOff>104775</xdr:rowOff>
    </xdr:from>
    <xdr:ext cx="800101" cy="410818"/>
    <xdr:sp macro="" textlink="">
      <xdr:nvSpPr>
        <xdr:cNvPr id="123" name="TextBox 122">
          <a:hlinkClick xmlns:r="http://schemas.openxmlformats.org/officeDocument/2006/relationships" r:id="rId7"/>
          <a:extLst>
            <a:ext uri="{FF2B5EF4-FFF2-40B4-BE49-F238E27FC236}">
              <a16:creationId xmlns:a16="http://schemas.microsoft.com/office/drawing/2014/main" id="{00000000-0008-0000-0600-00007B000000}"/>
            </a:ext>
          </a:extLst>
        </xdr:cNvPr>
        <xdr:cNvSpPr txBox="1"/>
      </xdr:nvSpPr>
      <xdr:spPr>
        <a:xfrm>
          <a:off x="21821775" y="4229100"/>
          <a:ext cx="8001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400" b="1"/>
            <a:t>BCLK[0]</a:t>
          </a:r>
        </a:p>
      </xdr:txBody>
    </xdr:sp>
    <xdr:clientData/>
  </xdr:oneCellAnchor>
  <xdr:twoCellAnchor>
    <xdr:from>
      <xdr:col>38</xdr:col>
      <xdr:colOff>19050</xdr:colOff>
      <xdr:row>22</xdr:row>
      <xdr:rowOff>104775</xdr:rowOff>
    </xdr:from>
    <xdr:to>
      <xdr:col>48</xdr:col>
      <xdr:colOff>381000</xdr:colOff>
      <xdr:row>22</xdr:row>
      <xdr:rowOff>104775</xdr:rowOff>
    </xdr:to>
    <xdr:cxnSp macro="">
      <xdr:nvCxnSpPr>
        <xdr:cNvPr id="125" name="Straight Arrow Connector 124">
          <a:extLst>
            <a:ext uri="{FF2B5EF4-FFF2-40B4-BE49-F238E27FC236}">
              <a16:creationId xmlns:a16="http://schemas.microsoft.com/office/drawing/2014/main" id="{00000000-0008-0000-0600-00007D000000}"/>
            </a:ext>
          </a:extLst>
        </xdr:cNvPr>
        <xdr:cNvCxnSpPr/>
      </xdr:nvCxnSpPr>
      <xdr:spPr>
        <a:xfrm>
          <a:off x="23183850" y="4438650"/>
          <a:ext cx="64579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36</xdr:col>
      <xdr:colOff>133350</xdr:colOff>
      <xdr:row>20</xdr:row>
      <xdr:rowOff>19050</xdr:rowOff>
    </xdr:from>
    <xdr:to>
      <xdr:col>44</xdr:col>
      <xdr:colOff>371475</xdr:colOff>
      <xdr:row>20</xdr:row>
      <xdr:rowOff>19050</xdr:rowOff>
    </xdr:to>
    <xdr:cxnSp macro="">
      <xdr:nvCxnSpPr>
        <xdr:cNvPr id="129" name="Straight Arrow Connector 128">
          <a:extLst>
            <a:ext uri="{FF2B5EF4-FFF2-40B4-BE49-F238E27FC236}">
              <a16:creationId xmlns:a16="http://schemas.microsoft.com/office/drawing/2014/main" id="{00000000-0008-0000-0600-000081000000}"/>
            </a:ext>
          </a:extLst>
        </xdr:cNvPr>
        <xdr:cNvCxnSpPr/>
      </xdr:nvCxnSpPr>
      <xdr:spPr>
        <a:xfrm>
          <a:off x="22078950" y="3933825"/>
          <a:ext cx="51149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180975</xdr:colOff>
      <xdr:row>21</xdr:row>
      <xdr:rowOff>37539</xdr:rowOff>
    </xdr:from>
    <xdr:to>
      <xdr:col>52</xdr:col>
      <xdr:colOff>341219</xdr:colOff>
      <xdr:row>21</xdr:row>
      <xdr:rowOff>37539</xdr:rowOff>
    </xdr:to>
    <xdr:cxnSp macro="">
      <xdr:nvCxnSpPr>
        <xdr:cNvPr id="130" name="Straight Arrow Connector 129">
          <a:extLst>
            <a:ext uri="{FF2B5EF4-FFF2-40B4-BE49-F238E27FC236}">
              <a16:creationId xmlns:a16="http://schemas.microsoft.com/office/drawing/2014/main" id="{00000000-0008-0000-0600-000082000000}"/>
            </a:ext>
          </a:extLst>
        </xdr:cNvPr>
        <xdr:cNvCxnSpPr/>
      </xdr:nvCxnSpPr>
      <xdr:spPr>
        <a:xfrm>
          <a:off x="30660975" y="4161864"/>
          <a:ext cx="13794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74</xdr:col>
      <xdr:colOff>568791</xdr:colOff>
      <xdr:row>20</xdr:row>
      <xdr:rowOff>107366</xdr:rowOff>
    </xdr:from>
    <xdr:ext cx="1371601" cy="410818"/>
    <xdr:sp macro="" textlink="">
      <xdr:nvSpPr>
        <xdr:cNvPr id="131" name="TextBox 130">
          <a:extLst>
            <a:ext uri="{FF2B5EF4-FFF2-40B4-BE49-F238E27FC236}">
              <a16:creationId xmlns:a16="http://schemas.microsoft.com/office/drawing/2014/main" id="{00000000-0008-0000-0600-000083000000}"/>
            </a:ext>
          </a:extLst>
        </xdr:cNvPr>
        <xdr:cNvSpPr txBox="1"/>
      </xdr:nvSpPr>
      <xdr:spPr>
        <a:xfrm>
          <a:off x="45570753" y="4027270"/>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BCLK_TX_SAI0</a:t>
          </a:r>
        </a:p>
      </xdr:txBody>
    </xdr:sp>
    <xdr:clientData/>
  </xdr:oneCellAnchor>
  <xdr:twoCellAnchor>
    <xdr:from>
      <xdr:col>36</xdr:col>
      <xdr:colOff>381000</xdr:colOff>
      <xdr:row>23</xdr:row>
      <xdr:rowOff>114300</xdr:rowOff>
    </xdr:from>
    <xdr:to>
      <xdr:col>38</xdr:col>
      <xdr:colOff>171057</xdr:colOff>
      <xdr:row>27</xdr:row>
      <xdr:rowOff>170974</xdr:rowOff>
    </xdr:to>
    <xdr:sp macro="" textlink="">
      <xdr:nvSpPr>
        <xdr:cNvPr id="132" name="Rectangle 131">
          <a:extLst>
            <a:ext uri="{FF2B5EF4-FFF2-40B4-BE49-F238E27FC236}">
              <a16:creationId xmlns:a16="http://schemas.microsoft.com/office/drawing/2014/main" id="{00000000-0008-0000-0600-000084000000}"/>
            </a:ext>
          </a:extLst>
        </xdr:cNvPr>
        <xdr:cNvSpPr/>
      </xdr:nvSpPr>
      <xdr:spPr>
        <a:xfrm>
          <a:off x="22326600" y="4657725"/>
          <a:ext cx="1009257" cy="8662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MCLK Select</a:t>
          </a:r>
        </a:p>
        <a:p>
          <a:pPr algn="ctr"/>
          <a:r>
            <a:rPr lang="en-US" sz="900"/>
            <a:t>I2S0_RCR2[MSEL]</a:t>
          </a:r>
        </a:p>
      </xdr:txBody>
    </xdr:sp>
    <xdr:clientData/>
  </xdr:twoCellAnchor>
  <xdr:twoCellAnchor>
    <xdr:from>
      <xdr:col>31</xdr:col>
      <xdr:colOff>458391</xdr:colOff>
      <xdr:row>24</xdr:row>
      <xdr:rowOff>110475</xdr:rowOff>
    </xdr:from>
    <xdr:to>
      <xdr:col>36</xdr:col>
      <xdr:colOff>359491</xdr:colOff>
      <xdr:row>24</xdr:row>
      <xdr:rowOff>110475</xdr:rowOff>
    </xdr:to>
    <xdr:cxnSp macro="">
      <xdr:nvCxnSpPr>
        <xdr:cNvPr id="137" name="Straight Arrow Connector 136">
          <a:extLst>
            <a:ext uri="{FF2B5EF4-FFF2-40B4-BE49-F238E27FC236}">
              <a16:creationId xmlns:a16="http://schemas.microsoft.com/office/drawing/2014/main" id="{00000000-0008-0000-0600-000089000000}"/>
            </a:ext>
          </a:extLst>
        </xdr:cNvPr>
        <xdr:cNvCxnSpPr/>
      </xdr:nvCxnSpPr>
      <xdr:spPr>
        <a:xfrm>
          <a:off x="19282172" y="4861069"/>
          <a:ext cx="293719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457200</xdr:colOff>
      <xdr:row>17</xdr:row>
      <xdr:rowOff>178594</xdr:rowOff>
    </xdr:from>
    <xdr:to>
      <xdr:col>31</xdr:col>
      <xdr:colOff>457200</xdr:colOff>
      <xdr:row>24</xdr:row>
      <xdr:rowOff>116682</xdr:rowOff>
    </xdr:to>
    <xdr:cxnSp macro="">
      <xdr:nvCxnSpPr>
        <xdr:cNvPr id="139" name="Straight Arrow Connector 138">
          <a:extLst>
            <a:ext uri="{FF2B5EF4-FFF2-40B4-BE49-F238E27FC236}">
              <a16:creationId xmlns:a16="http://schemas.microsoft.com/office/drawing/2014/main" id="{00000000-0008-0000-0600-00008B000000}"/>
            </a:ext>
          </a:extLst>
        </xdr:cNvPr>
        <xdr:cNvCxnSpPr/>
      </xdr:nvCxnSpPr>
      <xdr:spPr>
        <a:xfrm flipV="1">
          <a:off x="19280981" y="3470672"/>
          <a:ext cx="0" cy="139660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397565</xdr:colOff>
      <xdr:row>10</xdr:row>
      <xdr:rowOff>66260</xdr:rowOff>
    </xdr:from>
    <xdr:ext cx="1057275" cy="419101"/>
    <xdr:sp macro="" textlink="">
      <xdr:nvSpPr>
        <xdr:cNvPr id="141" name="TextBox 140">
          <a:hlinkClick xmlns:r="http://schemas.openxmlformats.org/officeDocument/2006/relationships" r:id="rId8"/>
          <a:extLst>
            <a:ext uri="{FF2B5EF4-FFF2-40B4-BE49-F238E27FC236}">
              <a16:creationId xmlns:a16="http://schemas.microsoft.com/office/drawing/2014/main" id="{00000000-0008-0000-0600-00008D000000}"/>
            </a:ext>
          </a:extLst>
        </xdr:cNvPr>
        <xdr:cNvSpPr txBox="1"/>
      </xdr:nvSpPr>
      <xdr:spPr>
        <a:xfrm>
          <a:off x="397565" y="1971260"/>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twoCellAnchor>
    <xdr:from>
      <xdr:col>1</xdr:col>
      <xdr:colOff>308580</xdr:colOff>
      <xdr:row>13</xdr:row>
      <xdr:rowOff>31031</xdr:rowOff>
    </xdr:from>
    <xdr:to>
      <xdr:col>1</xdr:col>
      <xdr:colOff>308580</xdr:colOff>
      <xdr:row>68</xdr:row>
      <xdr:rowOff>173935</xdr:rowOff>
    </xdr:to>
    <xdr:cxnSp macro="">
      <xdr:nvCxnSpPr>
        <xdr:cNvPr id="142" name="Straight Arrow Connector 141">
          <a:extLst>
            <a:ext uri="{FF2B5EF4-FFF2-40B4-BE49-F238E27FC236}">
              <a16:creationId xmlns:a16="http://schemas.microsoft.com/office/drawing/2014/main" id="{00000000-0008-0000-0600-00008E000000}"/>
            </a:ext>
          </a:extLst>
        </xdr:cNvPr>
        <xdr:cNvCxnSpPr/>
      </xdr:nvCxnSpPr>
      <xdr:spPr>
        <a:xfrm>
          <a:off x="919494" y="2533807"/>
          <a:ext cx="0" cy="11342990"/>
        </a:xfrm>
        <a:prstGeom prst="straightConnector1">
          <a:avLst/>
        </a:prstGeom>
        <a:ln w="19050">
          <a:solidFill>
            <a:schemeClr val="bg2">
              <a:lumMod val="75000"/>
            </a:schemeClr>
          </a:solidFill>
          <a:headEnd type="arrow"/>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397565</xdr:colOff>
      <xdr:row>69</xdr:row>
      <xdr:rowOff>127650</xdr:rowOff>
    </xdr:from>
    <xdr:ext cx="1057275" cy="419101"/>
    <xdr:sp macro="" textlink="">
      <xdr:nvSpPr>
        <xdr:cNvPr id="143" name="TextBox 142">
          <a:hlinkClick xmlns:r="http://schemas.openxmlformats.org/officeDocument/2006/relationships" r:id="rId9"/>
          <a:extLst>
            <a:ext uri="{FF2B5EF4-FFF2-40B4-BE49-F238E27FC236}">
              <a16:creationId xmlns:a16="http://schemas.microsoft.com/office/drawing/2014/main" id="{00000000-0008-0000-0600-00008F000000}"/>
            </a:ext>
          </a:extLst>
        </xdr:cNvPr>
        <xdr:cNvSpPr txBox="1"/>
      </xdr:nvSpPr>
      <xdr:spPr>
        <a:xfrm>
          <a:off x="397565" y="14247062"/>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S40</a:t>
          </a:r>
        </a:p>
      </xdr:txBody>
    </xdr:sp>
    <xdr:clientData/>
  </xdr:oneCellAnchor>
  <xdr:twoCellAnchor>
    <xdr:from>
      <xdr:col>1</xdr:col>
      <xdr:colOff>295603</xdr:colOff>
      <xdr:row>27</xdr:row>
      <xdr:rowOff>45983</xdr:rowOff>
    </xdr:from>
    <xdr:to>
      <xdr:col>36</xdr:col>
      <xdr:colOff>361293</xdr:colOff>
      <xdr:row>27</xdr:row>
      <xdr:rowOff>45983</xdr:rowOff>
    </xdr:to>
    <xdr:cxnSp macro="">
      <xdr:nvCxnSpPr>
        <xdr:cNvPr id="145" name="Straight Arrow Connector 144">
          <a:extLst>
            <a:ext uri="{FF2B5EF4-FFF2-40B4-BE49-F238E27FC236}">
              <a16:creationId xmlns:a16="http://schemas.microsoft.com/office/drawing/2014/main" id="{00000000-0008-0000-0600-000091000000}"/>
            </a:ext>
          </a:extLst>
        </xdr:cNvPr>
        <xdr:cNvCxnSpPr/>
      </xdr:nvCxnSpPr>
      <xdr:spPr>
        <a:xfrm>
          <a:off x="906517" y="5393121"/>
          <a:ext cx="2144767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571499</xdr:colOff>
      <xdr:row>28</xdr:row>
      <xdr:rowOff>183931</xdr:rowOff>
    </xdr:from>
    <xdr:ext cx="1086398" cy="689741"/>
    <xdr:sp macro="" textlink="">
      <xdr:nvSpPr>
        <xdr:cNvPr id="147" name="TextBox 146">
          <a:extLst>
            <a:ext uri="{FF2B5EF4-FFF2-40B4-BE49-F238E27FC236}">
              <a16:creationId xmlns:a16="http://schemas.microsoft.com/office/drawing/2014/main" id="{00000000-0008-0000-0600-000093000000}"/>
            </a:ext>
          </a:extLst>
        </xdr:cNvPr>
        <xdr:cNvSpPr txBox="1"/>
      </xdr:nvSpPr>
      <xdr:spPr>
        <a:xfrm>
          <a:off x="22564396" y="5728138"/>
          <a:ext cx="1086398"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S40</a:t>
          </a:r>
        </a:p>
        <a:p>
          <a:r>
            <a:rPr lang="en-US" sz="800"/>
            <a:t>1 - FCLK_MCLK[0]</a:t>
          </a:r>
        </a:p>
        <a:p>
          <a:r>
            <a:rPr lang="en-US" sz="800"/>
            <a:t>2</a:t>
          </a:r>
          <a:r>
            <a:rPr lang="en-US" sz="800" baseline="0"/>
            <a:t> - MCLK[1]</a:t>
          </a:r>
        </a:p>
        <a:p>
          <a:r>
            <a:rPr lang="en-US" sz="800" baseline="0"/>
            <a:t>3 - MCLK[2]</a:t>
          </a:r>
          <a:endParaRPr lang="en-US" sz="800"/>
        </a:p>
      </xdr:txBody>
    </xdr:sp>
    <xdr:clientData/>
  </xdr:oneCellAnchor>
  <xdr:twoCellAnchor>
    <xdr:from>
      <xdr:col>38</xdr:col>
      <xdr:colOff>337039</xdr:colOff>
      <xdr:row>27</xdr:row>
      <xdr:rowOff>19050</xdr:rowOff>
    </xdr:from>
    <xdr:to>
      <xdr:col>44</xdr:col>
      <xdr:colOff>419100</xdr:colOff>
      <xdr:row>27</xdr:row>
      <xdr:rowOff>19050</xdr:rowOff>
    </xdr:to>
    <xdr:cxnSp macro="">
      <xdr:nvCxnSpPr>
        <xdr:cNvPr id="148" name="Straight Arrow Connector 147">
          <a:extLst>
            <a:ext uri="{FF2B5EF4-FFF2-40B4-BE49-F238E27FC236}">
              <a16:creationId xmlns:a16="http://schemas.microsoft.com/office/drawing/2014/main" id="{00000000-0008-0000-0600-000094000000}"/>
            </a:ext>
          </a:extLst>
        </xdr:cNvPr>
        <xdr:cNvCxnSpPr/>
      </xdr:nvCxnSpPr>
      <xdr:spPr>
        <a:xfrm>
          <a:off x="23446154" y="5389685"/>
          <a:ext cx="373086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411874</xdr:colOff>
      <xdr:row>27</xdr:row>
      <xdr:rowOff>43026</xdr:rowOff>
    </xdr:from>
    <xdr:to>
      <xdr:col>50</xdr:col>
      <xdr:colOff>201932</xdr:colOff>
      <xdr:row>31</xdr:row>
      <xdr:rowOff>193307</xdr:rowOff>
    </xdr:to>
    <xdr:sp macro="" textlink="">
      <xdr:nvSpPr>
        <xdr:cNvPr id="153" name="Rectangle 152">
          <a:extLst>
            <a:ext uri="{FF2B5EF4-FFF2-40B4-BE49-F238E27FC236}">
              <a16:creationId xmlns:a16="http://schemas.microsoft.com/office/drawing/2014/main" id="{00000000-0008-0000-0600-000099000000}"/>
            </a:ext>
          </a:extLst>
        </xdr:cNvPr>
        <xdr:cNvSpPr/>
      </xdr:nvSpPr>
      <xdr:spPr>
        <a:xfrm>
          <a:off x="29672674" y="5396076"/>
          <a:ext cx="1009258" cy="97895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Select</a:t>
          </a:r>
        </a:p>
        <a:p>
          <a:pPr algn="ctr"/>
          <a:r>
            <a:rPr lang="en-US" sz="900"/>
            <a:t>I2S0_RCR2[BCD]</a:t>
          </a:r>
        </a:p>
      </xdr:txBody>
    </xdr:sp>
    <xdr:clientData/>
  </xdr:twoCellAnchor>
  <xdr:twoCellAnchor>
    <xdr:from>
      <xdr:col>46</xdr:col>
      <xdr:colOff>244693</xdr:colOff>
      <xdr:row>28</xdr:row>
      <xdr:rowOff>328</xdr:rowOff>
    </xdr:from>
    <xdr:to>
      <xdr:col>48</xdr:col>
      <xdr:colOff>400050</xdr:colOff>
      <xdr:row>28</xdr:row>
      <xdr:rowOff>328</xdr:rowOff>
    </xdr:to>
    <xdr:cxnSp macro="">
      <xdr:nvCxnSpPr>
        <xdr:cNvPr id="154" name="Straight Arrow Connector 153">
          <a:extLst>
            <a:ext uri="{FF2B5EF4-FFF2-40B4-BE49-F238E27FC236}">
              <a16:creationId xmlns:a16="http://schemas.microsoft.com/office/drawing/2014/main" id="{00000000-0008-0000-0600-00009A000000}"/>
            </a:ext>
          </a:extLst>
        </xdr:cNvPr>
        <xdr:cNvCxnSpPr/>
      </xdr:nvCxnSpPr>
      <xdr:spPr>
        <a:xfrm>
          <a:off x="28286293" y="5553403"/>
          <a:ext cx="137455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472966</xdr:colOff>
      <xdr:row>29</xdr:row>
      <xdr:rowOff>105103</xdr:rowOff>
    </xdr:from>
    <xdr:ext cx="800101" cy="410818"/>
    <xdr:sp macro="" textlink="">
      <xdr:nvSpPr>
        <xdr:cNvPr id="158" name="TextBox 157">
          <a:hlinkClick xmlns:r="http://schemas.openxmlformats.org/officeDocument/2006/relationships" r:id="rId7"/>
          <a:extLst>
            <a:ext uri="{FF2B5EF4-FFF2-40B4-BE49-F238E27FC236}">
              <a16:creationId xmlns:a16="http://schemas.microsoft.com/office/drawing/2014/main" id="{00000000-0008-0000-0600-00009E000000}"/>
            </a:ext>
          </a:extLst>
        </xdr:cNvPr>
        <xdr:cNvSpPr txBox="1"/>
      </xdr:nvSpPr>
      <xdr:spPr>
        <a:xfrm>
          <a:off x="23687690" y="5859517"/>
          <a:ext cx="8001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400" b="1"/>
            <a:t>BCLK[0]</a:t>
          </a:r>
        </a:p>
      </xdr:txBody>
    </xdr:sp>
    <xdr:clientData/>
  </xdr:oneCellAnchor>
  <xdr:twoCellAnchor>
    <xdr:from>
      <xdr:col>41</xdr:col>
      <xdr:colOff>7882</xdr:colOff>
      <xdr:row>30</xdr:row>
      <xdr:rowOff>112329</xdr:rowOff>
    </xdr:from>
    <xdr:to>
      <xdr:col>48</xdr:col>
      <xdr:colOff>409575</xdr:colOff>
      <xdr:row>30</xdr:row>
      <xdr:rowOff>112329</xdr:rowOff>
    </xdr:to>
    <xdr:cxnSp macro="">
      <xdr:nvCxnSpPr>
        <xdr:cNvPr id="159" name="Straight Arrow Connector 158">
          <a:extLst>
            <a:ext uri="{FF2B5EF4-FFF2-40B4-BE49-F238E27FC236}">
              <a16:creationId xmlns:a16="http://schemas.microsoft.com/office/drawing/2014/main" id="{00000000-0008-0000-0600-00009F000000}"/>
            </a:ext>
          </a:extLst>
        </xdr:cNvPr>
        <xdr:cNvCxnSpPr/>
      </xdr:nvCxnSpPr>
      <xdr:spPr>
        <a:xfrm>
          <a:off x="25001482" y="6084504"/>
          <a:ext cx="466889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202653</xdr:colOff>
      <xdr:row>25</xdr:row>
      <xdr:rowOff>9196</xdr:rowOff>
    </xdr:from>
    <xdr:to>
      <xdr:col>40</xdr:col>
      <xdr:colOff>571500</xdr:colOff>
      <xdr:row>25</xdr:row>
      <xdr:rowOff>9196</xdr:rowOff>
    </xdr:to>
    <xdr:cxnSp macro="">
      <xdr:nvCxnSpPr>
        <xdr:cNvPr id="160" name="Straight Arrow Connector 159">
          <a:extLst>
            <a:ext uri="{FF2B5EF4-FFF2-40B4-BE49-F238E27FC236}">
              <a16:creationId xmlns:a16="http://schemas.microsoft.com/office/drawing/2014/main" id="{00000000-0008-0000-0600-0000A0000000}"/>
            </a:ext>
          </a:extLst>
        </xdr:cNvPr>
        <xdr:cNvCxnSpPr/>
      </xdr:nvCxnSpPr>
      <xdr:spPr>
        <a:xfrm>
          <a:off x="23367453" y="4990771"/>
          <a:ext cx="15880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560874</xdr:colOff>
      <xdr:row>22</xdr:row>
      <xdr:rowOff>109851</xdr:rowOff>
    </xdr:from>
    <xdr:ext cx="1371601" cy="410818"/>
    <xdr:sp macro="" textlink="">
      <xdr:nvSpPr>
        <xdr:cNvPr id="162" name="TextBox 161">
          <a:extLst>
            <a:ext uri="{FF2B5EF4-FFF2-40B4-BE49-F238E27FC236}">
              <a16:creationId xmlns:a16="http://schemas.microsoft.com/office/drawing/2014/main" id="{00000000-0008-0000-0600-0000A2000000}"/>
            </a:ext>
          </a:extLst>
        </xdr:cNvPr>
        <xdr:cNvSpPr txBox="1"/>
      </xdr:nvSpPr>
      <xdr:spPr>
        <a:xfrm>
          <a:off x="26773674" y="4462776"/>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MCLK_RX_SAI0</a:t>
          </a:r>
        </a:p>
      </xdr:txBody>
    </xdr:sp>
    <xdr:clientData/>
  </xdr:oneCellAnchor>
  <xdr:oneCellAnchor>
    <xdr:from>
      <xdr:col>48</xdr:col>
      <xdr:colOff>552450</xdr:colOff>
      <xdr:row>33</xdr:row>
      <xdr:rowOff>657</xdr:rowOff>
    </xdr:from>
    <xdr:ext cx="1086398" cy="403665"/>
    <xdr:sp macro="" textlink="">
      <xdr:nvSpPr>
        <xdr:cNvPr id="163" name="TextBox 162">
          <a:extLst>
            <a:ext uri="{FF2B5EF4-FFF2-40B4-BE49-F238E27FC236}">
              <a16:creationId xmlns:a16="http://schemas.microsoft.com/office/drawing/2014/main" id="{00000000-0008-0000-0600-0000A3000000}"/>
            </a:ext>
          </a:extLst>
        </xdr:cNvPr>
        <xdr:cNvSpPr txBox="1"/>
      </xdr:nvSpPr>
      <xdr:spPr>
        <a:xfrm>
          <a:off x="29813250" y="6601482"/>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BCLK[0]</a:t>
          </a:r>
        </a:p>
        <a:p>
          <a:r>
            <a:rPr lang="en-US" sz="800"/>
            <a:t>1 - MCLK_RX_SAI0</a:t>
          </a:r>
        </a:p>
      </xdr:txBody>
    </xdr:sp>
    <xdr:clientData/>
  </xdr:oneCellAnchor>
  <xdr:twoCellAnchor>
    <xdr:from>
      <xdr:col>50</xdr:col>
      <xdr:colOff>202653</xdr:colOff>
      <xdr:row>29</xdr:row>
      <xdr:rowOff>15107</xdr:rowOff>
    </xdr:from>
    <xdr:to>
      <xdr:col>52</xdr:col>
      <xdr:colOff>378802</xdr:colOff>
      <xdr:row>29</xdr:row>
      <xdr:rowOff>15107</xdr:rowOff>
    </xdr:to>
    <xdr:cxnSp macro="">
      <xdr:nvCxnSpPr>
        <xdr:cNvPr id="164" name="Straight Arrow Connector 163">
          <a:extLst>
            <a:ext uri="{FF2B5EF4-FFF2-40B4-BE49-F238E27FC236}">
              <a16:creationId xmlns:a16="http://schemas.microsoft.com/office/drawing/2014/main" id="{00000000-0008-0000-0600-0000A4000000}"/>
            </a:ext>
          </a:extLst>
        </xdr:cNvPr>
        <xdr:cNvCxnSpPr/>
      </xdr:nvCxnSpPr>
      <xdr:spPr>
        <a:xfrm>
          <a:off x="30682653" y="5777732"/>
          <a:ext cx="139534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74</xdr:col>
      <xdr:colOff>560729</xdr:colOff>
      <xdr:row>28</xdr:row>
      <xdr:rowOff>118241</xdr:rowOff>
    </xdr:from>
    <xdr:ext cx="1371601" cy="410818"/>
    <xdr:sp macro="" textlink="">
      <xdr:nvSpPr>
        <xdr:cNvPr id="165" name="TextBox 164">
          <a:extLst>
            <a:ext uri="{FF2B5EF4-FFF2-40B4-BE49-F238E27FC236}">
              <a16:creationId xmlns:a16="http://schemas.microsoft.com/office/drawing/2014/main" id="{00000000-0008-0000-0600-0000A5000000}"/>
            </a:ext>
          </a:extLst>
        </xdr:cNvPr>
        <xdr:cNvSpPr txBox="1"/>
      </xdr:nvSpPr>
      <xdr:spPr>
        <a:xfrm>
          <a:off x="45562691" y="5708683"/>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BCLK_RX_SAI0</a:t>
          </a:r>
        </a:p>
      </xdr:txBody>
    </xdr:sp>
    <xdr:clientData/>
  </xdr:oneCellAnchor>
  <xdr:oneCellAnchor>
    <xdr:from>
      <xdr:col>48</xdr:col>
      <xdr:colOff>564931</xdr:colOff>
      <xdr:row>43</xdr:row>
      <xdr:rowOff>197069</xdr:rowOff>
    </xdr:from>
    <xdr:ext cx="1086398" cy="403665"/>
    <xdr:sp macro="" textlink="">
      <xdr:nvSpPr>
        <xdr:cNvPr id="193" name="TextBox 192">
          <a:extLst>
            <a:ext uri="{FF2B5EF4-FFF2-40B4-BE49-F238E27FC236}">
              <a16:creationId xmlns:a16="http://schemas.microsoft.com/office/drawing/2014/main" id="{00000000-0008-0000-0600-0000C1000000}"/>
            </a:ext>
          </a:extLst>
        </xdr:cNvPr>
        <xdr:cNvSpPr txBox="1"/>
      </xdr:nvSpPr>
      <xdr:spPr>
        <a:xfrm>
          <a:off x="29825731" y="8836244"/>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BCLK[1]</a:t>
          </a:r>
        </a:p>
        <a:p>
          <a:r>
            <a:rPr lang="en-US" sz="800"/>
            <a:t>1 - MCLK_TX_SAI1</a:t>
          </a:r>
        </a:p>
      </xdr:txBody>
    </xdr:sp>
    <xdr:clientData/>
  </xdr:oneCellAnchor>
  <xdr:twoCellAnchor>
    <xdr:from>
      <xdr:col>36</xdr:col>
      <xdr:colOff>131379</xdr:colOff>
      <xdr:row>39</xdr:row>
      <xdr:rowOff>16422</xdr:rowOff>
    </xdr:from>
    <xdr:to>
      <xdr:col>44</xdr:col>
      <xdr:colOff>390525</xdr:colOff>
      <xdr:row>39</xdr:row>
      <xdr:rowOff>16422</xdr:rowOff>
    </xdr:to>
    <xdr:cxnSp macro="">
      <xdr:nvCxnSpPr>
        <xdr:cNvPr id="197" name="Straight Arrow Connector 196">
          <a:extLst>
            <a:ext uri="{FF2B5EF4-FFF2-40B4-BE49-F238E27FC236}">
              <a16:creationId xmlns:a16="http://schemas.microsoft.com/office/drawing/2014/main" id="{00000000-0008-0000-0600-0000C5000000}"/>
            </a:ext>
          </a:extLst>
        </xdr:cNvPr>
        <xdr:cNvCxnSpPr/>
      </xdr:nvCxnSpPr>
      <xdr:spPr>
        <a:xfrm>
          <a:off x="22076979" y="7893597"/>
          <a:ext cx="513594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219075</xdr:colOff>
      <xdr:row>39</xdr:row>
      <xdr:rowOff>33172</xdr:rowOff>
    </xdr:from>
    <xdr:to>
      <xdr:col>48</xdr:col>
      <xdr:colOff>400050</xdr:colOff>
      <xdr:row>39</xdr:row>
      <xdr:rowOff>33172</xdr:rowOff>
    </xdr:to>
    <xdr:cxnSp macro="">
      <xdr:nvCxnSpPr>
        <xdr:cNvPr id="198" name="Straight Arrow Connector 197">
          <a:extLst>
            <a:ext uri="{FF2B5EF4-FFF2-40B4-BE49-F238E27FC236}">
              <a16:creationId xmlns:a16="http://schemas.microsoft.com/office/drawing/2014/main" id="{00000000-0008-0000-0600-0000C6000000}"/>
            </a:ext>
          </a:extLst>
        </xdr:cNvPr>
        <xdr:cNvCxnSpPr/>
      </xdr:nvCxnSpPr>
      <xdr:spPr>
        <a:xfrm>
          <a:off x="28260675" y="7910347"/>
          <a:ext cx="14001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505810</xdr:colOff>
      <xdr:row>40</xdr:row>
      <xdr:rowOff>98534</xdr:rowOff>
    </xdr:from>
    <xdr:ext cx="800101" cy="410818"/>
    <xdr:sp macro="" textlink="">
      <xdr:nvSpPr>
        <xdr:cNvPr id="199" name="TextBox 198">
          <a:hlinkClick xmlns:r="http://schemas.openxmlformats.org/officeDocument/2006/relationships" r:id="rId10"/>
          <a:extLst>
            <a:ext uri="{FF2B5EF4-FFF2-40B4-BE49-F238E27FC236}">
              <a16:creationId xmlns:a16="http://schemas.microsoft.com/office/drawing/2014/main" id="{00000000-0008-0000-0600-0000C7000000}"/>
            </a:ext>
          </a:extLst>
        </xdr:cNvPr>
        <xdr:cNvSpPr txBox="1"/>
      </xdr:nvSpPr>
      <xdr:spPr>
        <a:xfrm>
          <a:off x="21887793" y="8099534"/>
          <a:ext cx="8001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400" b="1"/>
            <a:t>BCLK[1]</a:t>
          </a:r>
        </a:p>
      </xdr:txBody>
    </xdr:sp>
    <xdr:clientData/>
  </xdr:oneCellAnchor>
  <xdr:twoCellAnchor>
    <xdr:from>
      <xdr:col>38</xdr:col>
      <xdr:colOff>13138</xdr:colOff>
      <xdr:row>41</xdr:row>
      <xdr:rowOff>124810</xdr:rowOff>
    </xdr:from>
    <xdr:to>
      <xdr:col>48</xdr:col>
      <xdr:colOff>419100</xdr:colOff>
      <xdr:row>41</xdr:row>
      <xdr:rowOff>124810</xdr:rowOff>
    </xdr:to>
    <xdr:cxnSp macro="">
      <xdr:nvCxnSpPr>
        <xdr:cNvPr id="200" name="Straight Arrow Connector 199">
          <a:extLst>
            <a:ext uri="{FF2B5EF4-FFF2-40B4-BE49-F238E27FC236}">
              <a16:creationId xmlns:a16="http://schemas.microsoft.com/office/drawing/2014/main" id="{00000000-0008-0000-0600-0000C8000000}"/>
            </a:ext>
          </a:extLst>
        </xdr:cNvPr>
        <xdr:cNvCxnSpPr/>
      </xdr:nvCxnSpPr>
      <xdr:spPr>
        <a:xfrm>
          <a:off x="23177938" y="8344885"/>
          <a:ext cx="65019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198055</xdr:colOff>
      <xdr:row>40</xdr:row>
      <xdr:rowOff>16421</xdr:rowOff>
    </xdr:from>
    <xdr:to>
      <xdr:col>52</xdr:col>
      <xdr:colOff>381732</xdr:colOff>
      <xdr:row>40</xdr:row>
      <xdr:rowOff>16421</xdr:rowOff>
    </xdr:to>
    <xdr:cxnSp macro="">
      <xdr:nvCxnSpPr>
        <xdr:cNvPr id="201" name="Straight Arrow Connector 200">
          <a:extLst>
            <a:ext uri="{FF2B5EF4-FFF2-40B4-BE49-F238E27FC236}">
              <a16:creationId xmlns:a16="http://schemas.microsoft.com/office/drawing/2014/main" id="{00000000-0008-0000-0600-0000C9000000}"/>
            </a:ext>
          </a:extLst>
        </xdr:cNvPr>
        <xdr:cNvCxnSpPr/>
      </xdr:nvCxnSpPr>
      <xdr:spPr>
        <a:xfrm>
          <a:off x="30678055" y="8026946"/>
          <a:ext cx="140287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74</xdr:col>
      <xdr:colOff>565279</xdr:colOff>
      <xdr:row>39</xdr:row>
      <xdr:rowOff>122878</xdr:rowOff>
    </xdr:from>
    <xdr:ext cx="1371601" cy="410818"/>
    <xdr:sp macro="" textlink="">
      <xdr:nvSpPr>
        <xdr:cNvPr id="202" name="TextBox 201">
          <a:extLst>
            <a:ext uri="{FF2B5EF4-FFF2-40B4-BE49-F238E27FC236}">
              <a16:creationId xmlns:a16="http://schemas.microsoft.com/office/drawing/2014/main" id="{00000000-0008-0000-0600-0000CA000000}"/>
            </a:ext>
          </a:extLst>
        </xdr:cNvPr>
        <xdr:cNvSpPr txBox="1"/>
      </xdr:nvSpPr>
      <xdr:spPr>
        <a:xfrm>
          <a:off x="45343985" y="8011819"/>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BCLK_TX_SAI1</a:t>
          </a:r>
        </a:p>
      </xdr:txBody>
    </xdr:sp>
    <xdr:clientData/>
  </xdr:oneCellAnchor>
  <xdr:twoCellAnchor>
    <xdr:from>
      <xdr:col>36</xdr:col>
      <xdr:colOff>374431</xdr:colOff>
      <xdr:row>44</xdr:row>
      <xdr:rowOff>78827</xdr:rowOff>
    </xdr:from>
    <xdr:to>
      <xdr:col>38</xdr:col>
      <xdr:colOff>164488</xdr:colOff>
      <xdr:row>48</xdr:row>
      <xdr:rowOff>174915</xdr:rowOff>
    </xdr:to>
    <xdr:sp macro="" textlink="">
      <xdr:nvSpPr>
        <xdr:cNvPr id="203" name="Rectangle 202">
          <a:extLst>
            <a:ext uri="{FF2B5EF4-FFF2-40B4-BE49-F238E27FC236}">
              <a16:creationId xmlns:a16="http://schemas.microsoft.com/office/drawing/2014/main" id="{00000000-0008-0000-0600-0000CB000000}"/>
            </a:ext>
          </a:extLst>
        </xdr:cNvPr>
        <xdr:cNvSpPr/>
      </xdr:nvSpPr>
      <xdr:spPr>
        <a:xfrm>
          <a:off x="22367328" y="8920655"/>
          <a:ext cx="1011884" cy="8646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MCLK Select</a:t>
          </a:r>
        </a:p>
        <a:p>
          <a:pPr algn="ctr"/>
          <a:r>
            <a:rPr lang="en-US" sz="900"/>
            <a:t>I2S1_RCR2[MSEL]</a:t>
          </a:r>
        </a:p>
      </xdr:txBody>
    </xdr:sp>
    <xdr:clientData/>
  </xdr:twoCellAnchor>
  <xdr:oneCellAnchor>
    <xdr:from>
      <xdr:col>36</xdr:col>
      <xdr:colOff>538654</xdr:colOff>
      <xdr:row>50</xdr:row>
      <xdr:rowOff>6569</xdr:rowOff>
    </xdr:from>
    <xdr:ext cx="1086398" cy="689741"/>
    <xdr:sp macro="" textlink="">
      <xdr:nvSpPr>
        <xdr:cNvPr id="206" name="TextBox 205">
          <a:extLst>
            <a:ext uri="{FF2B5EF4-FFF2-40B4-BE49-F238E27FC236}">
              <a16:creationId xmlns:a16="http://schemas.microsoft.com/office/drawing/2014/main" id="{00000000-0008-0000-0600-0000CE000000}"/>
            </a:ext>
          </a:extLst>
        </xdr:cNvPr>
        <xdr:cNvSpPr txBox="1"/>
      </xdr:nvSpPr>
      <xdr:spPr>
        <a:xfrm>
          <a:off x="22531551" y="10024241"/>
          <a:ext cx="1086398"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S40</a:t>
          </a:r>
        </a:p>
        <a:p>
          <a:r>
            <a:rPr lang="en-US" sz="800"/>
            <a:t>1 - FCLK_MCLK[1]</a:t>
          </a:r>
        </a:p>
        <a:p>
          <a:r>
            <a:rPr lang="en-US" sz="800"/>
            <a:t>2</a:t>
          </a:r>
          <a:r>
            <a:rPr lang="en-US" sz="800" baseline="0"/>
            <a:t> - MCLK[0]</a:t>
          </a:r>
        </a:p>
        <a:p>
          <a:r>
            <a:rPr lang="en-US" sz="800" baseline="0"/>
            <a:t>3 - MCLK[2]</a:t>
          </a:r>
          <a:endParaRPr lang="en-US" sz="800"/>
        </a:p>
      </xdr:txBody>
    </xdr:sp>
    <xdr:clientData/>
  </xdr:oneCellAnchor>
  <xdr:twoCellAnchor>
    <xdr:from>
      <xdr:col>31</xdr:col>
      <xdr:colOff>440120</xdr:colOff>
      <xdr:row>45</xdr:row>
      <xdr:rowOff>53864</xdr:rowOff>
    </xdr:from>
    <xdr:to>
      <xdr:col>36</xdr:col>
      <xdr:colOff>362935</xdr:colOff>
      <xdr:row>45</xdr:row>
      <xdr:rowOff>53864</xdr:rowOff>
    </xdr:to>
    <xdr:cxnSp macro="">
      <xdr:nvCxnSpPr>
        <xdr:cNvPr id="211" name="Straight Arrow Connector 210">
          <a:extLst>
            <a:ext uri="{FF2B5EF4-FFF2-40B4-BE49-F238E27FC236}">
              <a16:creationId xmlns:a16="http://schemas.microsoft.com/office/drawing/2014/main" id="{00000000-0008-0000-0600-0000D3000000}"/>
            </a:ext>
          </a:extLst>
        </xdr:cNvPr>
        <xdr:cNvCxnSpPr/>
      </xdr:nvCxnSpPr>
      <xdr:spPr>
        <a:xfrm>
          <a:off x="19378448" y="9092761"/>
          <a:ext cx="297738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436836</xdr:colOff>
      <xdr:row>37</xdr:row>
      <xdr:rowOff>137949</xdr:rowOff>
    </xdr:from>
    <xdr:to>
      <xdr:col>31</xdr:col>
      <xdr:colOff>436836</xdr:colOff>
      <xdr:row>45</xdr:row>
      <xdr:rowOff>60434</xdr:rowOff>
    </xdr:to>
    <xdr:cxnSp macro="">
      <xdr:nvCxnSpPr>
        <xdr:cNvPr id="213" name="Straight Arrow Connector 212">
          <a:extLst>
            <a:ext uri="{FF2B5EF4-FFF2-40B4-BE49-F238E27FC236}">
              <a16:creationId xmlns:a16="http://schemas.microsoft.com/office/drawing/2014/main" id="{00000000-0008-0000-0600-0000D5000000}"/>
            </a:ext>
          </a:extLst>
        </xdr:cNvPr>
        <xdr:cNvCxnSpPr/>
      </xdr:nvCxnSpPr>
      <xdr:spPr>
        <a:xfrm flipV="1">
          <a:off x="19375164" y="7508328"/>
          <a:ext cx="0" cy="1591003"/>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321879</xdr:colOff>
      <xdr:row>48</xdr:row>
      <xdr:rowOff>105104</xdr:rowOff>
    </xdr:from>
    <xdr:to>
      <xdr:col>36</xdr:col>
      <xdr:colOff>348155</xdr:colOff>
      <xdr:row>48</xdr:row>
      <xdr:rowOff>105104</xdr:rowOff>
    </xdr:to>
    <xdr:cxnSp macro="">
      <xdr:nvCxnSpPr>
        <xdr:cNvPr id="214" name="Straight Arrow Connector 213">
          <a:extLst>
            <a:ext uri="{FF2B5EF4-FFF2-40B4-BE49-F238E27FC236}">
              <a16:creationId xmlns:a16="http://schemas.microsoft.com/office/drawing/2014/main" id="{00000000-0008-0000-0600-0000D6000000}"/>
            </a:ext>
          </a:extLst>
        </xdr:cNvPr>
        <xdr:cNvCxnSpPr/>
      </xdr:nvCxnSpPr>
      <xdr:spPr>
        <a:xfrm>
          <a:off x="932793" y="9715501"/>
          <a:ext cx="21408259"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170793</xdr:colOff>
      <xdr:row>45</xdr:row>
      <xdr:rowOff>19379</xdr:rowOff>
    </xdr:from>
    <xdr:to>
      <xdr:col>40</xdr:col>
      <xdr:colOff>571500</xdr:colOff>
      <xdr:row>45</xdr:row>
      <xdr:rowOff>19379</xdr:rowOff>
    </xdr:to>
    <xdr:cxnSp macro="">
      <xdr:nvCxnSpPr>
        <xdr:cNvPr id="215" name="Straight Arrow Connector 214">
          <a:extLst>
            <a:ext uri="{FF2B5EF4-FFF2-40B4-BE49-F238E27FC236}">
              <a16:creationId xmlns:a16="http://schemas.microsoft.com/office/drawing/2014/main" id="{00000000-0008-0000-0600-0000D7000000}"/>
            </a:ext>
          </a:extLst>
        </xdr:cNvPr>
        <xdr:cNvCxnSpPr/>
      </xdr:nvCxnSpPr>
      <xdr:spPr>
        <a:xfrm>
          <a:off x="23335593" y="9172904"/>
          <a:ext cx="161990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561975</xdr:colOff>
      <xdr:row>42</xdr:row>
      <xdr:rowOff>133677</xdr:rowOff>
    </xdr:from>
    <xdr:ext cx="1371601" cy="410818"/>
    <xdr:sp macro="" textlink="">
      <xdr:nvSpPr>
        <xdr:cNvPr id="216" name="TextBox 215">
          <a:extLst>
            <a:ext uri="{FF2B5EF4-FFF2-40B4-BE49-F238E27FC236}">
              <a16:creationId xmlns:a16="http://schemas.microsoft.com/office/drawing/2014/main" id="{00000000-0008-0000-0600-0000D8000000}"/>
            </a:ext>
          </a:extLst>
        </xdr:cNvPr>
        <xdr:cNvSpPr txBox="1"/>
      </xdr:nvSpPr>
      <xdr:spPr>
        <a:xfrm>
          <a:off x="26774775" y="8658552"/>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MCLK_RX_SAI1</a:t>
          </a:r>
        </a:p>
      </xdr:txBody>
    </xdr:sp>
    <xdr:clientData/>
  </xdr:oneCellAnchor>
  <xdr:twoCellAnchor>
    <xdr:from>
      <xdr:col>38</xdr:col>
      <xdr:colOff>417635</xdr:colOff>
      <xdr:row>48</xdr:row>
      <xdr:rowOff>3285</xdr:rowOff>
    </xdr:from>
    <xdr:to>
      <xdr:col>44</xdr:col>
      <xdr:colOff>381000</xdr:colOff>
      <xdr:row>48</xdr:row>
      <xdr:rowOff>3285</xdr:rowOff>
    </xdr:to>
    <xdr:cxnSp macro="">
      <xdr:nvCxnSpPr>
        <xdr:cNvPr id="217" name="Straight Arrow Connector 216">
          <a:extLst>
            <a:ext uri="{FF2B5EF4-FFF2-40B4-BE49-F238E27FC236}">
              <a16:creationId xmlns:a16="http://schemas.microsoft.com/office/drawing/2014/main" id="{00000000-0008-0000-0600-0000D9000000}"/>
            </a:ext>
          </a:extLst>
        </xdr:cNvPr>
        <xdr:cNvCxnSpPr/>
      </xdr:nvCxnSpPr>
      <xdr:spPr>
        <a:xfrm>
          <a:off x="23526750" y="9748093"/>
          <a:ext cx="361217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190500</xdr:colOff>
      <xdr:row>48</xdr:row>
      <xdr:rowOff>17737</xdr:rowOff>
    </xdr:from>
    <xdr:to>
      <xdr:col>48</xdr:col>
      <xdr:colOff>412202</xdr:colOff>
      <xdr:row>48</xdr:row>
      <xdr:rowOff>17737</xdr:rowOff>
    </xdr:to>
    <xdr:cxnSp macro="">
      <xdr:nvCxnSpPr>
        <xdr:cNvPr id="219" name="Straight Arrow Connector 218">
          <a:extLst>
            <a:ext uri="{FF2B5EF4-FFF2-40B4-BE49-F238E27FC236}">
              <a16:creationId xmlns:a16="http://schemas.microsoft.com/office/drawing/2014/main" id="{00000000-0008-0000-0600-0000DB000000}"/>
            </a:ext>
          </a:extLst>
        </xdr:cNvPr>
        <xdr:cNvCxnSpPr/>
      </xdr:nvCxnSpPr>
      <xdr:spPr>
        <a:xfrm>
          <a:off x="28232100" y="9685612"/>
          <a:ext cx="144090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442419</xdr:colOff>
      <xdr:row>46</xdr:row>
      <xdr:rowOff>190500</xdr:rowOff>
    </xdr:from>
    <xdr:to>
      <xdr:col>50</xdr:col>
      <xdr:colOff>232477</xdr:colOff>
      <xdr:row>51</xdr:row>
      <xdr:rowOff>176557</xdr:rowOff>
    </xdr:to>
    <xdr:sp macro="" textlink="">
      <xdr:nvSpPr>
        <xdr:cNvPr id="220" name="Rectangle 219">
          <a:extLst>
            <a:ext uri="{FF2B5EF4-FFF2-40B4-BE49-F238E27FC236}">
              <a16:creationId xmlns:a16="http://schemas.microsoft.com/office/drawing/2014/main" id="{00000000-0008-0000-0600-0000DC000000}"/>
            </a:ext>
          </a:extLst>
        </xdr:cNvPr>
        <xdr:cNvSpPr/>
      </xdr:nvSpPr>
      <xdr:spPr>
        <a:xfrm>
          <a:off x="29703219" y="9458325"/>
          <a:ext cx="1009258" cy="10147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Select</a:t>
          </a:r>
        </a:p>
        <a:p>
          <a:pPr algn="ctr"/>
          <a:r>
            <a:rPr lang="en-US" sz="900"/>
            <a:t>I2S1_RCR2[BCD]</a:t>
          </a:r>
        </a:p>
      </xdr:txBody>
    </xdr:sp>
    <xdr:clientData/>
  </xdr:twoCellAnchor>
  <xdr:oneCellAnchor>
    <xdr:from>
      <xdr:col>48</xdr:col>
      <xdr:colOff>548837</xdr:colOff>
      <xdr:row>52</xdr:row>
      <xdr:rowOff>203638</xdr:rowOff>
    </xdr:from>
    <xdr:ext cx="1086398" cy="403665"/>
    <xdr:sp macro="" textlink="">
      <xdr:nvSpPr>
        <xdr:cNvPr id="221" name="TextBox 220">
          <a:extLst>
            <a:ext uri="{FF2B5EF4-FFF2-40B4-BE49-F238E27FC236}">
              <a16:creationId xmlns:a16="http://schemas.microsoft.com/office/drawing/2014/main" id="{00000000-0008-0000-0600-0000DD000000}"/>
            </a:ext>
          </a:extLst>
        </xdr:cNvPr>
        <xdr:cNvSpPr txBox="1"/>
      </xdr:nvSpPr>
      <xdr:spPr>
        <a:xfrm>
          <a:off x="29809637" y="10709713"/>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BCLK[1]</a:t>
          </a:r>
        </a:p>
        <a:p>
          <a:r>
            <a:rPr lang="en-US" sz="800"/>
            <a:t>1 - MCLK_RX_SAI1</a:t>
          </a:r>
        </a:p>
      </xdr:txBody>
    </xdr:sp>
    <xdr:clientData/>
  </xdr:oneCellAnchor>
  <xdr:oneCellAnchor>
    <xdr:from>
      <xdr:col>38</xdr:col>
      <xdr:colOff>486104</xdr:colOff>
      <xdr:row>49</xdr:row>
      <xdr:rowOff>85397</xdr:rowOff>
    </xdr:from>
    <xdr:ext cx="800101" cy="410818"/>
    <xdr:sp macro="" textlink="">
      <xdr:nvSpPr>
        <xdr:cNvPr id="252" name="TextBox 251">
          <a:hlinkClick xmlns:r="http://schemas.openxmlformats.org/officeDocument/2006/relationships" r:id="rId10"/>
          <a:extLst>
            <a:ext uri="{FF2B5EF4-FFF2-40B4-BE49-F238E27FC236}">
              <a16:creationId xmlns:a16="http://schemas.microsoft.com/office/drawing/2014/main" id="{00000000-0008-0000-0600-0000FC000000}"/>
            </a:ext>
          </a:extLst>
        </xdr:cNvPr>
        <xdr:cNvSpPr txBox="1"/>
      </xdr:nvSpPr>
      <xdr:spPr>
        <a:xfrm>
          <a:off x="23700828" y="9932276"/>
          <a:ext cx="8001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400" b="1"/>
            <a:t>BCLK[1]</a:t>
          </a:r>
        </a:p>
      </xdr:txBody>
    </xdr:sp>
    <xdr:clientData/>
  </xdr:oneCellAnchor>
  <xdr:twoCellAnchor>
    <xdr:from>
      <xdr:col>41</xdr:col>
      <xdr:colOff>6569</xdr:colOff>
      <xdr:row>50</xdr:row>
      <xdr:rowOff>118241</xdr:rowOff>
    </xdr:from>
    <xdr:to>
      <xdr:col>48</xdr:col>
      <xdr:colOff>419100</xdr:colOff>
      <xdr:row>50</xdr:row>
      <xdr:rowOff>118241</xdr:rowOff>
    </xdr:to>
    <xdr:cxnSp macro="">
      <xdr:nvCxnSpPr>
        <xdr:cNvPr id="253" name="Straight Arrow Connector 252">
          <a:extLst>
            <a:ext uri="{FF2B5EF4-FFF2-40B4-BE49-F238E27FC236}">
              <a16:creationId xmlns:a16="http://schemas.microsoft.com/office/drawing/2014/main" id="{00000000-0008-0000-0600-0000FD000000}"/>
            </a:ext>
          </a:extLst>
        </xdr:cNvPr>
        <xdr:cNvCxnSpPr/>
      </xdr:nvCxnSpPr>
      <xdr:spPr>
        <a:xfrm>
          <a:off x="25000169" y="10205216"/>
          <a:ext cx="467973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238125</xdr:colOff>
      <xdr:row>49</xdr:row>
      <xdr:rowOff>24507</xdr:rowOff>
    </xdr:from>
    <xdr:to>
      <xdr:col>52</xdr:col>
      <xdr:colOff>400782</xdr:colOff>
      <xdr:row>49</xdr:row>
      <xdr:rowOff>24507</xdr:rowOff>
    </xdr:to>
    <xdr:cxnSp macro="">
      <xdr:nvCxnSpPr>
        <xdr:cNvPr id="255" name="Straight Arrow Connector 254">
          <a:extLst>
            <a:ext uri="{FF2B5EF4-FFF2-40B4-BE49-F238E27FC236}">
              <a16:creationId xmlns:a16="http://schemas.microsoft.com/office/drawing/2014/main" id="{00000000-0008-0000-0600-0000FF000000}"/>
            </a:ext>
          </a:extLst>
        </xdr:cNvPr>
        <xdr:cNvCxnSpPr/>
      </xdr:nvCxnSpPr>
      <xdr:spPr>
        <a:xfrm>
          <a:off x="30718125" y="9901932"/>
          <a:ext cx="138185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74</xdr:col>
      <xdr:colOff>564931</xdr:colOff>
      <xdr:row>48</xdr:row>
      <xdr:rowOff>120947</xdr:rowOff>
    </xdr:from>
    <xdr:ext cx="1371601" cy="410818"/>
    <xdr:sp macro="" textlink="">
      <xdr:nvSpPr>
        <xdr:cNvPr id="256" name="TextBox 255">
          <a:extLst>
            <a:ext uri="{FF2B5EF4-FFF2-40B4-BE49-F238E27FC236}">
              <a16:creationId xmlns:a16="http://schemas.microsoft.com/office/drawing/2014/main" id="{00000000-0008-0000-0600-000000010000}"/>
            </a:ext>
          </a:extLst>
        </xdr:cNvPr>
        <xdr:cNvSpPr txBox="1"/>
      </xdr:nvSpPr>
      <xdr:spPr>
        <a:xfrm>
          <a:off x="45343637" y="9926094"/>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BCLK_RX_SAI1</a:t>
          </a:r>
        </a:p>
      </xdr:txBody>
    </xdr:sp>
    <xdr:clientData/>
  </xdr:oneCellAnchor>
  <xdr:twoCellAnchor>
    <xdr:from>
      <xdr:col>48</xdr:col>
      <xdr:colOff>388998</xdr:colOff>
      <xdr:row>56</xdr:row>
      <xdr:rowOff>124811</xdr:rowOff>
    </xdr:from>
    <xdr:to>
      <xdr:col>50</xdr:col>
      <xdr:colOff>179056</xdr:colOff>
      <xdr:row>60</xdr:row>
      <xdr:rowOff>183128</xdr:rowOff>
    </xdr:to>
    <xdr:sp macro="" textlink="">
      <xdr:nvSpPr>
        <xdr:cNvPr id="257" name="Rectangle 256">
          <a:extLst>
            <a:ext uri="{FF2B5EF4-FFF2-40B4-BE49-F238E27FC236}">
              <a16:creationId xmlns:a16="http://schemas.microsoft.com/office/drawing/2014/main" id="{00000000-0008-0000-0600-000001010000}"/>
            </a:ext>
          </a:extLst>
        </xdr:cNvPr>
        <xdr:cNvSpPr/>
      </xdr:nvSpPr>
      <xdr:spPr>
        <a:xfrm>
          <a:off x="29808824" y="11397441"/>
          <a:ext cx="1015884" cy="8865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white"/>
              </a:solidFill>
              <a:effectLst/>
              <a:uLnTx/>
              <a:uFillTx/>
              <a:latin typeface="+mn-lt"/>
              <a:ea typeface="+mn-ea"/>
              <a:cs typeface="+mn-cs"/>
            </a:rPr>
            <a:t>BCLK Select</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900" b="0" i="0" u="none" strike="noStrike" kern="0" cap="none" spc="0" normalizeH="0" baseline="0" noProof="0">
              <a:ln>
                <a:noFill/>
              </a:ln>
              <a:solidFill>
                <a:prstClr val="white"/>
              </a:solidFill>
              <a:effectLst/>
              <a:uLnTx/>
              <a:uFillTx/>
              <a:latin typeface="+mn-lt"/>
              <a:ea typeface="+mn-ea"/>
              <a:cs typeface="+mn-cs"/>
            </a:rPr>
            <a:t>I2S2_TCR2[BCD]</a:t>
          </a:r>
        </a:p>
      </xdr:txBody>
    </xdr:sp>
    <xdr:clientData/>
  </xdr:twoCellAnchor>
  <xdr:oneCellAnchor>
    <xdr:from>
      <xdr:col>48</xdr:col>
      <xdr:colOff>540084</xdr:colOff>
      <xdr:row>61</xdr:row>
      <xdr:rowOff>177363</xdr:rowOff>
    </xdr:from>
    <xdr:ext cx="1086398" cy="403665"/>
    <xdr:sp macro="" textlink="">
      <xdr:nvSpPr>
        <xdr:cNvPr id="258" name="TextBox 257">
          <a:extLst>
            <a:ext uri="{FF2B5EF4-FFF2-40B4-BE49-F238E27FC236}">
              <a16:creationId xmlns:a16="http://schemas.microsoft.com/office/drawing/2014/main" id="{00000000-0008-0000-0600-000002010000}"/>
            </a:ext>
          </a:extLst>
        </xdr:cNvPr>
        <xdr:cNvSpPr txBox="1"/>
      </xdr:nvSpPr>
      <xdr:spPr>
        <a:xfrm>
          <a:off x="29959910" y="12485320"/>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BCLK[2]</a:t>
          </a:r>
        </a:p>
        <a:p>
          <a:r>
            <a:rPr lang="en-US" sz="800"/>
            <a:t>1 - MCLK_TX_SAI2</a:t>
          </a:r>
        </a:p>
      </xdr:txBody>
    </xdr:sp>
    <xdr:clientData/>
  </xdr:oneCellAnchor>
  <xdr:twoCellAnchor>
    <xdr:from>
      <xdr:col>36</xdr:col>
      <xdr:colOff>131379</xdr:colOff>
      <xdr:row>57</xdr:row>
      <xdr:rowOff>18845</xdr:rowOff>
    </xdr:from>
    <xdr:to>
      <xdr:col>44</xdr:col>
      <xdr:colOff>371475</xdr:colOff>
      <xdr:row>57</xdr:row>
      <xdr:rowOff>18845</xdr:rowOff>
    </xdr:to>
    <xdr:cxnSp macro="">
      <xdr:nvCxnSpPr>
        <xdr:cNvPr id="259" name="Straight Arrow Connector 258">
          <a:extLst>
            <a:ext uri="{FF2B5EF4-FFF2-40B4-BE49-F238E27FC236}">
              <a16:creationId xmlns:a16="http://schemas.microsoft.com/office/drawing/2014/main" id="{00000000-0008-0000-0600-000003010000}"/>
            </a:ext>
          </a:extLst>
        </xdr:cNvPr>
        <xdr:cNvCxnSpPr/>
      </xdr:nvCxnSpPr>
      <xdr:spPr>
        <a:xfrm>
          <a:off x="22076979" y="11667920"/>
          <a:ext cx="51168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46</xdr:col>
      <xdr:colOff>200025</xdr:colOff>
      <xdr:row>57</xdr:row>
      <xdr:rowOff>20559</xdr:rowOff>
    </xdr:from>
    <xdr:to>
      <xdr:col>48</xdr:col>
      <xdr:colOff>364547</xdr:colOff>
      <xdr:row>57</xdr:row>
      <xdr:rowOff>20559</xdr:rowOff>
    </xdr:to>
    <xdr:cxnSp macro="">
      <xdr:nvCxnSpPr>
        <xdr:cNvPr id="261" name="Straight Arrow Connector 260">
          <a:extLst>
            <a:ext uri="{FF2B5EF4-FFF2-40B4-BE49-F238E27FC236}">
              <a16:creationId xmlns:a16="http://schemas.microsoft.com/office/drawing/2014/main" id="{00000000-0008-0000-0600-000005010000}"/>
            </a:ext>
          </a:extLst>
        </xdr:cNvPr>
        <xdr:cNvCxnSpPr/>
      </xdr:nvCxnSpPr>
      <xdr:spPr>
        <a:xfrm>
          <a:off x="28241625" y="11669634"/>
          <a:ext cx="138372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35</xdr:col>
      <xdr:colOff>486103</xdr:colOff>
      <xdr:row>58</xdr:row>
      <xdr:rowOff>91964</xdr:rowOff>
    </xdr:from>
    <xdr:ext cx="800101" cy="410818"/>
    <xdr:sp macro="" textlink="">
      <xdr:nvSpPr>
        <xdr:cNvPr id="262" name="TextBox 261">
          <a:hlinkClick xmlns:r="http://schemas.openxmlformats.org/officeDocument/2006/relationships" r:id="rId11"/>
          <a:extLst>
            <a:ext uri="{FF2B5EF4-FFF2-40B4-BE49-F238E27FC236}">
              <a16:creationId xmlns:a16="http://schemas.microsoft.com/office/drawing/2014/main" id="{00000000-0008-0000-0600-000006010000}"/>
            </a:ext>
          </a:extLst>
        </xdr:cNvPr>
        <xdr:cNvSpPr txBox="1"/>
      </xdr:nvSpPr>
      <xdr:spPr>
        <a:xfrm>
          <a:off x="21868086" y="11804430"/>
          <a:ext cx="8001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400" b="1"/>
            <a:t>BCLK[2]</a:t>
          </a:r>
        </a:p>
      </xdr:txBody>
    </xdr:sp>
    <xdr:clientData/>
  </xdr:oneCellAnchor>
  <xdr:twoCellAnchor>
    <xdr:from>
      <xdr:col>38</xdr:col>
      <xdr:colOff>0</xdr:colOff>
      <xdr:row>59</xdr:row>
      <xdr:rowOff>111673</xdr:rowOff>
    </xdr:from>
    <xdr:to>
      <xdr:col>48</xdr:col>
      <xdr:colOff>364435</xdr:colOff>
      <xdr:row>59</xdr:row>
      <xdr:rowOff>111673</xdr:rowOff>
    </xdr:to>
    <xdr:cxnSp macro="">
      <xdr:nvCxnSpPr>
        <xdr:cNvPr id="263" name="Straight Arrow Connector 262">
          <a:extLst>
            <a:ext uri="{FF2B5EF4-FFF2-40B4-BE49-F238E27FC236}">
              <a16:creationId xmlns:a16="http://schemas.microsoft.com/office/drawing/2014/main" id="{00000000-0008-0000-0600-000007010000}"/>
            </a:ext>
          </a:extLst>
        </xdr:cNvPr>
        <xdr:cNvCxnSpPr/>
      </xdr:nvCxnSpPr>
      <xdr:spPr>
        <a:xfrm>
          <a:off x="23290696" y="12005499"/>
          <a:ext cx="649356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198498</xdr:colOff>
      <xdr:row>58</xdr:row>
      <xdr:rowOff>15663</xdr:rowOff>
    </xdr:from>
    <xdr:to>
      <xdr:col>52</xdr:col>
      <xdr:colOff>392787</xdr:colOff>
      <xdr:row>58</xdr:row>
      <xdr:rowOff>15663</xdr:rowOff>
    </xdr:to>
    <xdr:cxnSp macro="">
      <xdr:nvCxnSpPr>
        <xdr:cNvPr id="264" name="Straight Arrow Connector 263">
          <a:extLst>
            <a:ext uri="{FF2B5EF4-FFF2-40B4-BE49-F238E27FC236}">
              <a16:creationId xmlns:a16="http://schemas.microsoft.com/office/drawing/2014/main" id="{00000000-0008-0000-0600-000008010000}"/>
            </a:ext>
          </a:extLst>
        </xdr:cNvPr>
        <xdr:cNvCxnSpPr/>
      </xdr:nvCxnSpPr>
      <xdr:spPr>
        <a:xfrm>
          <a:off x="30844150" y="11702424"/>
          <a:ext cx="142011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74</xdr:col>
      <xdr:colOff>564372</xdr:colOff>
      <xdr:row>57</xdr:row>
      <xdr:rowOff>109959</xdr:rowOff>
    </xdr:from>
    <xdr:ext cx="1371601" cy="410818"/>
    <xdr:sp macro="" textlink="">
      <xdr:nvSpPr>
        <xdr:cNvPr id="265" name="TextBox 264">
          <a:extLst>
            <a:ext uri="{FF2B5EF4-FFF2-40B4-BE49-F238E27FC236}">
              <a16:creationId xmlns:a16="http://schemas.microsoft.com/office/drawing/2014/main" id="{00000000-0008-0000-0600-000009010000}"/>
            </a:ext>
          </a:extLst>
        </xdr:cNvPr>
        <xdr:cNvSpPr txBox="1"/>
      </xdr:nvSpPr>
      <xdr:spPr>
        <a:xfrm>
          <a:off x="45919937" y="11589655"/>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BCLK_TX_SAI2</a:t>
          </a:r>
        </a:p>
      </xdr:txBody>
    </xdr:sp>
    <xdr:clientData/>
  </xdr:oneCellAnchor>
  <xdr:twoCellAnchor>
    <xdr:from>
      <xdr:col>36</xdr:col>
      <xdr:colOff>420413</xdr:colOff>
      <xdr:row>63</xdr:row>
      <xdr:rowOff>26276</xdr:rowOff>
    </xdr:from>
    <xdr:to>
      <xdr:col>38</xdr:col>
      <xdr:colOff>210470</xdr:colOff>
      <xdr:row>67</xdr:row>
      <xdr:rowOff>168346</xdr:rowOff>
    </xdr:to>
    <xdr:sp macro="" textlink="">
      <xdr:nvSpPr>
        <xdr:cNvPr id="266" name="Rectangle 265">
          <a:extLst>
            <a:ext uri="{FF2B5EF4-FFF2-40B4-BE49-F238E27FC236}">
              <a16:creationId xmlns:a16="http://schemas.microsoft.com/office/drawing/2014/main" id="{00000000-0008-0000-0600-00000A010000}"/>
            </a:ext>
          </a:extLst>
        </xdr:cNvPr>
        <xdr:cNvSpPr/>
      </xdr:nvSpPr>
      <xdr:spPr>
        <a:xfrm>
          <a:off x="22413310" y="12776638"/>
          <a:ext cx="1011884" cy="9040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MCLK Select</a:t>
          </a:r>
        </a:p>
        <a:p>
          <a:pPr algn="ctr"/>
          <a:r>
            <a:rPr lang="en-US" sz="900"/>
            <a:t>I2S2_RCR2[MSEL]</a:t>
          </a:r>
        </a:p>
      </xdr:txBody>
    </xdr:sp>
    <xdr:clientData/>
  </xdr:twoCellAnchor>
  <xdr:twoCellAnchor>
    <xdr:from>
      <xdr:col>1</xdr:col>
      <xdr:colOff>302172</xdr:colOff>
      <xdr:row>66</xdr:row>
      <xdr:rowOff>151086</xdr:rowOff>
    </xdr:from>
    <xdr:to>
      <xdr:col>36</xdr:col>
      <xdr:colOff>400622</xdr:colOff>
      <xdr:row>66</xdr:row>
      <xdr:rowOff>151086</xdr:rowOff>
    </xdr:to>
    <xdr:cxnSp macro="">
      <xdr:nvCxnSpPr>
        <xdr:cNvPr id="267" name="Straight Arrow Connector 266">
          <a:extLst>
            <a:ext uri="{FF2B5EF4-FFF2-40B4-BE49-F238E27FC236}">
              <a16:creationId xmlns:a16="http://schemas.microsoft.com/office/drawing/2014/main" id="{00000000-0008-0000-0600-00000B010000}"/>
            </a:ext>
          </a:extLst>
        </xdr:cNvPr>
        <xdr:cNvCxnSpPr/>
      </xdr:nvCxnSpPr>
      <xdr:spPr>
        <a:xfrm>
          <a:off x="913086" y="13472948"/>
          <a:ext cx="21480433" cy="0"/>
        </a:xfrm>
        <a:prstGeom prst="straightConnector1">
          <a:avLst/>
        </a:prstGeom>
        <a:ln w="19050">
          <a:solidFill>
            <a:schemeClr val="bg2">
              <a:lumMod val="75000"/>
            </a:schemeClr>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367862</xdr:colOff>
      <xdr:row>63</xdr:row>
      <xdr:rowOff>134698</xdr:rowOff>
    </xdr:from>
    <xdr:to>
      <xdr:col>36</xdr:col>
      <xdr:colOff>407114</xdr:colOff>
      <xdr:row>63</xdr:row>
      <xdr:rowOff>134698</xdr:rowOff>
    </xdr:to>
    <xdr:cxnSp macro="">
      <xdr:nvCxnSpPr>
        <xdr:cNvPr id="268" name="Straight Arrow Connector 267">
          <a:extLst>
            <a:ext uri="{FF2B5EF4-FFF2-40B4-BE49-F238E27FC236}">
              <a16:creationId xmlns:a16="http://schemas.microsoft.com/office/drawing/2014/main" id="{00000000-0008-0000-0600-00000C010000}"/>
            </a:ext>
          </a:extLst>
        </xdr:cNvPr>
        <xdr:cNvCxnSpPr/>
      </xdr:nvCxnSpPr>
      <xdr:spPr>
        <a:xfrm>
          <a:off x="19306190" y="12885060"/>
          <a:ext cx="309382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367862</xdr:colOff>
      <xdr:row>55</xdr:row>
      <xdr:rowOff>78827</xdr:rowOff>
    </xdr:from>
    <xdr:to>
      <xdr:col>31</xdr:col>
      <xdr:colOff>367862</xdr:colOff>
      <xdr:row>63</xdr:row>
      <xdr:rowOff>140577</xdr:rowOff>
    </xdr:to>
    <xdr:cxnSp macro="">
      <xdr:nvCxnSpPr>
        <xdr:cNvPr id="269" name="Straight Arrow Connector 268">
          <a:extLst>
            <a:ext uri="{FF2B5EF4-FFF2-40B4-BE49-F238E27FC236}">
              <a16:creationId xmlns:a16="http://schemas.microsoft.com/office/drawing/2014/main" id="{00000000-0008-0000-0600-00000D010000}"/>
            </a:ext>
          </a:extLst>
        </xdr:cNvPr>
        <xdr:cNvCxnSpPr/>
      </xdr:nvCxnSpPr>
      <xdr:spPr>
        <a:xfrm flipV="1">
          <a:off x="19306190" y="11160672"/>
          <a:ext cx="0" cy="1730267"/>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36</xdr:col>
      <xdr:colOff>558361</xdr:colOff>
      <xdr:row>69</xdr:row>
      <xdr:rowOff>6569</xdr:rowOff>
    </xdr:from>
    <xdr:ext cx="1086398" cy="689741"/>
    <xdr:sp macro="" textlink="">
      <xdr:nvSpPr>
        <xdr:cNvPr id="270" name="TextBox 269">
          <a:extLst>
            <a:ext uri="{FF2B5EF4-FFF2-40B4-BE49-F238E27FC236}">
              <a16:creationId xmlns:a16="http://schemas.microsoft.com/office/drawing/2014/main" id="{00000000-0008-0000-0600-00000E010000}"/>
            </a:ext>
          </a:extLst>
        </xdr:cNvPr>
        <xdr:cNvSpPr txBox="1"/>
      </xdr:nvSpPr>
      <xdr:spPr>
        <a:xfrm>
          <a:off x="22551258" y="13926207"/>
          <a:ext cx="1086398" cy="6897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S40</a:t>
          </a:r>
        </a:p>
        <a:p>
          <a:r>
            <a:rPr lang="en-US" sz="800"/>
            <a:t>1 - FCLK_MCLK[2]</a:t>
          </a:r>
        </a:p>
        <a:p>
          <a:r>
            <a:rPr lang="en-US" sz="800"/>
            <a:t>2</a:t>
          </a:r>
          <a:r>
            <a:rPr lang="en-US" sz="800" baseline="0"/>
            <a:t> - MCLK[0]</a:t>
          </a:r>
        </a:p>
        <a:p>
          <a:r>
            <a:rPr lang="en-US" sz="800" baseline="0"/>
            <a:t>3 - MCLK[1]</a:t>
          </a:r>
          <a:endParaRPr lang="en-US" sz="800"/>
        </a:p>
      </xdr:txBody>
    </xdr:sp>
    <xdr:clientData/>
  </xdr:oneCellAnchor>
  <xdr:twoCellAnchor>
    <xdr:from>
      <xdr:col>38</xdr:col>
      <xdr:colOff>210207</xdr:colOff>
      <xdr:row>64</xdr:row>
      <xdr:rowOff>22335</xdr:rowOff>
    </xdr:from>
    <xdr:to>
      <xdr:col>40</xdr:col>
      <xdr:colOff>581025</xdr:colOff>
      <xdr:row>64</xdr:row>
      <xdr:rowOff>22335</xdr:rowOff>
    </xdr:to>
    <xdr:cxnSp macro="">
      <xdr:nvCxnSpPr>
        <xdr:cNvPr id="271" name="Straight Arrow Connector 270">
          <a:extLst>
            <a:ext uri="{FF2B5EF4-FFF2-40B4-BE49-F238E27FC236}">
              <a16:creationId xmlns:a16="http://schemas.microsoft.com/office/drawing/2014/main" id="{00000000-0008-0000-0600-00000F010000}"/>
            </a:ext>
          </a:extLst>
        </xdr:cNvPr>
        <xdr:cNvCxnSpPr/>
      </xdr:nvCxnSpPr>
      <xdr:spPr>
        <a:xfrm>
          <a:off x="23375007" y="13157310"/>
          <a:ext cx="15900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43</xdr:col>
      <xdr:colOff>581025</xdr:colOff>
      <xdr:row>61</xdr:row>
      <xdr:rowOff>94922</xdr:rowOff>
    </xdr:from>
    <xdr:ext cx="1371601" cy="410818"/>
    <xdr:sp macro="" textlink="">
      <xdr:nvSpPr>
        <xdr:cNvPr id="272" name="TextBox 271">
          <a:extLst>
            <a:ext uri="{FF2B5EF4-FFF2-40B4-BE49-F238E27FC236}">
              <a16:creationId xmlns:a16="http://schemas.microsoft.com/office/drawing/2014/main" id="{00000000-0008-0000-0600-000010010000}"/>
            </a:ext>
          </a:extLst>
        </xdr:cNvPr>
        <xdr:cNvSpPr txBox="1"/>
      </xdr:nvSpPr>
      <xdr:spPr>
        <a:xfrm>
          <a:off x="26793825" y="12601247"/>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MCLK_RX_SAI2</a:t>
          </a:r>
        </a:p>
      </xdr:txBody>
    </xdr:sp>
    <xdr:clientData/>
  </xdr:oneCellAnchor>
  <xdr:twoCellAnchor>
    <xdr:from>
      <xdr:col>38</xdr:col>
      <xdr:colOff>390525</xdr:colOff>
      <xdr:row>66</xdr:row>
      <xdr:rowOff>197397</xdr:rowOff>
    </xdr:from>
    <xdr:to>
      <xdr:col>44</xdr:col>
      <xdr:colOff>423370</xdr:colOff>
      <xdr:row>66</xdr:row>
      <xdr:rowOff>197397</xdr:rowOff>
    </xdr:to>
    <xdr:cxnSp macro="">
      <xdr:nvCxnSpPr>
        <xdr:cNvPr id="273" name="Straight Arrow Connector 272">
          <a:extLst>
            <a:ext uri="{FF2B5EF4-FFF2-40B4-BE49-F238E27FC236}">
              <a16:creationId xmlns:a16="http://schemas.microsoft.com/office/drawing/2014/main" id="{00000000-0008-0000-0600-000011010000}"/>
            </a:ext>
          </a:extLst>
        </xdr:cNvPr>
        <xdr:cNvCxnSpPr/>
      </xdr:nvCxnSpPr>
      <xdr:spPr>
        <a:xfrm>
          <a:off x="23555325" y="13627647"/>
          <a:ext cx="369044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407932</xdr:colOff>
      <xdr:row>66</xdr:row>
      <xdr:rowOff>2</xdr:rowOff>
    </xdr:from>
    <xdr:to>
      <xdr:col>50</xdr:col>
      <xdr:colOff>197990</xdr:colOff>
      <xdr:row>70</xdr:row>
      <xdr:rowOff>183128</xdr:rowOff>
    </xdr:to>
    <xdr:sp macro="" textlink="">
      <xdr:nvSpPr>
        <xdr:cNvPr id="275" name="Rectangle 274">
          <a:extLst>
            <a:ext uri="{FF2B5EF4-FFF2-40B4-BE49-F238E27FC236}">
              <a16:creationId xmlns:a16="http://schemas.microsoft.com/office/drawing/2014/main" id="{00000000-0008-0000-0600-000013010000}"/>
            </a:ext>
          </a:extLst>
        </xdr:cNvPr>
        <xdr:cNvSpPr/>
      </xdr:nvSpPr>
      <xdr:spPr>
        <a:xfrm>
          <a:off x="29668732" y="13430252"/>
          <a:ext cx="1009258" cy="101180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Select</a:t>
          </a:r>
        </a:p>
        <a:p>
          <a:pPr algn="ctr"/>
          <a:r>
            <a:rPr lang="en-US" sz="900"/>
            <a:t>I2S2_RCR2[BCD]</a:t>
          </a:r>
        </a:p>
      </xdr:txBody>
    </xdr:sp>
    <xdr:clientData/>
  </xdr:twoCellAnchor>
  <xdr:twoCellAnchor>
    <xdr:from>
      <xdr:col>46</xdr:col>
      <xdr:colOff>209550</xdr:colOff>
      <xdr:row>66</xdr:row>
      <xdr:rowOff>206265</xdr:rowOff>
    </xdr:from>
    <xdr:to>
      <xdr:col>48</xdr:col>
      <xdr:colOff>417458</xdr:colOff>
      <xdr:row>66</xdr:row>
      <xdr:rowOff>206265</xdr:rowOff>
    </xdr:to>
    <xdr:cxnSp macro="">
      <xdr:nvCxnSpPr>
        <xdr:cNvPr id="276" name="Straight Arrow Connector 275">
          <a:extLst>
            <a:ext uri="{FF2B5EF4-FFF2-40B4-BE49-F238E27FC236}">
              <a16:creationId xmlns:a16="http://schemas.microsoft.com/office/drawing/2014/main" id="{00000000-0008-0000-0600-000014010000}"/>
            </a:ext>
          </a:extLst>
        </xdr:cNvPr>
        <xdr:cNvCxnSpPr/>
      </xdr:nvCxnSpPr>
      <xdr:spPr>
        <a:xfrm>
          <a:off x="28251150" y="13646040"/>
          <a:ext cx="142710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38</xdr:col>
      <xdr:colOff>499242</xdr:colOff>
      <xdr:row>68</xdr:row>
      <xdr:rowOff>105103</xdr:rowOff>
    </xdr:from>
    <xdr:ext cx="800101" cy="410818"/>
    <xdr:sp macro="" textlink="">
      <xdr:nvSpPr>
        <xdr:cNvPr id="277" name="TextBox 276">
          <a:hlinkClick xmlns:r="http://schemas.openxmlformats.org/officeDocument/2006/relationships" r:id="rId11"/>
          <a:extLst>
            <a:ext uri="{FF2B5EF4-FFF2-40B4-BE49-F238E27FC236}">
              <a16:creationId xmlns:a16="http://schemas.microsoft.com/office/drawing/2014/main" id="{00000000-0008-0000-0600-000015010000}"/>
            </a:ext>
          </a:extLst>
        </xdr:cNvPr>
        <xdr:cNvSpPr txBox="1"/>
      </xdr:nvSpPr>
      <xdr:spPr>
        <a:xfrm>
          <a:off x="23713966" y="13847379"/>
          <a:ext cx="8001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400" b="1"/>
            <a:t>BCLK[2]</a:t>
          </a:r>
        </a:p>
      </xdr:txBody>
    </xdr:sp>
    <xdr:clientData/>
  </xdr:oneCellAnchor>
  <xdr:twoCellAnchor>
    <xdr:from>
      <xdr:col>41</xdr:col>
      <xdr:colOff>6569</xdr:colOff>
      <xdr:row>69</xdr:row>
      <xdr:rowOff>111672</xdr:rowOff>
    </xdr:from>
    <xdr:to>
      <xdr:col>48</xdr:col>
      <xdr:colOff>390525</xdr:colOff>
      <xdr:row>69</xdr:row>
      <xdr:rowOff>111672</xdr:rowOff>
    </xdr:to>
    <xdr:cxnSp macro="">
      <xdr:nvCxnSpPr>
        <xdr:cNvPr id="278" name="Straight Arrow Connector 277">
          <a:extLst>
            <a:ext uri="{FF2B5EF4-FFF2-40B4-BE49-F238E27FC236}">
              <a16:creationId xmlns:a16="http://schemas.microsoft.com/office/drawing/2014/main" id="{00000000-0008-0000-0600-000016010000}"/>
            </a:ext>
          </a:extLst>
        </xdr:cNvPr>
        <xdr:cNvCxnSpPr/>
      </xdr:nvCxnSpPr>
      <xdr:spPr>
        <a:xfrm>
          <a:off x="25000169" y="14161047"/>
          <a:ext cx="465115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204295</xdr:colOff>
      <xdr:row>68</xdr:row>
      <xdr:rowOff>23748</xdr:rowOff>
    </xdr:from>
    <xdr:to>
      <xdr:col>52</xdr:col>
      <xdr:colOff>435219</xdr:colOff>
      <xdr:row>68</xdr:row>
      <xdr:rowOff>23748</xdr:rowOff>
    </xdr:to>
    <xdr:cxnSp macro="">
      <xdr:nvCxnSpPr>
        <xdr:cNvPr id="279" name="Straight Arrow Connector 278">
          <a:extLst>
            <a:ext uri="{FF2B5EF4-FFF2-40B4-BE49-F238E27FC236}">
              <a16:creationId xmlns:a16="http://schemas.microsoft.com/office/drawing/2014/main" id="{00000000-0008-0000-0600-000017010000}"/>
            </a:ext>
          </a:extLst>
        </xdr:cNvPr>
        <xdr:cNvCxnSpPr/>
      </xdr:nvCxnSpPr>
      <xdr:spPr>
        <a:xfrm>
          <a:off x="30684295" y="13863573"/>
          <a:ext cx="14501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74</xdr:col>
      <xdr:colOff>577979</xdr:colOff>
      <xdr:row>67</xdr:row>
      <xdr:rowOff>105103</xdr:rowOff>
    </xdr:from>
    <xdr:ext cx="1371601" cy="410818"/>
    <xdr:sp macro="" textlink="">
      <xdr:nvSpPr>
        <xdr:cNvPr id="280" name="TextBox 279">
          <a:extLst>
            <a:ext uri="{FF2B5EF4-FFF2-40B4-BE49-F238E27FC236}">
              <a16:creationId xmlns:a16="http://schemas.microsoft.com/office/drawing/2014/main" id="{00000000-0008-0000-0600-000018010000}"/>
            </a:ext>
          </a:extLst>
        </xdr:cNvPr>
        <xdr:cNvSpPr txBox="1"/>
      </xdr:nvSpPr>
      <xdr:spPr>
        <a:xfrm>
          <a:off x="45933544" y="13638886"/>
          <a:ext cx="1371601"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400" b="1"/>
            <a:t>BCLK_RX_SAI2</a:t>
          </a:r>
        </a:p>
      </xdr:txBody>
    </xdr:sp>
    <xdr:clientData/>
  </xdr:oneCellAnchor>
  <xdr:oneCellAnchor>
    <xdr:from>
      <xdr:col>48</xdr:col>
      <xdr:colOff>539311</xdr:colOff>
      <xdr:row>72</xdr:row>
      <xdr:rowOff>656</xdr:rowOff>
    </xdr:from>
    <xdr:ext cx="1086398" cy="403665"/>
    <xdr:sp macro="" textlink="">
      <xdr:nvSpPr>
        <xdr:cNvPr id="281" name="TextBox 280">
          <a:extLst>
            <a:ext uri="{FF2B5EF4-FFF2-40B4-BE49-F238E27FC236}">
              <a16:creationId xmlns:a16="http://schemas.microsoft.com/office/drawing/2014/main" id="{00000000-0008-0000-0600-000019010000}"/>
            </a:ext>
          </a:extLst>
        </xdr:cNvPr>
        <xdr:cNvSpPr txBox="1"/>
      </xdr:nvSpPr>
      <xdr:spPr>
        <a:xfrm>
          <a:off x="29800111" y="14678681"/>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BCLK[2]</a:t>
          </a:r>
        </a:p>
        <a:p>
          <a:r>
            <a:rPr lang="en-US" sz="800"/>
            <a:t>1 - MCLK_RX_SAI2</a:t>
          </a:r>
        </a:p>
      </xdr:txBody>
    </xdr:sp>
    <xdr:clientData/>
  </xdr:oneCellAnchor>
  <xdr:twoCellAnchor>
    <xdr:from>
      <xdr:col>52</xdr:col>
      <xdr:colOff>373155</xdr:colOff>
      <xdr:row>19</xdr:row>
      <xdr:rowOff>89648</xdr:rowOff>
    </xdr:from>
    <xdr:to>
      <xdr:col>54</xdr:col>
      <xdr:colOff>163213</xdr:colOff>
      <xdr:row>23</xdr:row>
      <xdr:rowOff>193947</xdr:rowOff>
    </xdr:to>
    <xdr:sp macro="" textlink="">
      <xdr:nvSpPr>
        <xdr:cNvPr id="194" name="Rectangle 193">
          <a:extLst>
            <a:ext uri="{FF2B5EF4-FFF2-40B4-BE49-F238E27FC236}">
              <a16:creationId xmlns:a16="http://schemas.microsoft.com/office/drawing/2014/main" id="{00000000-0008-0000-0600-0000C2000000}"/>
            </a:ext>
          </a:extLst>
        </xdr:cNvPr>
        <xdr:cNvSpPr/>
      </xdr:nvSpPr>
      <xdr:spPr>
        <a:xfrm>
          <a:off x="31996155" y="3797071"/>
          <a:ext cx="1006327" cy="95422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Enable</a:t>
          </a:r>
        </a:p>
        <a:p>
          <a:pPr algn="ctr"/>
          <a:r>
            <a:rPr lang="en-US" sz="900"/>
            <a:t>I2S0_TCSR[BCE]</a:t>
          </a:r>
        </a:p>
      </xdr:txBody>
    </xdr:sp>
    <xdr:clientData/>
  </xdr:twoCellAnchor>
  <xdr:twoCellAnchor>
    <xdr:from>
      <xdr:col>67</xdr:col>
      <xdr:colOff>231913</xdr:colOff>
      <xdr:row>21</xdr:row>
      <xdr:rowOff>9483</xdr:rowOff>
    </xdr:from>
    <xdr:to>
      <xdr:col>69</xdr:col>
      <xdr:colOff>581025</xdr:colOff>
      <xdr:row>21</xdr:row>
      <xdr:rowOff>9483</xdr:rowOff>
    </xdr:to>
    <xdr:cxnSp macro="">
      <xdr:nvCxnSpPr>
        <xdr:cNvPr id="228" name="Straight Arrow Connector 227">
          <a:extLst>
            <a:ext uri="{FF2B5EF4-FFF2-40B4-BE49-F238E27FC236}">
              <a16:creationId xmlns:a16="http://schemas.microsoft.com/office/drawing/2014/main" id="{00000000-0008-0000-0600-0000E4000000}"/>
            </a:ext>
          </a:extLst>
        </xdr:cNvPr>
        <xdr:cNvCxnSpPr/>
      </xdr:nvCxnSpPr>
      <xdr:spPr>
        <a:xfrm>
          <a:off x="41075113" y="4152858"/>
          <a:ext cx="15683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52</xdr:col>
      <xdr:colOff>560294</xdr:colOff>
      <xdr:row>24</xdr:row>
      <xdr:rowOff>201706</xdr:rowOff>
    </xdr:from>
    <xdr:ext cx="1086398" cy="403665"/>
    <xdr:sp macro="" textlink="">
      <xdr:nvSpPr>
        <xdr:cNvPr id="229" name="TextBox 228">
          <a:extLst>
            <a:ext uri="{FF2B5EF4-FFF2-40B4-BE49-F238E27FC236}">
              <a16:creationId xmlns:a16="http://schemas.microsoft.com/office/drawing/2014/main" id="{00000000-0008-0000-0600-0000E5000000}"/>
            </a:ext>
          </a:extLst>
        </xdr:cNvPr>
        <xdr:cNvSpPr txBox="1"/>
      </xdr:nvSpPr>
      <xdr:spPr>
        <a:xfrm>
          <a:off x="32259494" y="4954681"/>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 off</a:t>
          </a:r>
        </a:p>
        <a:p>
          <a:r>
            <a:rPr lang="en-US" sz="800"/>
            <a:t>1 -</a:t>
          </a:r>
          <a:r>
            <a:rPr lang="en-US" sz="800" baseline="0"/>
            <a:t> BCLK on</a:t>
          </a:r>
          <a:endParaRPr lang="en-US" sz="800"/>
        </a:p>
      </xdr:txBody>
    </xdr:sp>
    <xdr:clientData/>
  </xdr:oneCellAnchor>
  <xdr:twoCellAnchor>
    <xdr:from>
      <xdr:col>52</xdr:col>
      <xdr:colOff>400782</xdr:colOff>
      <xdr:row>27</xdr:row>
      <xdr:rowOff>73269</xdr:rowOff>
    </xdr:from>
    <xdr:to>
      <xdr:col>54</xdr:col>
      <xdr:colOff>190840</xdr:colOff>
      <xdr:row>31</xdr:row>
      <xdr:rowOff>192222</xdr:rowOff>
    </xdr:to>
    <xdr:sp macro="" textlink="">
      <xdr:nvSpPr>
        <xdr:cNvPr id="230" name="Rectangle 229">
          <a:extLst>
            <a:ext uri="{FF2B5EF4-FFF2-40B4-BE49-F238E27FC236}">
              <a16:creationId xmlns:a16="http://schemas.microsoft.com/office/drawing/2014/main" id="{00000000-0008-0000-0600-0000E6000000}"/>
            </a:ext>
          </a:extLst>
        </xdr:cNvPr>
        <xdr:cNvSpPr/>
      </xdr:nvSpPr>
      <xdr:spPr>
        <a:xfrm>
          <a:off x="32099982" y="5426319"/>
          <a:ext cx="1009258" cy="9476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Enable</a:t>
          </a:r>
        </a:p>
        <a:p>
          <a:pPr algn="ctr"/>
          <a:r>
            <a:rPr lang="en-US" sz="900"/>
            <a:t>I2S0_RCSR[BCE]</a:t>
          </a:r>
        </a:p>
      </xdr:txBody>
    </xdr:sp>
    <xdr:clientData/>
  </xdr:twoCellAnchor>
  <xdr:oneCellAnchor>
    <xdr:from>
      <xdr:col>52</xdr:col>
      <xdr:colOff>561974</xdr:colOff>
      <xdr:row>32</xdr:row>
      <xdr:rowOff>190499</xdr:rowOff>
    </xdr:from>
    <xdr:ext cx="1086398" cy="403665"/>
    <xdr:sp macro="" textlink="">
      <xdr:nvSpPr>
        <xdr:cNvPr id="231" name="TextBox 230">
          <a:extLst>
            <a:ext uri="{FF2B5EF4-FFF2-40B4-BE49-F238E27FC236}">
              <a16:creationId xmlns:a16="http://schemas.microsoft.com/office/drawing/2014/main" id="{00000000-0008-0000-0600-0000E7000000}"/>
            </a:ext>
          </a:extLst>
        </xdr:cNvPr>
        <xdr:cNvSpPr txBox="1"/>
      </xdr:nvSpPr>
      <xdr:spPr>
        <a:xfrm>
          <a:off x="32261174" y="6581774"/>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 off</a:t>
          </a:r>
        </a:p>
        <a:p>
          <a:r>
            <a:rPr lang="en-US" sz="800"/>
            <a:t>1 -</a:t>
          </a:r>
          <a:r>
            <a:rPr lang="en-US" sz="800" baseline="0"/>
            <a:t> BCLK on</a:t>
          </a:r>
          <a:endParaRPr lang="en-US" sz="800"/>
        </a:p>
      </xdr:txBody>
    </xdr:sp>
    <xdr:clientData/>
  </xdr:oneCellAnchor>
  <xdr:twoCellAnchor>
    <xdr:from>
      <xdr:col>67</xdr:col>
      <xdr:colOff>231913</xdr:colOff>
      <xdr:row>29</xdr:row>
      <xdr:rowOff>21981</xdr:rowOff>
    </xdr:from>
    <xdr:to>
      <xdr:col>69</xdr:col>
      <xdr:colOff>600075</xdr:colOff>
      <xdr:row>29</xdr:row>
      <xdr:rowOff>21981</xdr:rowOff>
    </xdr:to>
    <xdr:cxnSp macro="">
      <xdr:nvCxnSpPr>
        <xdr:cNvPr id="232" name="Straight Arrow Connector 231">
          <a:extLst>
            <a:ext uri="{FF2B5EF4-FFF2-40B4-BE49-F238E27FC236}">
              <a16:creationId xmlns:a16="http://schemas.microsoft.com/office/drawing/2014/main" id="{00000000-0008-0000-0600-0000E8000000}"/>
            </a:ext>
          </a:extLst>
        </xdr:cNvPr>
        <xdr:cNvCxnSpPr/>
      </xdr:nvCxnSpPr>
      <xdr:spPr>
        <a:xfrm>
          <a:off x="41075113" y="5841756"/>
          <a:ext cx="15873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379534</xdr:colOff>
      <xdr:row>38</xdr:row>
      <xdr:rowOff>87923</xdr:rowOff>
    </xdr:from>
    <xdr:to>
      <xdr:col>54</xdr:col>
      <xdr:colOff>169592</xdr:colOff>
      <xdr:row>42</xdr:row>
      <xdr:rowOff>192222</xdr:rowOff>
    </xdr:to>
    <xdr:sp macro="" textlink="">
      <xdr:nvSpPr>
        <xdr:cNvPr id="233" name="Rectangle 232">
          <a:extLst>
            <a:ext uri="{FF2B5EF4-FFF2-40B4-BE49-F238E27FC236}">
              <a16:creationId xmlns:a16="http://schemas.microsoft.com/office/drawing/2014/main" id="{00000000-0008-0000-0600-0000E9000000}"/>
            </a:ext>
          </a:extLst>
        </xdr:cNvPr>
        <xdr:cNvSpPr/>
      </xdr:nvSpPr>
      <xdr:spPr>
        <a:xfrm>
          <a:off x="32078734" y="7679348"/>
          <a:ext cx="1009258" cy="94249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Enable</a:t>
          </a:r>
        </a:p>
        <a:p>
          <a:pPr algn="ctr"/>
          <a:r>
            <a:rPr lang="en-US" sz="900"/>
            <a:t>I2S1_TCSR[BCE]</a:t>
          </a:r>
        </a:p>
      </xdr:txBody>
    </xdr:sp>
    <xdr:clientData/>
  </xdr:twoCellAnchor>
  <xdr:oneCellAnchor>
    <xdr:from>
      <xdr:col>52</xdr:col>
      <xdr:colOff>549518</xdr:colOff>
      <xdr:row>43</xdr:row>
      <xdr:rowOff>190499</xdr:rowOff>
    </xdr:from>
    <xdr:ext cx="1086398" cy="403665"/>
    <xdr:sp macro="" textlink="">
      <xdr:nvSpPr>
        <xdr:cNvPr id="234" name="TextBox 233">
          <a:extLst>
            <a:ext uri="{FF2B5EF4-FFF2-40B4-BE49-F238E27FC236}">
              <a16:creationId xmlns:a16="http://schemas.microsoft.com/office/drawing/2014/main" id="{00000000-0008-0000-0600-0000EA000000}"/>
            </a:ext>
          </a:extLst>
        </xdr:cNvPr>
        <xdr:cNvSpPr txBox="1"/>
      </xdr:nvSpPr>
      <xdr:spPr>
        <a:xfrm>
          <a:off x="32248718" y="8829674"/>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 off</a:t>
          </a:r>
        </a:p>
        <a:p>
          <a:r>
            <a:rPr lang="en-US" sz="800"/>
            <a:t>1 -</a:t>
          </a:r>
          <a:r>
            <a:rPr lang="en-US" sz="800" baseline="0"/>
            <a:t> BCLK on</a:t>
          </a:r>
          <a:endParaRPr lang="en-US" sz="800"/>
        </a:p>
      </xdr:txBody>
    </xdr:sp>
    <xdr:clientData/>
  </xdr:oneCellAnchor>
  <xdr:twoCellAnchor>
    <xdr:from>
      <xdr:col>67</xdr:col>
      <xdr:colOff>240196</xdr:colOff>
      <xdr:row>40</xdr:row>
      <xdr:rowOff>14654</xdr:rowOff>
    </xdr:from>
    <xdr:to>
      <xdr:col>69</xdr:col>
      <xdr:colOff>600075</xdr:colOff>
      <xdr:row>40</xdr:row>
      <xdr:rowOff>14654</xdr:rowOff>
    </xdr:to>
    <xdr:cxnSp macro="">
      <xdr:nvCxnSpPr>
        <xdr:cNvPr id="235" name="Straight Arrow Connector 234">
          <a:extLst>
            <a:ext uri="{FF2B5EF4-FFF2-40B4-BE49-F238E27FC236}">
              <a16:creationId xmlns:a16="http://schemas.microsoft.com/office/drawing/2014/main" id="{00000000-0008-0000-0600-0000EB000000}"/>
            </a:ext>
          </a:extLst>
        </xdr:cNvPr>
        <xdr:cNvCxnSpPr/>
      </xdr:nvCxnSpPr>
      <xdr:spPr>
        <a:xfrm>
          <a:off x="41083396" y="8120429"/>
          <a:ext cx="157907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417634</xdr:colOff>
      <xdr:row>47</xdr:row>
      <xdr:rowOff>51289</xdr:rowOff>
    </xdr:from>
    <xdr:to>
      <xdr:col>54</xdr:col>
      <xdr:colOff>207692</xdr:colOff>
      <xdr:row>51</xdr:row>
      <xdr:rowOff>192222</xdr:rowOff>
    </xdr:to>
    <xdr:sp macro="" textlink="">
      <xdr:nvSpPr>
        <xdr:cNvPr id="236" name="Rectangle 235">
          <a:extLst>
            <a:ext uri="{FF2B5EF4-FFF2-40B4-BE49-F238E27FC236}">
              <a16:creationId xmlns:a16="http://schemas.microsoft.com/office/drawing/2014/main" id="{00000000-0008-0000-0600-0000EC000000}"/>
            </a:ext>
          </a:extLst>
        </xdr:cNvPr>
        <xdr:cNvSpPr/>
      </xdr:nvSpPr>
      <xdr:spPr>
        <a:xfrm>
          <a:off x="32116834" y="9519139"/>
          <a:ext cx="1009258" cy="96960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Enable</a:t>
          </a:r>
        </a:p>
        <a:p>
          <a:pPr algn="ctr"/>
          <a:r>
            <a:rPr lang="en-US" sz="900"/>
            <a:t>I2S1_RCSR[BCE]</a:t>
          </a:r>
        </a:p>
      </xdr:txBody>
    </xdr:sp>
    <xdr:clientData/>
  </xdr:twoCellAnchor>
  <xdr:oneCellAnchor>
    <xdr:from>
      <xdr:col>52</xdr:col>
      <xdr:colOff>549518</xdr:colOff>
      <xdr:row>52</xdr:row>
      <xdr:rowOff>190500</xdr:rowOff>
    </xdr:from>
    <xdr:ext cx="1086398" cy="403665"/>
    <xdr:sp macro="" textlink="">
      <xdr:nvSpPr>
        <xdr:cNvPr id="237" name="TextBox 236">
          <a:extLst>
            <a:ext uri="{FF2B5EF4-FFF2-40B4-BE49-F238E27FC236}">
              <a16:creationId xmlns:a16="http://schemas.microsoft.com/office/drawing/2014/main" id="{00000000-0008-0000-0600-0000ED000000}"/>
            </a:ext>
          </a:extLst>
        </xdr:cNvPr>
        <xdr:cNvSpPr txBox="1"/>
      </xdr:nvSpPr>
      <xdr:spPr>
        <a:xfrm>
          <a:off x="32248718" y="10696575"/>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 off</a:t>
          </a:r>
        </a:p>
        <a:p>
          <a:r>
            <a:rPr lang="en-US" sz="800"/>
            <a:t>1 -</a:t>
          </a:r>
          <a:r>
            <a:rPr lang="en-US" sz="800" baseline="0"/>
            <a:t> BCLK on</a:t>
          </a:r>
          <a:endParaRPr lang="en-US" sz="800"/>
        </a:p>
      </xdr:txBody>
    </xdr:sp>
    <xdr:clientData/>
  </xdr:oneCellAnchor>
  <xdr:twoCellAnchor>
    <xdr:from>
      <xdr:col>67</xdr:col>
      <xdr:colOff>190500</xdr:colOff>
      <xdr:row>49</xdr:row>
      <xdr:rowOff>14654</xdr:rowOff>
    </xdr:from>
    <xdr:to>
      <xdr:col>70</xdr:col>
      <xdr:colOff>0</xdr:colOff>
      <xdr:row>49</xdr:row>
      <xdr:rowOff>14654</xdr:rowOff>
    </xdr:to>
    <xdr:cxnSp macro="">
      <xdr:nvCxnSpPr>
        <xdr:cNvPr id="238" name="Straight Arrow Connector 237">
          <a:extLst>
            <a:ext uri="{FF2B5EF4-FFF2-40B4-BE49-F238E27FC236}">
              <a16:creationId xmlns:a16="http://schemas.microsoft.com/office/drawing/2014/main" id="{00000000-0008-0000-0600-0000EE000000}"/>
            </a:ext>
          </a:extLst>
        </xdr:cNvPr>
        <xdr:cNvCxnSpPr/>
      </xdr:nvCxnSpPr>
      <xdr:spPr>
        <a:xfrm>
          <a:off x="41033700" y="10006379"/>
          <a:ext cx="16383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392787</xdr:colOff>
      <xdr:row>56</xdr:row>
      <xdr:rowOff>95250</xdr:rowOff>
    </xdr:from>
    <xdr:to>
      <xdr:col>54</xdr:col>
      <xdr:colOff>182845</xdr:colOff>
      <xdr:row>60</xdr:row>
      <xdr:rowOff>199548</xdr:rowOff>
    </xdr:to>
    <xdr:sp macro="" textlink="">
      <xdr:nvSpPr>
        <xdr:cNvPr id="239" name="Rectangle 238">
          <a:extLst>
            <a:ext uri="{FF2B5EF4-FFF2-40B4-BE49-F238E27FC236}">
              <a16:creationId xmlns:a16="http://schemas.microsoft.com/office/drawing/2014/main" id="{00000000-0008-0000-0600-0000EF000000}"/>
            </a:ext>
          </a:extLst>
        </xdr:cNvPr>
        <xdr:cNvSpPr/>
      </xdr:nvSpPr>
      <xdr:spPr>
        <a:xfrm>
          <a:off x="32264265" y="11367880"/>
          <a:ext cx="1015884" cy="932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Enable</a:t>
          </a:r>
        </a:p>
        <a:p>
          <a:pPr algn="ctr"/>
          <a:r>
            <a:rPr lang="en-US" sz="900"/>
            <a:t>I2S2_TCSR[BCE]</a:t>
          </a:r>
        </a:p>
      </xdr:txBody>
    </xdr:sp>
    <xdr:clientData/>
  </xdr:twoCellAnchor>
  <xdr:oneCellAnchor>
    <xdr:from>
      <xdr:col>52</xdr:col>
      <xdr:colOff>531998</xdr:colOff>
      <xdr:row>61</xdr:row>
      <xdr:rowOff>183174</xdr:rowOff>
    </xdr:from>
    <xdr:ext cx="1086398" cy="403665"/>
    <xdr:sp macro="" textlink="">
      <xdr:nvSpPr>
        <xdr:cNvPr id="240" name="TextBox 239">
          <a:extLst>
            <a:ext uri="{FF2B5EF4-FFF2-40B4-BE49-F238E27FC236}">
              <a16:creationId xmlns:a16="http://schemas.microsoft.com/office/drawing/2014/main" id="{00000000-0008-0000-0600-0000F0000000}"/>
            </a:ext>
          </a:extLst>
        </xdr:cNvPr>
        <xdr:cNvSpPr txBox="1"/>
      </xdr:nvSpPr>
      <xdr:spPr>
        <a:xfrm>
          <a:off x="32403476" y="12491131"/>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 off</a:t>
          </a:r>
        </a:p>
        <a:p>
          <a:r>
            <a:rPr lang="en-US" sz="800"/>
            <a:t>1 -</a:t>
          </a:r>
          <a:r>
            <a:rPr lang="en-US" sz="800" baseline="0"/>
            <a:t> BCLK on</a:t>
          </a:r>
          <a:endParaRPr lang="en-US" sz="800"/>
        </a:p>
      </xdr:txBody>
    </xdr:sp>
    <xdr:clientData/>
  </xdr:oneCellAnchor>
  <xdr:twoCellAnchor>
    <xdr:from>
      <xdr:col>67</xdr:col>
      <xdr:colOff>223630</xdr:colOff>
      <xdr:row>58</xdr:row>
      <xdr:rowOff>15609</xdr:rowOff>
    </xdr:from>
    <xdr:to>
      <xdr:col>70</xdr:col>
      <xdr:colOff>0</xdr:colOff>
      <xdr:row>58</xdr:row>
      <xdr:rowOff>15609</xdr:rowOff>
    </xdr:to>
    <xdr:cxnSp macro="">
      <xdr:nvCxnSpPr>
        <xdr:cNvPr id="241" name="Straight Arrow Connector 240">
          <a:extLst>
            <a:ext uri="{FF2B5EF4-FFF2-40B4-BE49-F238E27FC236}">
              <a16:creationId xmlns:a16="http://schemas.microsoft.com/office/drawing/2014/main" id="{00000000-0008-0000-0600-0000F1000000}"/>
            </a:ext>
          </a:extLst>
        </xdr:cNvPr>
        <xdr:cNvCxnSpPr/>
      </xdr:nvCxnSpPr>
      <xdr:spPr>
        <a:xfrm>
          <a:off x="41066830" y="11893284"/>
          <a:ext cx="16051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420565</xdr:colOff>
      <xdr:row>66</xdr:row>
      <xdr:rowOff>29307</xdr:rowOff>
    </xdr:from>
    <xdr:to>
      <xdr:col>54</xdr:col>
      <xdr:colOff>210623</xdr:colOff>
      <xdr:row>70</xdr:row>
      <xdr:rowOff>192221</xdr:rowOff>
    </xdr:to>
    <xdr:sp macro="" textlink="">
      <xdr:nvSpPr>
        <xdr:cNvPr id="242" name="Rectangle 241">
          <a:extLst>
            <a:ext uri="{FF2B5EF4-FFF2-40B4-BE49-F238E27FC236}">
              <a16:creationId xmlns:a16="http://schemas.microsoft.com/office/drawing/2014/main" id="{00000000-0008-0000-0600-0000F2000000}"/>
            </a:ext>
          </a:extLst>
        </xdr:cNvPr>
        <xdr:cNvSpPr/>
      </xdr:nvSpPr>
      <xdr:spPr>
        <a:xfrm>
          <a:off x="32119765" y="13459557"/>
          <a:ext cx="1009258" cy="9915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Enable</a:t>
          </a:r>
        </a:p>
        <a:p>
          <a:pPr algn="ctr"/>
          <a:r>
            <a:rPr lang="en-US" sz="900"/>
            <a:t>I2S2_RCSR[BCE]</a:t>
          </a:r>
        </a:p>
      </xdr:txBody>
    </xdr:sp>
    <xdr:clientData/>
  </xdr:twoCellAnchor>
  <xdr:oneCellAnchor>
    <xdr:from>
      <xdr:col>52</xdr:col>
      <xdr:colOff>530468</xdr:colOff>
      <xdr:row>71</xdr:row>
      <xdr:rowOff>197827</xdr:rowOff>
    </xdr:from>
    <xdr:ext cx="1086398" cy="403665"/>
    <xdr:sp macro="" textlink="">
      <xdr:nvSpPr>
        <xdr:cNvPr id="243" name="TextBox 242">
          <a:extLst>
            <a:ext uri="{FF2B5EF4-FFF2-40B4-BE49-F238E27FC236}">
              <a16:creationId xmlns:a16="http://schemas.microsoft.com/office/drawing/2014/main" id="{00000000-0008-0000-0600-0000F3000000}"/>
            </a:ext>
          </a:extLst>
        </xdr:cNvPr>
        <xdr:cNvSpPr txBox="1"/>
      </xdr:nvSpPr>
      <xdr:spPr>
        <a:xfrm>
          <a:off x="32229668" y="14666302"/>
          <a:ext cx="1086398" cy="4036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BCLK off</a:t>
          </a:r>
        </a:p>
        <a:p>
          <a:r>
            <a:rPr lang="en-US" sz="800"/>
            <a:t>1 -</a:t>
          </a:r>
          <a:r>
            <a:rPr lang="en-US" sz="800" baseline="0"/>
            <a:t> BCLK on</a:t>
          </a:r>
          <a:endParaRPr lang="en-US" sz="800"/>
        </a:p>
      </xdr:txBody>
    </xdr:sp>
    <xdr:clientData/>
  </xdr:oneCellAnchor>
  <xdr:twoCellAnchor>
    <xdr:from>
      <xdr:col>67</xdr:col>
      <xdr:colOff>182271</xdr:colOff>
      <xdr:row>68</xdr:row>
      <xdr:rowOff>19530</xdr:rowOff>
    </xdr:from>
    <xdr:to>
      <xdr:col>69</xdr:col>
      <xdr:colOff>600075</xdr:colOff>
      <xdr:row>68</xdr:row>
      <xdr:rowOff>19530</xdr:rowOff>
    </xdr:to>
    <xdr:cxnSp macro="">
      <xdr:nvCxnSpPr>
        <xdr:cNvPr id="244" name="Straight Arrow Connector 243">
          <a:extLst>
            <a:ext uri="{FF2B5EF4-FFF2-40B4-BE49-F238E27FC236}">
              <a16:creationId xmlns:a16="http://schemas.microsoft.com/office/drawing/2014/main" id="{00000000-0008-0000-0600-0000F4000000}"/>
            </a:ext>
          </a:extLst>
        </xdr:cNvPr>
        <xdr:cNvCxnSpPr/>
      </xdr:nvCxnSpPr>
      <xdr:spPr>
        <a:xfrm>
          <a:off x="41025471" y="13992705"/>
          <a:ext cx="163700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409575</xdr:colOff>
      <xdr:row>35</xdr:row>
      <xdr:rowOff>104775</xdr:rowOff>
    </xdr:from>
    <xdr:to>
      <xdr:col>46</xdr:col>
      <xdr:colOff>199632</xdr:colOff>
      <xdr:row>40</xdr:row>
      <xdr:rowOff>2837</xdr:rowOff>
    </xdr:to>
    <xdr:sp macro="" textlink="">
      <xdr:nvSpPr>
        <xdr:cNvPr id="245" name="Rectangle 244">
          <a:extLst>
            <a:ext uri="{FF2B5EF4-FFF2-40B4-BE49-F238E27FC236}">
              <a16:creationId xmlns:a16="http://schemas.microsoft.com/office/drawing/2014/main" id="{00000000-0008-0000-0600-0000F5000000}"/>
            </a:ext>
          </a:extLst>
        </xdr:cNvPr>
        <xdr:cNvSpPr/>
      </xdr:nvSpPr>
      <xdr:spPr>
        <a:xfrm>
          <a:off x="27231975" y="7172325"/>
          <a:ext cx="1009257" cy="9172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Divide</a:t>
          </a:r>
        </a:p>
        <a:p>
          <a:pPr algn="ctr"/>
          <a:r>
            <a:rPr lang="en-US" sz="1100"/>
            <a:t>0,1,...,255</a:t>
          </a:r>
        </a:p>
        <a:p>
          <a:pPr algn="ctr"/>
          <a:r>
            <a:rPr lang="en-US" sz="900"/>
            <a:t>I2S1_TCR2[DIV]</a:t>
          </a:r>
        </a:p>
      </xdr:txBody>
    </xdr:sp>
    <xdr:clientData/>
  </xdr:twoCellAnchor>
  <xdr:twoCellAnchor>
    <xdr:from>
      <xdr:col>44</xdr:col>
      <xdr:colOff>381000</xdr:colOff>
      <xdr:row>44</xdr:row>
      <xdr:rowOff>104775</xdr:rowOff>
    </xdr:from>
    <xdr:to>
      <xdr:col>46</xdr:col>
      <xdr:colOff>171057</xdr:colOff>
      <xdr:row>48</xdr:row>
      <xdr:rowOff>202862</xdr:rowOff>
    </xdr:to>
    <xdr:sp macro="" textlink="">
      <xdr:nvSpPr>
        <xdr:cNvPr id="254" name="Rectangle 253">
          <a:extLst>
            <a:ext uri="{FF2B5EF4-FFF2-40B4-BE49-F238E27FC236}">
              <a16:creationId xmlns:a16="http://schemas.microsoft.com/office/drawing/2014/main" id="{00000000-0008-0000-0600-0000FE000000}"/>
            </a:ext>
          </a:extLst>
        </xdr:cNvPr>
        <xdr:cNvSpPr/>
      </xdr:nvSpPr>
      <xdr:spPr>
        <a:xfrm>
          <a:off x="27203400" y="8953500"/>
          <a:ext cx="1009257" cy="9172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Divide</a:t>
          </a:r>
        </a:p>
        <a:p>
          <a:pPr algn="ctr"/>
          <a:r>
            <a:rPr lang="en-US" sz="1100"/>
            <a:t>0,1,...,255</a:t>
          </a:r>
        </a:p>
        <a:p>
          <a:pPr algn="ctr"/>
          <a:r>
            <a:rPr lang="en-US" sz="900"/>
            <a:t>I2S1_RCR2[DIV]</a:t>
          </a:r>
        </a:p>
      </xdr:txBody>
    </xdr:sp>
    <xdr:clientData/>
  </xdr:twoCellAnchor>
  <xdr:twoCellAnchor>
    <xdr:from>
      <xdr:col>44</xdr:col>
      <xdr:colOff>390525</xdr:colOff>
      <xdr:row>16</xdr:row>
      <xdr:rowOff>104775</xdr:rowOff>
    </xdr:from>
    <xdr:to>
      <xdr:col>46</xdr:col>
      <xdr:colOff>180582</xdr:colOff>
      <xdr:row>20</xdr:row>
      <xdr:rowOff>193337</xdr:rowOff>
    </xdr:to>
    <xdr:sp macro="" textlink="">
      <xdr:nvSpPr>
        <xdr:cNvPr id="282" name="Rectangle 281">
          <a:extLst>
            <a:ext uri="{FF2B5EF4-FFF2-40B4-BE49-F238E27FC236}">
              <a16:creationId xmlns:a16="http://schemas.microsoft.com/office/drawing/2014/main" id="{00000000-0008-0000-0600-00001A010000}"/>
            </a:ext>
          </a:extLst>
        </xdr:cNvPr>
        <xdr:cNvSpPr/>
      </xdr:nvSpPr>
      <xdr:spPr>
        <a:xfrm>
          <a:off x="27212925" y="3190875"/>
          <a:ext cx="1009257" cy="9172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Divide</a:t>
          </a:r>
        </a:p>
        <a:p>
          <a:pPr algn="ctr"/>
          <a:r>
            <a:rPr lang="en-US" sz="1100"/>
            <a:t>0,1,...,255</a:t>
          </a:r>
        </a:p>
        <a:p>
          <a:pPr algn="ctr"/>
          <a:r>
            <a:rPr lang="en-US" sz="900"/>
            <a:t>I2S0_TCR2[DIV]</a:t>
          </a:r>
        </a:p>
      </xdr:txBody>
    </xdr:sp>
    <xdr:clientData/>
  </xdr:twoCellAnchor>
  <xdr:twoCellAnchor>
    <xdr:from>
      <xdr:col>44</xdr:col>
      <xdr:colOff>428625</xdr:colOff>
      <xdr:row>24</xdr:row>
      <xdr:rowOff>76200</xdr:rowOff>
    </xdr:from>
    <xdr:to>
      <xdr:col>46</xdr:col>
      <xdr:colOff>218682</xdr:colOff>
      <xdr:row>28</xdr:row>
      <xdr:rowOff>193337</xdr:rowOff>
    </xdr:to>
    <xdr:sp macro="" textlink="">
      <xdr:nvSpPr>
        <xdr:cNvPr id="283" name="Rectangle 282">
          <a:extLst>
            <a:ext uri="{FF2B5EF4-FFF2-40B4-BE49-F238E27FC236}">
              <a16:creationId xmlns:a16="http://schemas.microsoft.com/office/drawing/2014/main" id="{00000000-0008-0000-0600-00001B010000}"/>
            </a:ext>
          </a:extLst>
        </xdr:cNvPr>
        <xdr:cNvSpPr/>
      </xdr:nvSpPr>
      <xdr:spPr>
        <a:xfrm>
          <a:off x="27251025" y="4829175"/>
          <a:ext cx="1009257" cy="9172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Divide</a:t>
          </a:r>
        </a:p>
        <a:p>
          <a:pPr algn="ctr"/>
          <a:r>
            <a:rPr lang="en-US" sz="1100"/>
            <a:t>0,1,...,255</a:t>
          </a:r>
        </a:p>
        <a:p>
          <a:pPr algn="ctr"/>
          <a:r>
            <a:rPr lang="en-US" sz="900"/>
            <a:t>I2S0_RCR2[DIV]</a:t>
          </a:r>
        </a:p>
      </xdr:txBody>
    </xdr:sp>
    <xdr:clientData/>
  </xdr:twoCellAnchor>
  <xdr:twoCellAnchor>
    <xdr:from>
      <xdr:col>38</xdr:col>
      <xdr:colOff>409575</xdr:colOff>
      <xdr:row>45</xdr:row>
      <xdr:rowOff>38100</xdr:rowOff>
    </xdr:from>
    <xdr:to>
      <xdr:col>38</xdr:col>
      <xdr:colOff>409575</xdr:colOff>
      <xdr:row>48</xdr:row>
      <xdr:rowOff>1</xdr:rowOff>
    </xdr:to>
    <xdr:cxnSp macro="">
      <xdr:nvCxnSpPr>
        <xdr:cNvPr id="284" name="Straight Arrow Connector 283">
          <a:extLst>
            <a:ext uri="{FF2B5EF4-FFF2-40B4-BE49-F238E27FC236}">
              <a16:creationId xmlns:a16="http://schemas.microsoft.com/office/drawing/2014/main" id="{00000000-0008-0000-0600-00001C010000}"/>
            </a:ext>
          </a:extLst>
        </xdr:cNvPr>
        <xdr:cNvCxnSpPr/>
      </xdr:nvCxnSpPr>
      <xdr:spPr>
        <a:xfrm flipV="1">
          <a:off x="23574375" y="9191625"/>
          <a:ext cx="0" cy="571501"/>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38</xdr:col>
      <xdr:colOff>344365</xdr:colOff>
      <xdr:row>25</xdr:row>
      <xdr:rowOff>26378</xdr:rowOff>
    </xdr:from>
    <xdr:to>
      <xdr:col>38</xdr:col>
      <xdr:colOff>344365</xdr:colOff>
      <xdr:row>27</xdr:row>
      <xdr:rowOff>28575</xdr:rowOff>
    </xdr:to>
    <xdr:cxnSp macro="">
      <xdr:nvCxnSpPr>
        <xdr:cNvPr id="285" name="Straight Arrow Connector 284">
          <a:extLst>
            <a:ext uri="{FF2B5EF4-FFF2-40B4-BE49-F238E27FC236}">
              <a16:creationId xmlns:a16="http://schemas.microsoft.com/office/drawing/2014/main" id="{00000000-0008-0000-0600-00001D010000}"/>
            </a:ext>
          </a:extLst>
        </xdr:cNvPr>
        <xdr:cNvCxnSpPr/>
      </xdr:nvCxnSpPr>
      <xdr:spPr>
        <a:xfrm flipV="1">
          <a:off x="23509165" y="5007953"/>
          <a:ext cx="0" cy="402247"/>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44</xdr:col>
      <xdr:colOff>400878</xdr:colOff>
      <xdr:row>53</xdr:row>
      <xdr:rowOff>91108</xdr:rowOff>
    </xdr:from>
    <xdr:to>
      <xdr:col>46</xdr:col>
      <xdr:colOff>190935</xdr:colOff>
      <xdr:row>57</xdr:row>
      <xdr:rowOff>190437</xdr:rowOff>
    </xdr:to>
    <xdr:sp macro="" textlink="">
      <xdr:nvSpPr>
        <xdr:cNvPr id="286" name="Rectangle 285">
          <a:extLst>
            <a:ext uri="{FF2B5EF4-FFF2-40B4-BE49-F238E27FC236}">
              <a16:creationId xmlns:a16="http://schemas.microsoft.com/office/drawing/2014/main" id="{00000000-0008-0000-0600-00001E010000}"/>
            </a:ext>
          </a:extLst>
        </xdr:cNvPr>
        <xdr:cNvSpPr/>
      </xdr:nvSpPr>
      <xdr:spPr>
        <a:xfrm>
          <a:off x="27223278" y="10921033"/>
          <a:ext cx="1009257" cy="91847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Divide</a:t>
          </a:r>
        </a:p>
        <a:p>
          <a:pPr algn="ctr"/>
          <a:r>
            <a:rPr lang="en-US" sz="1100"/>
            <a:t>0,1,...,255</a:t>
          </a:r>
        </a:p>
        <a:p>
          <a:pPr algn="ctr"/>
          <a:r>
            <a:rPr lang="en-US" sz="900"/>
            <a:t>I2S2_TCR2[DIV]</a:t>
          </a:r>
        </a:p>
      </xdr:txBody>
    </xdr:sp>
    <xdr:clientData/>
  </xdr:twoCellAnchor>
  <xdr:twoCellAnchor>
    <xdr:from>
      <xdr:col>44</xdr:col>
      <xdr:colOff>428625</xdr:colOff>
      <xdr:row>63</xdr:row>
      <xdr:rowOff>66675</xdr:rowOff>
    </xdr:from>
    <xdr:to>
      <xdr:col>46</xdr:col>
      <xdr:colOff>218682</xdr:colOff>
      <xdr:row>67</xdr:row>
      <xdr:rowOff>193337</xdr:rowOff>
    </xdr:to>
    <xdr:sp macro="" textlink="">
      <xdr:nvSpPr>
        <xdr:cNvPr id="287" name="Rectangle 286">
          <a:extLst>
            <a:ext uri="{FF2B5EF4-FFF2-40B4-BE49-F238E27FC236}">
              <a16:creationId xmlns:a16="http://schemas.microsoft.com/office/drawing/2014/main" id="{00000000-0008-0000-0600-00001F010000}"/>
            </a:ext>
          </a:extLst>
        </xdr:cNvPr>
        <xdr:cNvSpPr/>
      </xdr:nvSpPr>
      <xdr:spPr>
        <a:xfrm>
          <a:off x="27251025" y="12887325"/>
          <a:ext cx="1009257" cy="95533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Divide</a:t>
          </a:r>
        </a:p>
        <a:p>
          <a:pPr algn="ctr"/>
          <a:r>
            <a:rPr lang="en-US" sz="1100"/>
            <a:t>0,1,...,255</a:t>
          </a:r>
        </a:p>
        <a:p>
          <a:pPr algn="ctr"/>
          <a:r>
            <a:rPr lang="en-US" sz="900"/>
            <a:t>I2S2_RCR2[DIV]</a:t>
          </a:r>
        </a:p>
      </xdr:txBody>
    </xdr:sp>
    <xdr:clientData/>
  </xdr:twoCellAnchor>
  <xdr:twoCellAnchor>
    <xdr:from>
      <xdr:col>38</xdr:col>
      <xdr:colOff>400050</xdr:colOff>
      <xdr:row>64</xdr:row>
      <xdr:rowOff>9525</xdr:rowOff>
    </xdr:from>
    <xdr:to>
      <xdr:col>38</xdr:col>
      <xdr:colOff>400050</xdr:colOff>
      <xdr:row>67</xdr:row>
      <xdr:rowOff>9525</xdr:rowOff>
    </xdr:to>
    <xdr:cxnSp macro="">
      <xdr:nvCxnSpPr>
        <xdr:cNvPr id="288" name="Straight Arrow Connector 287">
          <a:extLst>
            <a:ext uri="{FF2B5EF4-FFF2-40B4-BE49-F238E27FC236}">
              <a16:creationId xmlns:a16="http://schemas.microsoft.com/office/drawing/2014/main" id="{00000000-0008-0000-0600-000020010000}"/>
            </a:ext>
          </a:extLst>
        </xdr:cNvPr>
        <xdr:cNvCxnSpPr/>
      </xdr:nvCxnSpPr>
      <xdr:spPr>
        <a:xfrm flipV="1">
          <a:off x="23564850" y="13144500"/>
          <a:ext cx="0" cy="60960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415736</xdr:colOff>
      <xdr:row>19</xdr:row>
      <xdr:rowOff>71072</xdr:rowOff>
    </xdr:from>
    <xdr:to>
      <xdr:col>60</xdr:col>
      <xdr:colOff>214759</xdr:colOff>
      <xdr:row>23</xdr:row>
      <xdr:rowOff>188015</xdr:rowOff>
    </xdr:to>
    <xdr:sp macro="" textlink="">
      <xdr:nvSpPr>
        <xdr:cNvPr id="218" name="Rectangle 217">
          <a:extLst>
            <a:ext uri="{FF2B5EF4-FFF2-40B4-BE49-F238E27FC236}">
              <a16:creationId xmlns:a16="http://schemas.microsoft.com/office/drawing/2014/main" id="{00000000-0008-0000-0600-0000DA000000}"/>
            </a:ext>
          </a:extLst>
        </xdr:cNvPr>
        <xdr:cNvSpPr/>
      </xdr:nvSpPr>
      <xdr:spPr>
        <a:xfrm>
          <a:off x="35687544" y="3778495"/>
          <a:ext cx="1015292" cy="9668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Swap</a:t>
          </a:r>
        </a:p>
        <a:p>
          <a:pPr algn="ctr"/>
          <a:r>
            <a:rPr lang="en-US" sz="900"/>
            <a:t>I2S0_TCR2[BCS]</a:t>
          </a:r>
        </a:p>
      </xdr:txBody>
    </xdr:sp>
    <xdr:clientData/>
  </xdr:twoCellAnchor>
  <xdr:twoCellAnchor>
    <xdr:from>
      <xdr:col>58</xdr:col>
      <xdr:colOff>394185</xdr:colOff>
      <xdr:row>27</xdr:row>
      <xdr:rowOff>86157</xdr:rowOff>
    </xdr:from>
    <xdr:to>
      <xdr:col>60</xdr:col>
      <xdr:colOff>193208</xdr:colOff>
      <xdr:row>31</xdr:row>
      <xdr:rowOff>193143</xdr:rowOff>
    </xdr:to>
    <xdr:sp macro="" textlink="">
      <xdr:nvSpPr>
        <xdr:cNvPr id="246" name="Rectangle 245">
          <a:extLst>
            <a:ext uri="{FF2B5EF4-FFF2-40B4-BE49-F238E27FC236}">
              <a16:creationId xmlns:a16="http://schemas.microsoft.com/office/drawing/2014/main" id="{00000000-0008-0000-0600-0000F6000000}"/>
            </a:ext>
          </a:extLst>
        </xdr:cNvPr>
        <xdr:cNvSpPr/>
      </xdr:nvSpPr>
      <xdr:spPr>
        <a:xfrm>
          <a:off x="35665993" y="5464119"/>
          <a:ext cx="1015292" cy="95690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Swap</a:t>
          </a:r>
        </a:p>
        <a:p>
          <a:pPr algn="ctr"/>
          <a:r>
            <a:rPr lang="en-US" sz="900"/>
            <a:t>I2S0_RCR2[BCS]</a:t>
          </a:r>
        </a:p>
      </xdr:txBody>
    </xdr:sp>
    <xdr:clientData/>
  </xdr:twoCellAnchor>
  <xdr:oneCellAnchor>
    <xdr:from>
      <xdr:col>58</xdr:col>
      <xdr:colOff>542190</xdr:colOff>
      <xdr:row>24</xdr:row>
      <xdr:rowOff>183173</xdr:rowOff>
    </xdr:from>
    <xdr:ext cx="1509347" cy="505558"/>
    <xdr:sp macro="" textlink="">
      <xdr:nvSpPr>
        <xdr:cNvPr id="247" name="TextBox 246">
          <a:extLst>
            <a:ext uri="{FF2B5EF4-FFF2-40B4-BE49-F238E27FC236}">
              <a16:creationId xmlns:a16="http://schemas.microsoft.com/office/drawing/2014/main" id="{00000000-0008-0000-0600-0000F7000000}"/>
            </a:ext>
          </a:extLst>
        </xdr:cNvPr>
        <xdr:cNvSpPr txBox="1"/>
      </xdr:nvSpPr>
      <xdr:spPr>
        <a:xfrm>
          <a:off x="35813998" y="4953000"/>
          <a:ext cx="1509347" cy="505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BCLK_TX_SAI0_PS</a:t>
          </a:r>
        </a:p>
        <a:p>
          <a:r>
            <a:rPr lang="en-US" sz="800"/>
            <a:t>1 -</a:t>
          </a:r>
          <a:r>
            <a:rPr lang="en-US" sz="800" baseline="0"/>
            <a:t> Use BCLK_RX_SAI0_PS</a:t>
          </a:r>
        </a:p>
        <a:p>
          <a:r>
            <a:rPr lang="en-US" sz="800" baseline="0"/>
            <a:t>No effect if sync'd with SAI_2</a:t>
          </a:r>
          <a:endParaRPr lang="en-US" sz="800"/>
        </a:p>
      </xdr:txBody>
    </xdr:sp>
    <xdr:clientData/>
  </xdr:oneCellAnchor>
  <xdr:oneCellAnchor>
    <xdr:from>
      <xdr:col>58</xdr:col>
      <xdr:colOff>556846</xdr:colOff>
      <xdr:row>32</xdr:row>
      <xdr:rowOff>205154</xdr:rowOff>
    </xdr:from>
    <xdr:ext cx="1648558" cy="527539"/>
    <xdr:sp macro="" textlink="">
      <xdr:nvSpPr>
        <xdr:cNvPr id="248" name="TextBox 247">
          <a:extLst>
            <a:ext uri="{FF2B5EF4-FFF2-40B4-BE49-F238E27FC236}">
              <a16:creationId xmlns:a16="http://schemas.microsoft.com/office/drawing/2014/main" id="{00000000-0008-0000-0600-0000F8000000}"/>
            </a:ext>
          </a:extLst>
        </xdr:cNvPr>
        <xdr:cNvSpPr txBox="1"/>
      </xdr:nvSpPr>
      <xdr:spPr>
        <a:xfrm>
          <a:off x="35828654" y="6645519"/>
          <a:ext cx="1648558" cy="527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BCLK_RX_SAI0_PS</a:t>
          </a:r>
        </a:p>
        <a:p>
          <a:r>
            <a:rPr lang="en-US" sz="800"/>
            <a:t>1 -</a:t>
          </a:r>
          <a:r>
            <a:rPr lang="en-US" sz="800" baseline="0"/>
            <a:t> Use BCLK_TX_SAI0_PS</a:t>
          </a:r>
        </a:p>
        <a:p>
          <a:r>
            <a:rPr lang="en-US" sz="800" baseline="0"/>
            <a:t>No effect if sync'd with SAI_2</a:t>
          </a:r>
          <a:endParaRPr lang="en-US" sz="800"/>
        </a:p>
      </xdr:txBody>
    </xdr:sp>
    <xdr:clientData/>
  </xdr:oneCellAnchor>
  <xdr:twoCellAnchor>
    <xdr:from>
      <xdr:col>54</xdr:col>
      <xdr:colOff>183173</xdr:colOff>
      <xdr:row>21</xdr:row>
      <xdr:rowOff>21978</xdr:rowOff>
    </xdr:from>
    <xdr:to>
      <xdr:col>58</xdr:col>
      <xdr:colOff>402980</xdr:colOff>
      <xdr:row>21</xdr:row>
      <xdr:rowOff>21978</xdr:rowOff>
    </xdr:to>
    <xdr:cxnSp macro="">
      <xdr:nvCxnSpPr>
        <xdr:cNvPr id="249" name="Straight Arrow Connector 248">
          <a:extLst>
            <a:ext uri="{FF2B5EF4-FFF2-40B4-BE49-F238E27FC236}">
              <a16:creationId xmlns:a16="http://schemas.microsoft.com/office/drawing/2014/main" id="{00000000-0008-0000-0600-0000F9000000}"/>
            </a:ext>
          </a:extLst>
        </xdr:cNvPr>
        <xdr:cNvCxnSpPr/>
      </xdr:nvCxnSpPr>
      <xdr:spPr>
        <a:xfrm>
          <a:off x="33022442" y="4154363"/>
          <a:ext cx="2652346"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205154</xdr:colOff>
      <xdr:row>29</xdr:row>
      <xdr:rowOff>21978</xdr:rowOff>
    </xdr:from>
    <xdr:to>
      <xdr:col>58</xdr:col>
      <xdr:colOff>381000</xdr:colOff>
      <xdr:row>29</xdr:row>
      <xdr:rowOff>21978</xdr:rowOff>
    </xdr:to>
    <xdr:cxnSp macro="">
      <xdr:nvCxnSpPr>
        <xdr:cNvPr id="250" name="Straight Arrow Connector 249">
          <a:extLst>
            <a:ext uri="{FF2B5EF4-FFF2-40B4-BE49-F238E27FC236}">
              <a16:creationId xmlns:a16="http://schemas.microsoft.com/office/drawing/2014/main" id="{00000000-0008-0000-0600-0000FA000000}"/>
            </a:ext>
          </a:extLst>
        </xdr:cNvPr>
        <xdr:cNvCxnSpPr/>
      </xdr:nvCxnSpPr>
      <xdr:spPr>
        <a:xfrm>
          <a:off x="33044423" y="5824901"/>
          <a:ext cx="2608385"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227135</xdr:colOff>
      <xdr:row>18</xdr:row>
      <xdr:rowOff>87924</xdr:rowOff>
    </xdr:from>
    <xdr:ext cx="1510813" cy="410818"/>
    <xdr:sp macro="" textlink="">
      <xdr:nvSpPr>
        <xdr:cNvPr id="251" name="TextBox 250">
          <a:extLst>
            <a:ext uri="{FF2B5EF4-FFF2-40B4-BE49-F238E27FC236}">
              <a16:creationId xmlns:a16="http://schemas.microsoft.com/office/drawing/2014/main" id="{00000000-0008-0000-0600-0000FB000000}"/>
            </a:ext>
          </a:extLst>
        </xdr:cNvPr>
        <xdr:cNvSpPr txBox="1"/>
      </xdr:nvSpPr>
      <xdr:spPr>
        <a:xfrm>
          <a:off x="33066404" y="3582866"/>
          <a:ext cx="1510813"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BCLK_TX_SAI0_PS</a:t>
          </a:r>
        </a:p>
      </xdr:txBody>
    </xdr:sp>
    <xdr:clientData/>
  </xdr:oneCellAnchor>
  <xdr:oneCellAnchor>
    <xdr:from>
      <xdr:col>54</xdr:col>
      <xdr:colOff>256442</xdr:colOff>
      <xdr:row>26</xdr:row>
      <xdr:rowOff>87922</xdr:rowOff>
    </xdr:from>
    <xdr:ext cx="1524000" cy="410818"/>
    <xdr:sp macro="" textlink="">
      <xdr:nvSpPr>
        <xdr:cNvPr id="260" name="TextBox 259">
          <a:extLst>
            <a:ext uri="{FF2B5EF4-FFF2-40B4-BE49-F238E27FC236}">
              <a16:creationId xmlns:a16="http://schemas.microsoft.com/office/drawing/2014/main" id="{00000000-0008-0000-0600-000004010000}"/>
            </a:ext>
          </a:extLst>
        </xdr:cNvPr>
        <xdr:cNvSpPr txBox="1"/>
      </xdr:nvSpPr>
      <xdr:spPr>
        <a:xfrm>
          <a:off x="33095711" y="5268057"/>
          <a:ext cx="1524000"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BCLK_RX_SAI0_PS</a:t>
          </a:r>
        </a:p>
      </xdr:txBody>
    </xdr:sp>
    <xdr:clientData/>
  </xdr:oneCellAnchor>
  <xdr:twoCellAnchor>
    <xdr:from>
      <xdr:col>58</xdr:col>
      <xdr:colOff>21980</xdr:colOff>
      <xdr:row>27</xdr:row>
      <xdr:rowOff>161192</xdr:rowOff>
    </xdr:from>
    <xdr:to>
      <xdr:col>58</xdr:col>
      <xdr:colOff>402980</xdr:colOff>
      <xdr:row>27</xdr:row>
      <xdr:rowOff>161192</xdr:rowOff>
    </xdr:to>
    <xdr:cxnSp macro="">
      <xdr:nvCxnSpPr>
        <xdr:cNvPr id="274" name="Straight Arrow Connector 273">
          <a:extLst>
            <a:ext uri="{FF2B5EF4-FFF2-40B4-BE49-F238E27FC236}">
              <a16:creationId xmlns:a16="http://schemas.microsoft.com/office/drawing/2014/main" id="{00000000-0008-0000-0600-000012010000}"/>
            </a:ext>
          </a:extLst>
        </xdr:cNvPr>
        <xdr:cNvCxnSpPr/>
      </xdr:nvCxnSpPr>
      <xdr:spPr>
        <a:xfrm>
          <a:off x="35293788" y="5539154"/>
          <a:ext cx="381000" cy="0"/>
        </a:xfrm>
        <a:prstGeom prst="straightConnector1">
          <a:avLst/>
        </a:prstGeom>
        <a:ln w="38100">
          <a:solidFill>
            <a:srgbClr val="92D05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7327</xdr:colOff>
      <xdr:row>21</xdr:row>
      <xdr:rowOff>21980</xdr:rowOff>
    </xdr:from>
    <xdr:to>
      <xdr:col>58</xdr:col>
      <xdr:colOff>7327</xdr:colOff>
      <xdr:row>27</xdr:row>
      <xdr:rowOff>168656</xdr:rowOff>
    </xdr:to>
    <xdr:cxnSp macro="">
      <xdr:nvCxnSpPr>
        <xdr:cNvPr id="289" name="Straight Arrow Connector 288">
          <a:extLst>
            <a:ext uri="{FF2B5EF4-FFF2-40B4-BE49-F238E27FC236}">
              <a16:creationId xmlns:a16="http://schemas.microsoft.com/office/drawing/2014/main" id="{00000000-0008-0000-0600-000021010000}"/>
            </a:ext>
          </a:extLst>
        </xdr:cNvPr>
        <xdr:cNvCxnSpPr/>
      </xdr:nvCxnSpPr>
      <xdr:spPr>
        <a:xfrm>
          <a:off x="35279135" y="4154365"/>
          <a:ext cx="0" cy="1392253"/>
        </a:xfrm>
        <a:prstGeom prst="straightConnector1">
          <a:avLst/>
        </a:prstGeom>
        <a:ln w="38100">
          <a:solidFill>
            <a:srgbClr val="92D05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505558</xdr:colOff>
      <xdr:row>22</xdr:row>
      <xdr:rowOff>36635</xdr:rowOff>
    </xdr:from>
    <xdr:to>
      <xdr:col>58</xdr:col>
      <xdr:colOff>402981</xdr:colOff>
      <xdr:row>22</xdr:row>
      <xdr:rowOff>36635</xdr:rowOff>
    </xdr:to>
    <xdr:cxnSp macro="">
      <xdr:nvCxnSpPr>
        <xdr:cNvPr id="290" name="Straight Arrow Connector 289">
          <a:extLst>
            <a:ext uri="{FF2B5EF4-FFF2-40B4-BE49-F238E27FC236}">
              <a16:creationId xmlns:a16="http://schemas.microsoft.com/office/drawing/2014/main" id="{00000000-0008-0000-0600-000022010000}"/>
            </a:ext>
          </a:extLst>
        </xdr:cNvPr>
        <xdr:cNvCxnSpPr/>
      </xdr:nvCxnSpPr>
      <xdr:spPr>
        <a:xfrm>
          <a:off x="35169231" y="4381500"/>
          <a:ext cx="505558" cy="0"/>
        </a:xfrm>
        <a:prstGeom prst="straightConnector1">
          <a:avLst/>
        </a:prstGeom>
        <a:ln w="38100">
          <a:solidFill>
            <a:schemeClr val="accent6">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505557</xdr:colOff>
      <xdr:row>22</xdr:row>
      <xdr:rowOff>36635</xdr:rowOff>
    </xdr:from>
    <xdr:to>
      <xdr:col>57</xdr:col>
      <xdr:colOff>505557</xdr:colOff>
      <xdr:row>29</xdr:row>
      <xdr:rowOff>7464</xdr:rowOff>
    </xdr:to>
    <xdr:cxnSp macro="">
      <xdr:nvCxnSpPr>
        <xdr:cNvPr id="291" name="Straight Arrow Connector 290">
          <a:extLst>
            <a:ext uri="{FF2B5EF4-FFF2-40B4-BE49-F238E27FC236}">
              <a16:creationId xmlns:a16="http://schemas.microsoft.com/office/drawing/2014/main" id="{00000000-0008-0000-0600-000023010000}"/>
            </a:ext>
          </a:extLst>
        </xdr:cNvPr>
        <xdr:cNvCxnSpPr/>
      </xdr:nvCxnSpPr>
      <xdr:spPr>
        <a:xfrm>
          <a:off x="35169230" y="4381500"/>
          <a:ext cx="0" cy="1428887"/>
        </a:xfrm>
        <a:prstGeom prst="straightConnector1">
          <a:avLst/>
        </a:prstGeom>
        <a:ln w="38100">
          <a:solidFill>
            <a:schemeClr val="accent6">
              <a:lumMod val="7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429073</xdr:colOff>
      <xdr:row>19</xdr:row>
      <xdr:rowOff>47074</xdr:rowOff>
    </xdr:from>
    <xdr:to>
      <xdr:col>67</xdr:col>
      <xdr:colOff>222062</xdr:colOff>
      <xdr:row>23</xdr:row>
      <xdr:rowOff>182210</xdr:rowOff>
    </xdr:to>
    <xdr:sp macro="" textlink="">
      <xdr:nvSpPr>
        <xdr:cNvPr id="292" name="Rectangle 291">
          <a:extLst>
            <a:ext uri="{FF2B5EF4-FFF2-40B4-BE49-F238E27FC236}">
              <a16:creationId xmlns:a16="http://schemas.microsoft.com/office/drawing/2014/main" id="{00000000-0008-0000-0600-000024010000}"/>
            </a:ext>
          </a:extLst>
        </xdr:cNvPr>
        <xdr:cNvSpPr/>
      </xdr:nvSpPr>
      <xdr:spPr>
        <a:xfrm>
          <a:off x="40268421" y="3741117"/>
          <a:ext cx="1018815" cy="9633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a:t>
          </a:r>
          <a:r>
            <a:rPr lang="en-US" sz="1100" baseline="0"/>
            <a:t> </a:t>
          </a:r>
          <a:r>
            <a:rPr lang="en-US" sz="1100"/>
            <a:t>Sync Mode</a:t>
          </a:r>
        </a:p>
        <a:p>
          <a:pPr algn="ctr"/>
          <a:r>
            <a:rPr lang="en-US" sz="900"/>
            <a:t>I2S0_TCR2[SYNC]</a:t>
          </a:r>
        </a:p>
      </xdr:txBody>
    </xdr:sp>
    <xdr:clientData/>
  </xdr:twoCellAnchor>
  <xdr:twoCellAnchor>
    <xdr:from>
      <xdr:col>60</xdr:col>
      <xdr:colOff>252939</xdr:colOff>
      <xdr:row>22</xdr:row>
      <xdr:rowOff>23893</xdr:rowOff>
    </xdr:from>
    <xdr:to>
      <xdr:col>65</xdr:col>
      <xdr:colOff>414130</xdr:colOff>
      <xdr:row>22</xdr:row>
      <xdr:rowOff>23893</xdr:rowOff>
    </xdr:to>
    <xdr:cxnSp macro="">
      <xdr:nvCxnSpPr>
        <xdr:cNvPr id="293" name="Straight Arrow Connector 292">
          <a:extLst>
            <a:ext uri="{FF2B5EF4-FFF2-40B4-BE49-F238E27FC236}">
              <a16:creationId xmlns:a16="http://schemas.microsoft.com/office/drawing/2014/main" id="{00000000-0008-0000-0600-000025010000}"/>
            </a:ext>
          </a:extLst>
        </xdr:cNvPr>
        <xdr:cNvCxnSpPr/>
      </xdr:nvCxnSpPr>
      <xdr:spPr>
        <a:xfrm>
          <a:off x="37027722" y="4339132"/>
          <a:ext cx="322575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173935</xdr:colOff>
      <xdr:row>30</xdr:row>
      <xdr:rowOff>22938</xdr:rowOff>
    </xdr:from>
    <xdr:to>
      <xdr:col>65</xdr:col>
      <xdr:colOff>422413</xdr:colOff>
      <xdr:row>30</xdr:row>
      <xdr:rowOff>22938</xdr:rowOff>
    </xdr:to>
    <xdr:cxnSp macro="">
      <xdr:nvCxnSpPr>
        <xdr:cNvPr id="296" name="Straight Arrow Connector 295">
          <a:extLst>
            <a:ext uri="{FF2B5EF4-FFF2-40B4-BE49-F238E27FC236}">
              <a16:creationId xmlns:a16="http://schemas.microsoft.com/office/drawing/2014/main" id="{00000000-0008-0000-0600-000028010000}"/>
            </a:ext>
          </a:extLst>
        </xdr:cNvPr>
        <xdr:cNvCxnSpPr/>
      </xdr:nvCxnSpPr>
      <xdr:spPr>
        <a:xfrm>
          <a:off x="36948718" y="5978134"/>
          <a:ext cx="331304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430695</xdr:colOff>
      <xdr:row>56</xdr:row>
      <xdr:rowOff>66262</xdr:rowOff>
    </xdr:from>
    <xdr:to>
      <xdr:col>60</xdr:col>
      <xdr:colOff>229718</xdr:colOff>
      <xdr:row>60</xdr:row>
      <xdr:rowOff>183205</xdr:rowOff>
    </xdr:to>
    <xdr:sp macro="" textlink="">
      <xdr:nvSpPr>
        <xdr:cNvPr id="299" name="Rectangle 298">
          <a:extLst>
            <a:ext uri="{FF2B5EF4-FFF2-40B4-BE49-F238E27FC236}">
              <a16:creationId xmlns:a16="http://schemas.microsoft.com/office/drawing/2014/main" id="{00000000-0008-0000-0600-00002B010000}"/>
            </a:ext>
          </a:extLst>
        </xdr:cNvPr>
        <xdr:cNvSpPr/>
      </xdr:nvSpPr>
      <xdr:spPr>
        <a:xfrm>
          <a:off x="35979652" y="11338892"/>
          <a:ext cx="1024849" cy="9452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Swap</a:t>
          </a:r>
        </a:p>
        <a:p>
          <a:pPr algn="ctr"/>
          <a:r>
            <a:rPr lang="en-US" sz="900"/>
            <a:t>I2S2_TCR2[BCS]</a:t>
          </a:r>
        </a:p>
      </xdr:txBody>
    </xdr:sp>
    <xdr:clientData/>
  </xdr:twoCellAnchor>
  <xdr:twoCellAnchor>
    <xdr:from>
      <xdr:col>58</xdr:col>
      <xdr:colOff>438980</xdr:colOff>
      <xdr:row>66</xdr:row>
      <xdr:rowOff>74544</xdr:rowOff>
    </xdr:from>
    <xdr:to>
      <xdr:col>60</xdr:col>
      <xdr:colOff>238003</xdr:colOff>
      <xdr:row>70</xdr:row>
      <xdr:rowOff>181530</xdr:rowOff>
    </xdr:to>
    <xdr:sp macro="" textlink="">
      <xdr:nvSpPr>
        <xdr:cNvPr id="300" name="Rectangle 299">
          <a:extLst>
            <a:ext uri="{FF2B5EF4-FFF2-40B4-BE49-F238E27FC236}">
              <a16:creationId xmlns:a16="http://schemas.microsoft.com/office/drawing/2014/main" id="{00000000-0008-0000-0600-00002C010000}"/>
            </a:ext>
          </a:extLst>
        </xdr:cNvPr>
        <xdr:cNvSpPr/>
      </xdr:nvSpPr>
      <xdr:spPr>
        <a:xfrm>
          <a:off x="35987937" y="13401261"/>
          <a:ext cx="1024849" cy="9352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Swap</a:t>
          </a:r>
        </a:p>
        <a:p>
          <a:pPr algn="ctr"/>
          <a:r>
            <a:rPr lang="en-US" sz="900"/>
            <a:t>I2S2_RCR2[BCS]</a:t>
          </a:r>
        </a:p>
      </xdr:txBody>
    </xdr:sp>
    <xdr:clientData/>
  </xdr:twoCellAnchor>
  <xdr:oneCellAnchor>
    <xdr:from>
      <xdr:col>58</xdr:col>
      <xdr:colOff>563217</xdr:colOff>
      <xdr:row>61</xdr:row>
      <xdr:rowOff>198781</xdr:rowOff>
    </xdr:from>
    <xdr:ext cx="1509347" cy="505558"/>
    <xdr:sp macro="" textlink="">
      <xdr:nvSpPr>
        <xdr:cNvPr id="301" name="TextBox 300">
          <a:extLst>
            <a:ext uri="{FF2B5EF4-FFF2-40B4-BE49-F238E27FC236}">
              <a16:creationId xmlns:a16="http://schemas.microsoft.com/office/drawing/2014/main" id="{00000000-0008-0000-0600-00002D010000}"/>
            </a:ext>
          </a:extLst>
        </xdr:cNvPr>
        <xdr:cNvSpPr txBox="1"/>
      </xdr:nvSpPr>
      <xdr:spPr>
        <a:xfrm>
          <a:off x="36112174" y="12506738"/>
          <a:ext cx="1509347" cy="505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BCLK_TX_SAI2_PS</a:t>
          </a:r>
        </a:p>
        <a:p>
          <a:r>
            <a:rPr lang="en-US" sz="800"/>
            <a:t>1 -</a:t>
          </a:r>
          <a:r>
            <a:rPr lang="en-US" sz="800" baseline="0"/>
            <a:t> Use BCLK_RX_SAI2_PS</a:t>
          </a:r>
          <a:endParaRPr lang="en-US" sz="800"/>
        </a:p>
      </xdr:txBody>
    </xdr:sp>
    <xdr:clientData/>
  </xdr:oneCellAnchor>
  <xdr:oneCellAnchor>
    <xdr:from>
      <xdr:col>58</xdr:col>
      <xdr:colOff>563217</xdr:colOff>
      <xdr:row>71</xdr:row>
      <xdr:rowOff>190500</xdr:rowOff>
    </xdr:from>
    <xdr:ext cx="1648558" cy="527539"/>
    <xdr:sp macro="" textlink="">
      <xdr:nvSpPr>
        <xdr:cNvPr id="302" name="TextBox 301">
          <a:extLst>
            <a:ext uri="{FF2B5EF4-FFF2-40B4-BE49-F238E27FC236}">
              <a16:creationId xmlns:a16="http://schemas.microsoft.com/office/drawing/2014/main" id="{00000000-0008-0000-0600-00002E010000}"/>
            </a:ext>
          </a:extLst>
        </xdr:cNvPr>
        <xdr:cNvSpPr txBox="1"/>
      </xdr:nvSpPr>
      <xdr:spPr>
        <a:xfrm>
          <a:off x="36112174" y="14552543"/>
          <a:ext cx="1648558" cy="527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BCLK_RX_SAI2_PS</a:t>
          </a:r>
        </a:p>
        <a:p>
          <a:r>
            <a:rPr lang="en-US" sz="800"/>
            <a:t>1 -</a:t>
          </a:r>
          <a:r>
            <a:rPr lang="en-US" sz="800" baseline="0"/>
            <a:t> Use BCLK_TX_SAI2_PS</a:t>
          </a:r>
          <a:endParaRPr lang="en-US" sz="800"/>
        </a:p>
      </xdr:txBody>
    </xdr:sp>
    <xdr:clientData/>
  </xdr:oneCellAnchor>
  <xdr:twoCellAnchor>
    <xdr:from>
      <xdr:col>54</xdr:col>
      <xdr:colOff>215347</xdr:colOff>
      <xdr:row>58</xdr:row>
      <xdr:rowOff>41413</xdr:rowOff>
    </xdr:from>
    <xdr:to>
      <xdr:col>58</xdr:col>
      <xdr:colOff>435154</xdr:colOff>
      <xdr:row>58</xdr:row>
      <xdr:rowOff>41413</xdr:rowOff>
    </xdr:to>
    <xdr:cxnSp macro="">
      <xdr:nvCxnSpPr>
        <xdr:cNvPr id="303" name="Straight Arrow Connector 302">
          <a:extLst>
            <a:ext uri="{FF2B5EF4-FFF2-40B4-BE49-F238E27FC236}">
              <a16:creationId xmlns:a16="http://schemas.microsoft.com/office/drawing/2014/main" id="{00000000-0008-0000-0600-00002F010000}"/>
            </a:ext>
          </a:extLst>
        </xdr:cNvPr>
        <xdr:cNvCxnSpPr/>
      </xdr:nvCxnSpPr>
      <xdr:spPr>
        <a:xfrm>
          <a:off x="33312651" y="11728174"/>
          <a:ext cx="2671460"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273326</xdr:colOff>
      <xdr:row>55</xdr:row>
      <xdr:rowOff>82826</xdr:rowOff>
    </xdr:from>
    <xdr:ext cx="1510813" cy="410818"/>
    <xdr:sp macro="" textlink="">
      <xdr:nvSpPr>
        <xdr:cNvPr id="304" name="TextBox 303">
          <a:extLst>
            <a:ext uri="{FF2B5EF4-FFF2-40B4-BE49-F238E27FC236}">
              <a16:creationId xmlns:a16="http://schemas.microsoft.com/office/drawing/2014/main" id="{00000000-0008-0000-0600-000030010000}"/>
            </a:ext>
          </a:extLst>
        </xdr:cNvPr>
        <xdr:cNvSpPr txBox="1"/>
      </xdr:nvSpPr>
      <xdr:spPr>
        <a:xfrm>
          <a:off x="33370630" y="11148391"/>
          <a:ext cx="1510813"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BCLK_TX_SAI2_PS</a:t>
          </a:r>
        </a:p>
      </xdr:txBody>
    </xdr:sp>
    <xdr:clientData/>
  </xdr:oneCellAnchor>
  <xdr:twoCellAnchor>
    <xdr:from>
      <xdr:col>54</xdr:col>
      <xdr:colOff>215347</xdr:colOff>
      <xdr:row>69</xdr:row>
      <xdr:rowOff>33130</xdr:rowOff>
    </xdr:from>
    <xdr:to>
      <xdr:col>58</xdr:col>
      <xdr:colOff>435154</xdr:colOff>
      <xdr:row>69</xdr:row>
      <xdr:rowOff>33130</xdr:rowOff>
    </xdr:to>
    <xdr:cxnSp macro="">
      <xdr:nvCxnSpPr>
        <xdr:cNvPr id="305" name="Straight Arrow Connector 304">
          <a:extLst>
            <a:ext uri="{FF2B5EF4-FFF2-40B4-BE49-F238E27FC236}">
              <a16:creationId xmlns:a16="http://schemas.microsoft.com/office/drawing/2014/main" id="{00000000-0008-0000-0600-000031010000}"/>
            </a:ext>
          </a:extLst>
        </xdr:cNvPr>
        <xdr:cNvCxnSpPr/>
      </xdr:nvCxnSpPr>
      <xdr:spPr>
        <a:xfrm>
          <a:off x="33312651" y="13981043"/>
          <a:ext cx="2671460" cy="0"/>
        </a:xfrm>
        <a:prstGeom prst="straightConnector1">
          <a:avLst/>
        </a:prstGeom>
        <a:ln w="38100">
          <a:solidFill>
            <a:srgbClr val="C0F8F8"/>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273327</xdr:colOff>
      <xdr:row>66</xdr:row>
      <xdr:rowOff>74544</xdr:rowOff>
    </xdr:from>
    <xdr:ext cx="1524000" cy="410818"/>
    <xdr:sp macro="" textlink="">
      <xdr:nvSpPr>
        <xdr:cNvPr id="306" name="TextBox 305">
          <a:extLst>
            <a:ext uri="{FF2B5EF4-FFF2-40B4-BE49-F238E27FC236}">
              <a16:creationId xmlns:a16="http://schemas.microsoft.com/office/drawing/2014/main" id="{00000000-0008-0000-0600-000032010000}"/>
            </a:ext>
          </a:extLst>
        </xdr:cNvPr>
        <xdr:cNvSpPr txBox="1"/>
      </xdr:nvSpPr>
      <xdr:spPr>
        <a:xfrm>
          <a:off x="33370631" y="13417827"/>
          <a:ext cx="1524000"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BCLK_RX_SAI2_PS</a:t>
          </a:r>
        </a:p>
      </xdr:txBody>
    </xdr:sp>
    <xdr:clientData/>
  </xdr:oneCellAnchor>
  <xdr:twoCellAnchor>
    <xdr:from>
      <xdr:col>56</xdr:col>
      <xdr:colOff>521805</xdr:colOff>
      <xdr:row>67</xdr:row>
      <xdr:rowOff>24847</xdr:rowOff>
    </xdr:from>
    <xdr:to>
      <xdr:col>58</xdr:col>
      <xdr:colOff>426872</xdr:colOff>
      <xdr:row>67</xdr:row>
      <xdr:rowOff>24847</xdr:rowOff>
    </xdr:to>
    <xdr:cxnSp macro="">
      <xdr:nvCxnSpPr>
        <xdr:cNvPr id="307" name="Straight Arrow Connector 306">
          <a:extLst>
            <a:ext uri="{FF2B5EF4-FFF2-40B4-BE49-F238E27FC236}">
              <a16:creationId xmlns:a16="http://schemas.microsoft.com/office/drawing/2014/main" id="{00000000-0008-0000-0600-000033010000}"/>
            </a:ext>
          </a:extLst>
        </xdr:cNvPr>
        <xdr:cNvCxnSpPr/>
      </xdr:nvCxnSpPr>
      <xdr:spPr>
        <a:xfrm>
          <a:off x="34844935" y="13575195"/>
          <a:ext cx="1130894"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530087</xdr:colOff>
      <xdr:row>19</xdr:row>
      <xdr:rowOff>182218</xdr:rowOff>
    </xdr:from>
    <xdr:to>
      <xdr:col>56</xdr:col>
      <xdr:colOff>530087</xdr:colOff>
      <xdr:row>67</xdr:row>
      <xdr:rowOff>47284</xdr:rowOff>
    </xdr:to>
    <xdr:cxnSp macro="">
      <xdr:nvCxnSpPr>
        <xdr:cNvPr id="309" name="Straight Arrow Connector 308">
          <a:extLst>
            <a:ext uri="{FF2B5EF4-FFF2-40B4-BE49-F238E27FC236}">
              <a16:creationId xmlns:a16="http://schemas.microsoft.com/office/drawing/2014/main" id="{00000000-0008-0000-0600-000035010000}"/>
            </a:ext>
          </a:extLst>
        </xdr:cNvPr>
        <xdr:cNvCxnSpPr/>
      </xdr:nvCxnSpPr>
      <xdr:spPr>
        <a:xfrm>
          <a:off x="34853217" y="3876261"/>
          <a:ext cx="0" cy="9721371"/>
        </a:xfrm>
        <a:prstGeom prst="straightConnector1">
          <a:avLst/>
        </a:prstGeom>
        <a:ln w="38100">
          <a:solidFill>
            <a:schemeClr val="accent4">
              <a:lumMod val="75000"/>
            </a:schemeClr>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339587</xdr:colOff>
      <xdr:row>60</xdr:row>
      <xdr:rowOff>41414</xdr:rowOff>
    </xdr:from>
    <xdr:to>
      <xdr:col>58</xdr:col>
      <xdr:colOff>435154</xdr:colOff>
      <xdr:row>60</xdr:row>
      <xdr:rowOff>41414</xdr:rowOff>
    </xdr:to>
    <xdr:cxnSp macro="">
      <xdr:nvCxnSpPr>
        <xdr:cNvPr id="310" name="Straight Arrow Connector 309">
          <a:extLst>
            <a:ext uri="{FF2B5EF4-FFF2-40B4-BE49-F238E27FC236}">
              <a16:creationId xmlns:a16="http://schemas.microsoft.com/office/drawing/2014/main" id="{00000000-0008-0000-0600-000036010000}"/>
            </a:ext>
          </a:extLst>
        </xdr:cNvPr>
        <xdr:cNvCxnSpPr/>
      </xdr:nvCxnSpPr>
      <xdr:spPr>
        <a:xfrm>
          <a:off x="33436891" y="12158871"/>
          <a:ext cx="2547220" cy="0"/>
        </a:xfrm>
        <a:prstGeom prst="straightConnector1">
          <a:avLst/>
        </a:prstGeom>
        <a:ln w="38100">
          <a:solidFill>
            <a:srgbClr val="C0F8F8"/>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235417</xdr:colOff>
      <xdr:row>58</xdr:row>
      <xdr:rowOff>25804</xdr:rowOff>
    </xdr:from>
    <xdr:to>
      <xdr:col>65</xdr:col>
      <xdr:colOff>405848</xdr:colOff>
      <xdr:row>58</xdr:row>
      <xdr:rowOff>25804</xdr:rowOff>
    </xdr:to>
    <xdr:cxnSp macro="">
      <xdr:nvCxnSpPr>
        <xdr:cNvPr id="313" name="Straight Arrow Connector 312">
          <a:extLst>
            <a:ext uri="{FF2B5EF4-FFF2-40B4-BE49-F238E27FC236}">
              <a16:creationId xmlns:a16="http://schemas.microsoft.com/office/drawing/2014/main" id="{00000000-0008-0000-0600-000039010000}"/>
            </a:ext>
          </a:extLst>
        </xdr:cNvPr>
        <xdr:cNvCxnSpPr/>
      </xdr:nvCxnSpPr>
      <xdr:spPr>
        <a:xfrm>
          <a:off x="37010200" y="11729130"/>
          <a:ext cx="32349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247522</xdr:colOff>
      <xdr:row>68</xdr:row>
      <xdr:rowOff>24850</xdr:rowOff>
    </xdr:from>
    <xdr:to>
      <xdr:col>65</xdr:col>
      <xdr:colOff>372717</xdr:colOff>
      <xdr:row>68</xdr:row>
      <xdr:rowOff>24850</xdr:rowOff>
    </xdr:to>
    <xdr:cxnSp macro="">
      <xdr:nvCxnSpPr>
        <xdr:cNvPr id="316" name="Straight Arrow Connector 315">
          <a:extLst>
            <a:ext uri="{FF2B5EF4-FFF2-40B4-BE49-F238E27FC236}">
              <a16:creationId xmlns:a16="http://schemas.microsoft.com/office/drawing/2014/main" id="{00000000-0008-0000-0600-00003C010000}"/>
            </a:ext>
          </a:extLst>
        </xdr:cNvPr>
        <xdr:cNvCxnSpPr/>
      </xdr:nvCxnSpPr>
      <xdr:spPr>
        <a:xfrm>
          <a:off x="37022305" y="13782263"/>
          <a:ext cx="31897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58</xdr:col>
      <xdr:colOff>389283</xdr:colOff>
      <xdr:row>38</xdr:row>
      <xdr:rowOff>66262</xdr:rowOff>
    </xdr:from>
    <xdr:to>
      <xdr:col>60</xdr:col>
      <xdr:colOff>188306</xdr:colOff>
      <xdr:row>42</xdr:row>
      <xdr:rowOff>183205</xdr:rowOff>
    </xdr:to>
    <xdr:sp macro="" textlink="">
      <xdr:nvSpPr>
        <xdr:cNvPr id="327" name="Rectangle 326">
          <a:extLst>
            <a:ext uri="{FF2B5EF4-FFF2-40B4-BE49-F238E27FC236}">
              <a16:creationId xmlns:a16="http://schemas.microsoft.com/office/drawing/2014/main" id="{00000000-0008-0000-0600-000047010000}"/>
            </a:ext>
          </a:extLst>
        </xdr:cNvPr>
        <xdr:cNvSpPr/>
      </xdr:nvSpPr>
      <xdr:spPr>
        <a:xfrm>
          <a:off x="35938240" y="7628284"/>
          <a:ext cx="1024849" cy="9452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Swap</a:t>
          </a:r>
        </a:p>
        <a:p>
          <a:pPr algn="ctr"/>
          <a:r>
            <a:rPr lang="en-US" sz="900"/>
            <a:t>I2S1_TCR2[BCS]</a:t>
          </a:r>
        </a:p>
      </xdr:txBody>
    </xdr:sp>
    <xdr:clientData/>
  </xdr:twoCellAnchor>
  <xdr:twoCellAnchor>
    <xdr:from>
      <xdr:col>54</xdr:col>
      <xdr:colOff>190499</xdr:colOff>
      <xdr:row>40</xdr:row>
      <xdr:rowOff>33130</xdr:rowOff>
    </xdr:from>
    <xdr:to>
      <xdr:col>58</xdr:col>
      <xdr:colOff>381000</xdr:colOff>
      <xdr:row>40</xdr:row>
      <xdr:rowOff>33130</xdr:rowOff>
    </xdr:to>
    <xdr:cxnSp macro="">
      <xdr:nvCxnSpPr>
        <xdr:cNvPr id="328" name="Straight Arrow Connector 327">
          <a:extLst>
            <a:ext uri="{FF2B5EF4-FFF2-40B4-BE49-F238E27FC236}">
              <a16:creationId xmlns:a16="http://schemas.microsoft.com/office/drawing/2014/main" id="{00000000-0008-0000-0600-000048010000}"/>
            </a:ext>
          </a:extLst>
        </xdr:cNvPr>
        <xdr:cNvCxnSpPr/>
      </xdr:nvCxnSpPr>
      <xdr:spPr>
        <a:xfrm>
          <a:off x="33287803" y="8009282"/>
          <a:ext cx="2642154" cy="0"/>
        </a:xfrm>
        <a:prstGeom prst="straightConnector1">
          <a:avLst/>
        </a:prstGeom>
        <a:ln w="38100">
          <a:solidFill>
            <a:srgbClr val="00B0F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240196</xdr:colOff>
      <xdr:row>37</xdr:row>
      <xdr:rowOff>66261</xdr:rowOff>
    </xdr:from>
    <xdr:ext cx="1510813" cy="410818"/>
    <xdr:sp macro="" textlink="">
      <xdr:nvSpPr>
        <xdr:cNvPr id="329" name="TextBox 328">
          <a:extLst>
            <a:ext uri="{FF2B5EF4-FFF2-40B4-BE49-F238E27FC236}">
              <a16:creationId xmlns:a16="http://schemas.microsoft.com/office/drawing/2014/main" id="{00000000-0008-0000-0600-000049010000}"/>
            </a:ext>
          </a:extLst>
        </xdr:cNvPr>
        <xdr:cNvSpPr txBox="1"/>
      </xdr:nvSpPr>
      <xdr:spPr>
        <a:xfrm>
          <a:off x="33337500" y="7421218"/>
          <a:ext cx="1510813"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BCLK_TX_SAI1_PS</a:t>
          </a:r>
        </a:p>
      </xdr:txBody>
    </xdr:sp>
    <xdr:clientData/>
  </xdr:oneCellAnchor>
  <xdr:twoCellAnchor>
    <xdr:from>
      <xdr:col>58</xdr:col>
      <xdr:colOff>430696</xdr:colOff>
      <xdr:row>47</xdr:row>
      <xdr:rowOff>74543</xdr:rowOff>
    </xdr:from>
    <xdr:to>
      <xdr:col>60</xdr:col>
      <xdr:colOff>229719</xdr:colOff>
      <xdr:row>51</xdr:row>
      <xdr:rowOff>191486</xdr:rowOff>
    </xdr:to>
    <xdr:sp macro="" textlink="">
      <xdr:nvSpPr>
        <xdr:cNvPr id="330" name="Rectangle 329">
          <a:extLst>
            <a:ext uri="{FF2B5EF4-FFF2-40B4-BE49-F238E27FC236}">
              <a16:creationId xmlns:a16="http://schemas.microsoft.com/office/drawing/2014/main" id="{00000000-0008-0000-0600-00004A010000}"/>
            </a:ext>
          </a:extLst>
        </xdr:cNvPr>
        <xdr:cNvSpPr/>
      </xdr:nvSpPr>
      <xdr:spPr>
        <a:xfrm>
          <a:off x="35979653" y="9500152"/>
          <a:ext cx="1024849" cy="94520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BCLK Swap</a:t>
          </a:r>
        </a:p>
        <a:p>
          <a:pPr algn="ctr"/>
          <a:r>
            <a:rPr lang="en-US" sz="900"/>
            <a:t>I2S1_RCR2[BCS]</a:t>
          </a:r>
        </a:p>
      </xdr:txBody>
    </xdr:sp>
    <xdr:clientData/>
  </xdr:twoCellAnchor>
  <xdr:oneCellAnchor>
    <xdr:from>
      <xdr:col>58</xdr:col>
      <xdr:colOff>554935</xdr:colOff>
      <xdr:row>43</xdr:row>
      <xdr:rowOff>182217</xdr:rowOff>
    </xdr:from>
    <xdr:ext cx="1509347" cy="505558"/>
    <xdr:sp macro="" textlink="">
      <xdr:nvSpPr>
        <xdr:cNvPr id="331" name="TextBox 330">
          <a:extLst>
            <a:ext uri="{FF2B5EF4-FFF2-40B4-BE49-F238E27FC236}">
              <a16:creationId xmlns:a16="http://schemas.microsoft.com/office/drawing/2014/main" id="{00000000-0008-0000-0600-00004B010000}"/>
            </a:ext>
          </a:extLst>
        </xdr:cNvPr>
        <xdr:cNvSpPr txBox="1"/>
      </xdr:nvSpPr>
      <xdr:spPr>
        <a:xfrm>
          <a:off x="36103892" y="8779565"/>
          <a:ext cx="1509347" cy="505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BCLK_TX_SAI1_PS</a:t>
          </a:r>
        </a:p>
        <a:p>
          <a:r>
            <a:rPr lang="en-US" sz="800"/>
            <a:t>1 -</a:t>
          </a:r>
          <a:r>
            <a:rPr lang="en-US" sz="800" baseline="0"/>
            <a:t> Use BCLK_RX_SAI1_PS</a:t>
          </a:r>
        </a:p>
        <a:p>
          <a:r>
            <a:rPr lang="en-US" sz="800" baseline="0"/>
            <a:t>No effect if sync'd with SAI_2</a:t>
          </a:r>
          <a:endParaRPr lang="en-US" sz="800"/>
        </a:p>
      </xdr:txBody>
    </xdr:sp>
    <xdr:clientData/>
  </xdr:oneCellAnchor>
  <xdr:oneCellAnchor>
    <xdr:from>
      <xdr:col>58</xdr:col>
      <xdr:colOff>554935</xdr:colOff>
      <xdr:row>52</xdr:row>
      <xdr:rowOff>190501</xdr:rowOff>
    </xdr:from>
    <xdr:ext cx="1648558" cy="527539"/>
    <xdr:sp macro="" textlink="">
      <xdr:nvSpPr>
        <xdr:cNvPr id="333" name="TextBox 332">
          <a:extLst>
            <a:ext uri="{FF2B5EF4-FFF2-40B4-BE49-F238E27FC236}">
              <a16:creationId xmlns:a16="http://schemas.microsoft.com/office/drawing/2014/main" id="{00000000-0008-0000-0600-00004D010000}"/>
            </a:ext>
          </a:extLst>
        </xdr:cNvPr>
        <xdr:cNvSpPr txBox="1"/>
      </xdr:nvSpPr>
      <xdr:spPr>
        <a:xfrm>
          <a:off x="36103892" y="10651436"/>
          <a:ext cx="1648558" cy="527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Use BCLK_RX_SAI1_PS</a:t>
          </a:r>
        </a:p>
        <a:p>
          <a:r>
            <a:rPr lang="en-US" sz="800"/>
            <a:t>1 -</a:t>
          </a:r>
          <a:r>
            <a:rPr lang="en-US" sz="800" baseline="0"/>
            <a:t> Use BCLK_TX_SAI1_PS</a:t>
          </a:r>
        </a:p>
        <a:p>
          <a:r>
            <a:rPr lang="en-US" sz="800" baseline="0"/>
            <a:t>No effect if sync'd with SAI_2</a:t>
          </a:r>
          <a:endParaRPr lang="en-US" sz="800"/>
        </a:p>
      </xdr:txBody>
    </xdr:sp>
    <xdr:clientData/>
  </xdr:oneCellAnchor>
  <xdr:twoCellAnchor>
    <xdr:from>
      <xdr:col>54</xdr:col>
      <xdr:colOff>207066</xdr:colOff>
      <xdr:row>50</xdr:row>
      <xdr:rowOff>24848</xdr:rowOff>
    </xdr:from>
    <xdr:to>
      <xdr:col>58</xdr:col>
      <xdr:colOff>426873</xdr:colOff>
      <xdr:row>50</xdr:row>
      <xdr:rowOff>24848</xdr:rowOff>
    </xdr:to>
    <xdr:cxnSp macro="">
      <xdr:nvCxnSpPr>
        <xdr:cNvPr id="334" name="Straight Arrow Connector 333">
          <a:extLst>
            <a:ext uri="{FF2B5EF4-FFF2-40B4-BE49-F238E27FC236}">
              <a16:creationId xmlns:a16="http://schemas.microsoft.com/office/drawing/2014/main" id="{00000000-0008-0000-0600-00004E010000}"/>
            </a:ext>
          </a:extLst>
        </xdr:cNvPr>
        <xdr:cNvCxnSpPr/>
      </xdr:nvCxnSpPr>
      <xdr:spPr>
        <a:xfrm>
          <a:off x="33304370" y="10071652"/>
          <a:ext cx="267146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538370</xdr:colOff>
      <xdr:row>48</xdr:row>
      <xdr:rowOff>24847</xdr:rowOff>
    </xdr:from>
    <xdr:to>
      <xdr:col>58</xdr:col>
      <xdr:colOff>443438</xdr:colOff>
      <xdr:row>48</xdr:row>
      <xdr:rowOff>24847</xdr:rowOff>
    </xdr:to>
    <xdr:cxnSp macro="">
      <xdr:nvCxnSpPr>
        <xdr:cNvPr id="335" name="Straight Arrow Connector 334">
          <a:extLst>
            <a:ext uri="{FF2B5EF4-FFF2-40B4-BE49-F238E27FC236}">
              <a16:creationId xmlns:a16="http://schemas.microsoft.com/office/drawing/2014/main" id="{00000000-0008-0000-0600-00004F010000}"/>
            </a:ext>
          </a:extLst>
        </xdr:cNvPr>
        <xdr:cNvCxnSpPr/>
      </xdr:nvCxnSpPr>
      <xdr:spPr>
        <a:xfrm>
          <a:off x="35474413" y="9657521"/>
          <a:ext cx="517982" cy="0"/>
        </a:xfrm>
        <a:prstGeom prst="straightConnector1">
          <a:avLst/>
        </a:prstGeom>
        <a:ln w="38100">
          <a:solidFill>
            <a:srgbClr val="00B0F0"/>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554935</xdr:colOff>
      <xdr:row>40</xdr:row>
      <xdr:rowOff>57978</xdr:rowOff>
    </xdr:from>
    <xdr:to>
      <xdr:col>57</xdr:col>
      <xdr:colOff>554935</xdr:colOff>
      <xdr:row>48</xdr:row>
      <xdr:rowOff>8283</xdr:rowOff>
    </xdr:to>
    <xdr:cxnSp macro="">
      <xdr:nvCxnSpPr>
        <xdr:cNvPr id="336" name="Straight Arrow Connector 335">
          <a:extLst>
            <a:ext uri="{FF2B5EF4-FFF2-40B4-BE49-F238E27FC236}">
              <a16:creationId xmlns:a16="http://schemas.microsoft.com/office/drawing/2014/main" id="{00000000-0008-0000-0600-000050010000}"/>
            </a:ext>
          </a:extLst>
        </xdr:cNvPr>
        <xdr:cNvCxnSpPr/>
      </xdr:nvCxnSpPr>
      <xdr:spPr>
        <a:xfrm>
          <a:off x="35490978" y="8034130"/>
          <a:ext cx="0" cy="1606827"/>
        </a:xfrm>
        <a:prstGeom prst="straightConnector1">
          <a:avLst/>
        </a:prstGeom>
        <a:ln w="38100">
          <a:solidFill>
            <a:srgbClr val="00B0F0"/>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381000</xdr:colOff>
      <xdr:row>41</xdr:row>
      <xdr:rowOff>8282</xdr:rowOff>
    </xdr:from>
    <xdr:to>
      <xdr:col>58</xdr:col>
      <xdr:colOff>377176</xdr:colOff>
      <xdr:row>41</xdr:row>
      <xdr:rowOff>8282</xdr:rowOff>
    </xdr:to>
    <xdr:cxnSp macro="">
      <xdr:nvCxnSpPr>
        <xdr:cNvPr id="337" name="Straight Arrow Connector 336">
          <a:extLst>
            <a:ext uri="{FF2B5EF4-FFF2-40B4-BE49-F238E27FC236}">
              <a16:creationId xmlns:a16="http://schemas.microsoft.com/office/drawing/2014/main" id="{00000000-0008-0000-0600-000051010000}"/>
            </a:ext>
          </a:extLst>
        </xdr:cNvPr>
        <xdr:cNvCxnSpPr/>
      </xdr:nvCxnSpPr>
      <xdr:spPr>
        <a:xfrm>
          <a:off x="35317043" y="8191499"/>
          <a:ext cx="609090" cy="0"/>
        </a:xfrm>
        <a:prstGeom prst="straightConnector1">
          <a:avLst/>
        </a:prstGeom>
        <a:ln w="38100">
          <a:solidFill>
            <a:srgbClr val="F5C3F1"/>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381000</xdr:colOff>
      <xdr:row>41</xdr:row>
      <xdr:rowOff>0</xdr:rowOff>
    </xdr:from>
    <xdr:to>
      <xdr:col>57</xdr:col>
      <xdr:colOff>381000</xdr:colOff>
      <xdr:row>50</xdr:row>
      <xdr:rowOff>24848</xdr:rowOff>
    </xdr:to>
    <xdr:cxnSp macro="">
      <xdr:nvCxnSpPr>
        <xdr:cNvPr id="338" name="Straight Arrow Connector 337">
          <a:extLst>
            <a:ext uri="{FF2B5EF4-FFF2-40B4-BE49-F238E27FC236}">
              <a16:creationId xmlns:a16="http://schemas.microsoft.com/office/drawing/2014/main" id="{00000000-0008-0000-0600-000052010000}"/>
            </a:ext>
          </a:extLst>
        </xdr:cNvPr>
        <xdr:cNvCxnSpPr/>
      </xdr:nvCxnSpPr>
      <xdr:spPr>
        <a:xfrm>
          <a:off x="35317043" y="8183217"/>
          <a:ext cx="0" cy="1888435"/>
        </a:xfrm>
        <a:prstGeom prst="straightConnector1">
          <a:avLst/>
        </a:prstGeom>
        <a:ln w="38100">
          <a:solidFill>
            <a:srgbClr val="F5C3F1"/>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54</xdr:col>
      <xdr:colOff>273322</xdr:colOff>
      <xdr:row>47</xdr:row>
      <xdr:rowOff>57977</xdr:rowOff>
    </xdr:from>
    <xdr:ext cx="1524000" cy="410818"/>
    <xdr:sp macro="" textlink="">
      <xdr:nvSpPr>
        <xdr:cNvPr id="340" name="TextBox 339">
          <a:extLst>
            <a:ext uri="{FF2B5EF4-FFF2-40B4-BE49-F238E27FC236}">
              <a16:creationId xmlns:a16="http://schemas.microsoft.com/office/drawing/2014/main" id="{00000000-0008-0000-0600-000054010000}"/>
            </a:ext>
          </a:extLst>
        </xdr:cNvPr>
        <xdr:cNvSpPr txBox="1"/>
      </xdr:nvSpPr>
      <xdr:spPr>
        <a:xfrm>
          <a:off x="33370626" y="9500151"/>
          <a:ext cx="1524000" cy="4108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BCLK_RX_SAI1_PS</a:t>
          </a:r>
        </a:p>
      </xdr:txBody>
    </xdr:sp>
    <xdr:clientData/>
  </xdr:oneCellAnchor>
  <xdr:twoCellAnchor>
    <xdr:from>
      <xdr:col>65</xdr:col>
      <xdr:colOff>422414</xdr:colOff>
      <xdr:row>28</xdr:row>
      <xdr:rowOff>57979</xdr:rowOff>
    </xdr:from>
    <xdr:to>
      <xdr:col>67</xdr:col>
      <xdr:colOff>215403</xdr:colOff>
      <xdr:row>32</xdr:row>
      <xdr:rowOff>193115</xdr:rowOff>
    </xdr:to>
    <xdr:sp macro="" textlink="">
      <xdr:nvSpPr>
        <xdr:cNvPr id="342" name="Rectangle 341">
          <a:extLst>
            <a:ext uri="{FF2B5EF4-FFF2-40B4-BE49-F238E27FC236}">
              <a16:creationId xmlns:a16="http://schemas.microsoft.com/office/drawing/2014/main" id="{00000000-0008-0000-0600-000056010000}"/>
            </a:ext>
          </a:extLst>
        </xdr:cNvPr>
        <xdr:cNvSpPr/>
      </xdr:nvSpPr>
      <xdr:spPr>
        <a:xfrm>
          <a:off x="40261762" y="5599044"/>
          <a:ext cx="1018815" cy="9633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a:t>
          </a:r>
          <a:r>
            <a:rPr lang="en-US" sz="1100" baseline="0"/>
            <a:t> </a:t>
          </a:r>
          <a:r>
            <a:rPr lang="en-US" sz="1100"/>
            <a:t>Sync Mode</a:t>
          </a:r>
        </a:p>
        <a:p>
          <a:pPr algn="ctr"/>
          <a:r>
            <a:rPr lang="en-US" sz="900"/>
            <a:t>I2S0_RCR2[SYNC]</a:t>
          </a:r>
        </a:p>
      </xdr:txBody>
    </xdr:sp>
    <xdr:clientData/>
  </xdr:twoCellAnchor>
  <xdr:oneCellAnchor>
    <xdr:from>
      <xdr:col>65</xdr:col>
      <xdr:colOff>554935</xdr:colOff>
      <xdr:row>24</xdr:row>
      <xdr:rowOff>182216</xdr:rowOff>
    </xdr:from>
    <xdr:ext cx="1509347" cy="646044"/>
    <xdr:sp macro="" textlink="">
      <xdr:nvSpPr>
        <xdr:cNvPr id="343" name="TextBox 342">
          <a:extLst>
            <a:ext uri="{FF2B5EF4-FFF2-40B4-BE49-F238E27FC236}">
              <a16:creationId xmlns:a16="http://schemas.microsoft.com/office/drawing/2014/main" id="{00000000-0008-0000-0600-000057010000}"/>
            </a:ext>
          </a:extLst>
        </xdr:cNvPr>
        <xdr:cNvSpPr txBox="1"/>
      </xdr:nvSpPr>
      <xdr:spPr>
        <a:xfrm>
          <a:off x="40394283" y="4911586"/>
          <a:ext cx="1509347" cy="646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BCLK_RX_SAI0</a:t>
          </a:r>
        </a:p>
        <a:p>
          <a:r>
            <a:rPr lang="en-US" sz="800" baseline="0"/>
            <a:t>2 - Sync with BCLK_TX_SAI2</a:t>
          </a:r>
        </a:p>
        <a:p>
          <a:r>
            <a:rPr lang="en-US" sz="800" baseline="0"/>
            <a:t>3 - Sync with BCLK_RX_SAI2</a:t>
          </a:r>
          <a:endParaRPr lang="en-US" sz="800"/>
        </a:p>
      </xdr:txBody>
    </xdr:sp>
    <xdr:clientData/>
  </xdr:oneCellAnchor>
  <xdr:oneCellAnchor>
    <xdr:from>
      <xdr:col>65</xdr:col>
      <xdr:colOff>563217</xdr:colOff>
      <xdr:row>33</xdr:row>
      <xdr:rowOff>190500</xdr:rowOff>
    </xdr:from>
    <xdr:ext cx="1509347" cy="646044"/>
    <xdr:sp macro="" textlink="">
      <xdr:nvSpPr>
        <xdr:cNvPr id="344" name="TextBox 343">
          <a:extLst>
            <a:ext uri="{FF2B5EF4-FFF2-40B4-BE49-F238E27FC236}">
              <a16:creationId xmlns:a16="http://schemas.microsoft.com/office/drawing/2014/main" id="{00000000-0008-0000-0600-000058010000}"/>
            </a:ext>
          </a:extLst>
        </xdr:cNvPr>
        <xdr:cNvSpPr txBox="1"/>
      </xdr:nvSpPr>
      <xdr:spPr>
        <a:xfrm>
          <a:off x="40402565" y="6766891"/>
          <a:ext cx="1509347" cy="646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BCLK_TX_SAI0</a:t>
          </a:r>
        </a:p>
        <a:p>
          <a:r>
            <a:rPr lang="en-US" sz="800" baseline="0"/>
            <a:t>2 - Sync with BCLK_RX_SAI2</a:t>
          </a:r>
        </a:p>
        <a:p>
          <a:r>
            <a:rPr lang="en-US" sz="800" baseline="0"/>
            <a:t>3 - Sync with BCLK_TX_SAI2</a:t>
          </a:r>
          <a:endParaRPr lang="en-US" sz="800"/>
        </a:p>
      </xdr:txBody>
    </xdr:sp>
    <xdr:clientData/>
  </xdr:oneCellAnchor>
  <xdr:twoCellAnchor>
    <xdr:from>
      <xdr:col>54</xdr:col>
      <xdr:colOff>323022</xdr:colOff>
      <xdr:row>23</xdr:row>
      <xdr:rowOff>41413</xdr:rowOff>
    </xdr:from>
    <xdr:to>
      <xdr:col>54</xdr:col>
      <xdr:colOff>323022</xdr:colOff>
      <xdr:row>68</xdr:row>
      <xdr:rowOff>204652</xdr:rowOff>
    </xdr:to>
    <xdr:cxnSp macro="">
      <xdr:nvCxnSpPr>
        <xdr:cNvPr id="346" name="Straight Arrow Connector 345">
          <a:extLst>
            <a:ext uri="{FF2B5EF4-FFF2-40B4-BE49-F238E27FC236}">
              <a16:creationId xmlns:a16="http://schemas.microsoft.com/office/drawing/2014/main" id="{00000000-0008-0000-0600-00005A010000}"/>
            </a:ext>
          </a:extLst>
        </xdr:cNvPr>
        <xdr:cNvCxnSpPr/>
      </xdr:nvCxnSpPr>
      <xdr:spPr>
        <a:xfrm>
          <a:off x="33420326" y="4563717"/>
          <a:ext cx="0" cy="9398348"/>
        </a:xfrm>
        <a:prstGeom prst="straightConnector1">
          <a:avLst/>
        </a:prstGeom>
        <a:ln w="38100">
          <a:solidFill>
            <a:srgbClr val="C0F8F8"/>
          </a:solidFill>
          <a:prstDash val="sysDash"/>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306457</xdr:colOff>
      <xdr:row>23</xdr:row>
      <xdr:rowOff>57978</xdr:rowOff>
    </xdr:from>
    <xdr:to>
      <xdr:col>58</xdr:col>
      <xdr:colOff>402024</xdr:colOff>
      <xdr:row>23</xdr:row>
      <xdr:rowOff>57978</xdr:rowOff>
    </xdr:to>
    <xdr:cxnSp macro="">
      <xdr:nvCxnSpPr>
        <xdr:cNvPr id="347" name="Straight Arrow Connector 346">
          <a:extLst>
            <a:ext uri="{FF2B5EF4-FFF2-40B4-BE49-F238E27FC236}">
              <a16:creationId xmlns:a16="http://schemas.microsoft.com/office/drawing/2014/main" id="{00000000-0008-0000-0600-00005B010000}"/>
            </a:ext>
          </a:extLst>
        </xdr:cNvPr>
        <xdr:cNvCxnSpPr/>
      </xdr:nvCxnSpPr>
      <xdr:spPr>
        <a:xfrm>
          <a:off x="33403761" y="4580282"/>
          <a:ext cx="2547220" cy="0"/>
        </a:xfrm>
        <a:prstGeom prst="straightConnector1">
          <a:avLst/>
        </a:prstGeom>
        <a:ln w="38100">
          <a:solidFill>
            <a:srgbClr val="C0F8F8"/>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521804</xdr:colOff>
      <xdr:row>19</xdr:row>
      <xdr:rowOff>182217</xdr:rowOff>
    </xdr:from>
    <xdr:to>
      <xdr:col>58</xdr:col>
      <xdr:colOff>426871</xdr:colOff>
      <xdr:row>19</xdr:row>
      <xdr:rowOff>182217</xdr:rowOff>
    </xdr:to>
    <xdr:cxnSp macro="">
      <xdr:nvCxnSpPr>
        <xdr:cNvPr id="348" name="Straight Arrow Connector 347">
          <a:extLst>
            <a:ext uri="{FF2B5EF4-FFF2-40B4-BE49-F238E27FC236}">
              <a16:creationId xmlns:a16="http://schemas.microsoft.com/office/drawing/2014/main" id="{00000000-0008-0000-0600-00005C010000}"/>
            </a:ext>
          </a:extLst>
        </xdr:cNvPr>
        <xdr:cNvCxnSpPr/>
      </xdr:nvCxnSpPr>
      <xdr:spPr>
        <a:xfrm>
          <a:off x="34844934" y="3876260"/>
          <a:ext cx="1130894"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298174</xdr:colOff>
      <xdr:row>31</xdr:row>
      <xdr:rowOff>66261</xdr:rowOff>
    </xdr:from>
    <xdr:to>
      <xdr:col>58</xdr:col>
      <xdr:colOff>393741</xdr:colOff>
      <xdr:row>31</xdr:row>
      <xdr:rowOff>66261</xdr:rowOff>
    </xdr:to>
    <xdr:cxnSp macro="">
      <xdr:nvCxnSpPr>
        <xdr:cNvPr id="349" name="Straight Arrow Connector 348">
          <a:extLst>
            <a:ext uri="{FF2B5EF4-FFF2-40B4-BE49-F238E27FC236}">
              <a16:creationId xmlns:a16="http://schemas.microsoft.com/office/drawing/2014/main" id="{00000000-0008-0000-0600-00005D010000}"/>
            </a:ext>
          </a:extLst>
        </xdr:cNvPr>
        <xdr:cNvCxnSpPr/>
      </xdr:nvCxnSpPr>
      <xdr:spPr>
        <a:xfrm>
          <a:off x="33395478" y="6228522"/>
          <a:ext cx="2547220" cy="0"/>
        </a:xfrm>
        <a:prstGeom prst="straightConnector1">
          <a:avLst/>
        </a:prstGeom>
        <a:ln w="38100">
          <a:solidFill>
            <a:srgbClr val="C0F8F8"/>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505239</xdr:colOff>
      <xdr:row>30</xdr:row>
      <xdr:rowOff>74544</xdr:rowOff>
    </xdr:from>
    <xdr:to>
      <xdr:col>58</xdr:col>
      <xdr:colOff>410306</xdr:colOff>
      <xdr:row>30</xdr:row>
      <xdr:rowOff>74544</xdr:rowOff>
    </xdr:to>
    <xdr:cxnSp macro="">
      <xdr:nvCxnSpPr>
        <xdr:cNvPr id="350" name="Straight Arrow Connector 349">
          <a:extLst>
            <a:ext uri="{FF2B5EF4-FFF2-40B4-BE49-F238E27FC236}">
              <a16:creationId xmlns:a16="http://schemas.microsoft.com/office/drawing/2014/main" id="{00000000-0008-0000-0600-00005E010000}"/>
            </a:ext>
          </a:extLst>
        </xdr:cNvPr>
        <xdr:cNvCxnSpPr/>
      </xdr:nvCxnSpPr>
      <xdr:spPr>
        <a:xfrm>
          <a:off x="34828369" y="6029740"/>
          <a:ext cx="1130894"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505239</xdr:colOff>
      <xdr:row>39</xdr:row>
      <xdr:rowOff>49696</xdr:rowOff>
    </xdr:from>
    <xdr:to>
      <xdr:col>58</xdr:col>
      <xdr:colOff>364434</xdr:colOff>
      <xdr:row>39</xdr:row>
      <xdr:rowOff>49696</xdr:rowOff>
    </xdr:to>
    <xdr:cxnSp macro="">
      <xdr:nvCxnSpPr>
        <xdr:cNvPr id="351" name="Straight Arrow Connector 350">
          <a:extLst>
            <a:ext uri="{FF2B5EF4-FFF2-40B4-BE49-F238E27FC236}">
              <a16:creationId xmlns:a16="http://schemas.microsoft.com/office/drawing/2014/main" id="{00000000-0008-0000-0600-00005F010000}"/>
            </a:ext>
          </a:extLst>
        </xdr:cNvPr>
        <xdr:cNvCxnSpPr/>
      </xdr:nvCxnSpPr>
      <xdr:spPr>
        <a:xfrm>
          <a:off x="34828369" y="7835348"/>
          <a:ext cx="1085022"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546652</xdr:colOff>
      <xdr:row>49</xdr:row>
      <xdr:rowOff>33131</xdr:rowOff>
    </xdr:from>
    <xdr:to>
      <xdr:col>58</xdr:col>
      <xdr:colOff>405847</xdr:colOff>
      <xdr:row>49</xdr:row>
      <xdr:rowOff>33131</xdr:rowOff>
    </xdr:to>
    <xdr:cxnSp macro="">
      <xdr:nvCxnSpPr>
        <xdr:cNvPr id="352" name="Straight Arrow Connector 351">
          <a:extLst>
            <a:ext uri="{FF2B5EF4-FFF2-40B4-BE49-F238E27FC236}">
              <a16:creationId xmlns:a16="http://schemas.microsoft.com/office/drawing/2014/main" id="{00000000-0008-0000-0600-000060010000}"/>
            </a:ext>
          </a:extLst>
        </xdr:cNvPr>
        <xdr:cNvCxnSpPr/>
      </xdr:nvCxnSpPr>
      <xdr:spPr>
        <a:xfrm>
          <a:off x="34869782" y="9889435"/>
          <a:ext cx="1085022" cy="0"/>
        </a:xfrm>
        <a:prstGeom prst="straightConnector1">
          <a:avLst/>
        </a:prstGeom>
        <a:ln w="38100">
          <a:solidFill>
            <a:schemeClr val="accent4">
              <a:lumMod val="75000"/>
            </a:schemeClr>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306457</xdr:colOff>
      <xdr:row>42</xdr:row>
      <xdr:rowOff>82826</xdr:rowOff>
    </xdr:from>
    <xdr:to>
      <xdr:col>58</xdr:col>
      <xdr:colOff>372717</xdr:colOff>
      <xdr:row>42</xdr:row>
      <xdr:rowOff>82826</xdr:rowOff>
    </xdr:to>
    <xdr:cxnSp macro="">
      <xdr:nvCxnSpPr>
        <xdr:cNvPr id="353" name="Straight Arrow Connector 352">
          <a:extLst>
            <a:ext uri="{FF2B5EF4-FFF2-40B4-BE49-F238E27FC236}">
              <a16:creationId xmlns:a16="http://schemas.microsoft.com/office/drawing/2014/main" id="{00000000-0008-0000-0600-000061010000}"/>
            </a:ext>
          </a:extLst>
        </xdr:cNvPr>
        <xdr:cNvCxnSpPr/>
      </xdr:nvCxnSpPr>
      <xdr:spPr>
        <a:xfrm>
          <a:off x="33403761" y="8489674"/>
          <a:ext cx="2517913" cy="0"/>
        </a:xfrm>
        <a:prstGeom prst="straightConnector1">
          <a:avLst/>
        </a:prstGeom>
        <a:ln w="38100">
          <a:solidFill>
            <a:srgbClr val="C0F8F8"/>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54</xdr:col>
      <xdr:colOff>356152</xdr:colOff>
      <xdr:row>51</xdr:row>
      <xdr:rowOff>82826</xdr:rowOff>
    </xdr:from>
    <xdr:to>
      <xdr:col>58</xdr:col>
      <xdr:colOff>422412</xdr:colOff>
      <xdr:row>51</xdr:row>
      <xdr:rowOff>82826</xdr:rowOff>
    </xdr:to>
    <xdr:cxnSp macro="">
      <xdr:nvCxnSpPr>
        <xdr:cNvPr id="354" name="Straight Arrow Connector 353">
          <a:extLst>
            <a:ext uri="{FF2B5EF4-FFF2-40B4-BE49-F238E27FC236}">
              <a16:creationId xmlns:a16="http://schemas.microsoft.com/office/drawing/2014/main" id="{00000000-0008-0000-0600-000062010000}"/>
            </a:ext>
          </a:extLst>
        </xdr:cNvPr>
        <xdr:cNvCxnSpPr/>
      </xdr:nvCxnSpPr>
      <xdr:spPr>
        <a:xfrm>
          <a:off x="33453456" y="10353261"/>
          <a:ext cx="2517913" cy="0"/>
        </a:xfrm>
        <a:prstGeom prst="straightConnector1">
          <a:avLst/>
        </a:prstGeom>
        <a:ln w="38100">
          <a:solidFill>
            <a:srgbClr val="C0F8F8"/>
          </a:solidFill>
          <a:prstDash val="sysDash"/>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430696</xdr:colOff>
      <xdr:row>38</xdr:row>
      <xdr:rowOff>57979</xdr:rowOff>
    </xdr:from>
    <xdr:to>
      <xdr:col>67</xdr:col>
      <xdr:colOff>223685</xdr:colOff>
      <xdr:row>42</xdr:row>
      <xdr:rowOff>193115</xdr:rowOff>
    </xdr:to>
    <xdr:sp macro="" textlink="">
      <xdr:nvSpPr>
        <xdr:cNvPr id="355" name="Rectangle 354">
          <a:extLst>
            <a:ext uri="{FF2B5EF4-FFF2-40B4-BE49-F238E27FC236}">
              <a16:creationId xmlns:a16="http://schemas.microsoft.com/office/drawing/2014/main" id="{00000000-0008-0000-0600-000063010000}"/>
            </a:ext>
          </a:extLst>
        </xdr:cNvPr>
        <xdr:cNvSpPr/>
      </xdr:nvSpPr>
      <xdr:spPr>
        <a:xfrm>
          <a:off x="40270044" y="7636566"/>
          <a:ext cx="1018815" cy="9633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a:t>
          </a:r>
          <a:r>
            <a:rPr lang="en-US" sz="1100" baseline="0"/>
            <a:t> </a:t>
          </a:r>
          <a:r>
            <a:rPr lang="en-US" sz="1100"/>
            <a:t>Sync Mode</a:t>
          </a:r>
        </a:p>
        <a:p>
          <a:pPr algn="ctr"/>
          <a:r>
            <a:rPr lang="en-US" sz="900"/>
            <a:t>I2S1_TCR2[SYNC]</a:t>
          </a:r>
        </a:p>
      </xdr:txBody>
    </xdr:sp>
    <xdr:clientData/>
  </xdr:twoCellAnchor>
  <xdr:oneCellAnchor>
    <xdr:from>
      <xdr:col>65</xdr:col>
      <xdr:colOff>579783</xdr:colOff>
      <xdr:row>43</xdr:row>
      <xdr:rowOff>198782</xdr:rowOff>
    </xdr:from>
    <xdr:ext cx="1509347" cy="646044"/>
    <xdr:sp macro="" textlink="">
      <xdr:nvSpPr>
        <xdr:cNvPr id="356" name="TextBox 355">
          <a:extLst>
            <a:ext uri="{FF2B5EF4-FFF2-40B4-BE49-F238E27FC236}">
              <a16:creationId xmlns:a16="http://schemas.microsoft.com/office/drawing/2014/main" id="{00000000-0008-0000-0600-000064010000}"/>
            </a:ext>
          </a:extLst>
        </xdr:cNvPr>
        <xdr:cNvSpPr txBox="1"/>
      </xdr:nvSpPr>
      <xdr:spPr>
        <a:xfrm>
          <a:off x="40419131" y="8812695"/>
          <a:ext cx="1509347" cy="646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BCLK_RX_SAI1</a:t>
          </a:r>
        </a:p>
        <a:p>
          <a:r>
            <a:rPr lang="en-US" sz="800" baseline="0"/>
            <a:t>2 - Sync with BCLK_TX_SAI2</a:t>
          </a:r>
        </a:p>
        <a:p>
          <a:r>
            <a:rPr lang="en-US" sz="800" baseline="0"/>
            <a:t>3 - Sync with BCLK_RX_SAI2</a:t>
          </a:r>
          <a:endParaRPr lang="en-US" sz="800"/>
        </a:p>
      </xdr:txBody>
    </xdr:sp>
    <xdr:clientData/>
  </xdr:oneCellAnchor>
  <xdr:twoCellAnchor>
    <xdr:from>
      <xdr:col>65</xdr:col>
      <xdr:colOff>405848</xdr:colOff>
      <xdr:row>47</xdr:row>
      <xdr:rowOff>57978</xdr:rowOff>
    </xdr:from>
    <xdr:to>
      <xdr:col>67</xdr:col>
      <xdr:colOff>198837</xdr:colOff>
      <xdr:row>51</xdr:row>
      <xdr:rowOff>193114</xdr:rowOff>
    </xdr:to>
    <xdr:sp macro="" textlink="">
      <xdr:nvSpPr>
        <xdr:cNvPr id="357" name="Rectangle 356">
          <a:extLst>
            <a:ext uri="{FF2B5EF4-FFF2-40B4-BE49-F238E27FC236}">
              <a16:creationId xmlns:a16="http://schemas.microsoft.com/office/drawing/2014/main" id="{00000000-0008-0000-0600-000065010000}"/>
            </a:ext>
          </a:extLst>
        </xdr:cNvPr>
        <xdr:cNvSpPr/>
      </xdr:nvSpPr>
      <xdr:spPr>
        <a:xfrm>
          <a:off x="40245196" y="9500152"/>
          <a:ext cx="1018815" cy="9633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a:t>
          </a:r>
          <a:r>
            <a:rPr lang="en-US" sz="1100" baseline="0"/>
            <a:t> </a:t>
          </a:r>
          <a:r>
            <a:rPr lang="en-US" sz="1100"/>
            <a:t>Sync Mode</a:t>
          </a:r>
        </a:p>
        <a:p>
          <a:pPr algn="ctr"/>
          <a:r>
            <a:rPr lang="en-US" sz="900"/>
            <a:t>I2S1_RCR2[SYNC]</a:t>
          </a:r>
        </a:p>
      </xdr:txBody>
    </xdr:sp>
    <xdr:clientData/>
  </xdr:twoCellAnchor>
  <xdr:oneCellAnchor>
    <xdr:from>
      <xdr:col>65</xdr:col>
      <xdr:colOff>571500</xdr:colOff>
      <xdr:row>52</xdr:row>
      <xdr:rowOff>198783</xdr:rowOff>
    </xdr:from>
    <xdr:ext cx="1509347" cy="646044"/>
    <xdr:sp macro="" textlink="">
      <xdr:nvSpPr>
        <xdr:cNvPr id="358" name="TextBox 357">
          <a:extLst>
            <a:ext uri="{FF2B5EF4-FFF2-40B4-BE49-F238E27FC236}">
              <a16:creationId xmlns:a16="http://schemas.microsoft.com/office/drawing/2014/main" id="{00000000-0008-0000-0600-000066010000}"/>
            </a:ext>
          </a:extLst>
        </xdr:cNvPr>
        <xdr:cNvSpPr txBox="1"/>
      </xdr:nvSpPr>
      <xdr:spPr>
        <a:xfrm>
          <a:off x="40410848" y="10676283"/>
          <a:ext cx="1509347" cy="646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BCLK_TX_SAI1</a:t>
          </a:r>
        </a:p>
        <a:p>
          <a:r>
            <a:rPr lang="en-US" sz="800" baseline="0"/>
            <a:t>2 - Sync with BCLK_RX_SAI2</a:t>
          </a:r>
        </a:p>
        <a:p>
          <a:r>
            <a:rPr lang="en-US" sz="800" baseline="0"/>
            <a:t>3 - Sync with BCLK_TX_SAI2</a:t>
          </a:r>
          <a:endParaRPr lang="en-US" sz="800"/>
        </a:p>
      </xdr:txBody>
    </xdr:sp>
    <xdr:clientData/>
  </xdr:oneCellAnchor>
  <xdr:twoCellAnchor>
    <xdr:from>
      <xdr:col>60</xdr:col>
      <xdr:colOff>198782</xdr:colOff>
      <xdr:row>41</xdr:row>
      <xdr:rowOff>24849</xdr:rowOff>
    </xdr:from>
    <xdr:to>
      <xdr:col>65</xdr:col>
      <xdr:colOff>447260</xdr:colOff>
      <xdr:row>41</xdr:row>
      <xdr:rowOff>24849</xdr:rowOff>
    </xdr:to>
    <xdr:cxnSp macro="">
      <xdr:nvCxnSpPr>
        <xdr:cNvPr id="359" name="Straight Arrow Connector 358">
          <a:extLst>
            <a:ext uri="{FF2B5EF4-FFF2-40B4-BE49-F238E27FC236}">
              <a16:creationId xmlns:a16="http://schemas.microsoft.com/office/drawing/2014/main" id="{00000000-0008-0000-0600-000067010000}"/>
            </a:ext>
          </a:extLst>
        </xdr:cNvPr>
        <xdr:cNvCxnSpPr/>
      </xdr:nvCxnSpPr>
      <xdr:spPr>
        <a:xfrm>
          <a:off x="36973565" y="8224632"/>
          <a:ext cx="331304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60</xdr:col>
      <xdr:colOff>231913</xdr:colOff>
      <xdr:row>50</xdr:row>
      <xdr:rowOff>8282</xdr:rowOff>
    </xdr:from>
    <xdr:to>
      <xdr:col>65</xdr:col>
      <xdr:colOff>422412</xdr:colOff>
      <xdr:row>50</xdr:row>
      <xdr:rowOff>8282</xdr:rowOff>
    </xdr:to>
    <xdr:cxnSp macro="">
      <xdr:nvCxnSpPr>
        <xdr:cNvPr id="360" name="Straight Arrow Connector 359">
          <a:extLst>
            <a:ext uri="{FF2B5EF4-FFF2-40B4-BE49-F238E27FC236}">
              <a16:creationId xmlns:a16="http://schemas.microsoft.com/office/drawing/2014/main" id="{00000000-0008-0000-0600-000068010000}"/>
            </a:ext>
          </a:extLst>
        </xdr:cNvPr>
        <xdr:cNvCxnSpPr/>
      </xdr:nvCxnSpPr>
      <xdr:spPr>
        <a:xfrm>
          <a:off x="37006696" y="10071652"/>
          <a:ext cx="325506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65</xdr:col>
      <xdr:colOff>414130</xdr:colOff>
      <xdr:row>56</xdr:row>
      <xdr:rowOff>49695</xdr:rowOff>
    </xdr:from>
    <xdr:to>
      <xdr:col>67</xdr:col>
      <xdr:colOff>207119</xdr:colOff>
      <xdr:row>60</xdr:row>
      <xdr:rowOff>184831</xdr:rowOff>
    </xdr:to>
    <xdr:sp macro="" textlink="">
      <xdr:nvSpPr>
        <xdr:cNvPr id="295" name="Rectangle 294">
          <a:extLst>
            <a:ext uri="{FF2B5EF4-FFF2-40B4-BE49-F238E27FC236}">
              <a16:creationId xmlns:a16="http://schemas.microsoft.com/office/drawing/2014/main" id="{00000000-0008-0000-0600-000027010000}"/>
            </a:ext>
          </a:extLst>
        </xdr:cNvPr>
        <xdr:cNvSpPr/>
      </xdr:nvSpPr>
      <xdr:spPr>
        <a:xfrm>
          <a:off x="40253478" y="11338891"/>
          <a:ext cx="1018815" cy="9633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a:t>
          </a:r>
          <a:r>
            <a:rPr lang="en-US" sz="1100" baseline="0"/>
            <a:t> </a:t>
          </a:r>
          <a:r>
            <a:rPr lang="en-US" sz="1100"/>
            <a:t>Sync Mode</a:t>
          </a:r>
        </a:p>
        <a:p>
          <a:pPr algn="ctr"/>
          <a:r>
            <a:rPr lang="en-US" sz="900"/>
            <a:t>I2S2_TCR2[SYNC]</a:t>
          </a:r>
        </a:p>
      </xdr:txBody>
    </xdr:sp>
    <xdr:clientData/>
  </xdr:twoCellAnchor>
  <xdr:oneCellAnchor>
    <xdr:from>
      <xdr:col>65</xdr:col>
      <xdr:colOff>571500</xdr:colOff>
      <xdr:row>61</xdr:row>
      <xdr:rowOff>198783</xdr:rowOff>
    </xdr:from>
    <xdr:ext cx="1509347" cy="646044"/>
    <xdr:sp macro="" textlink="">
      <xdr:nvSpPr>
        <xdr:cNvPr id="297" name="TextBox 296">
          <a:extLst>
            <a:ext uri="{FF2B5EF4-FFF2-40B4-BE49-F238E27FC236}">
              <a16:creationId xmlns:a16="http://schemas.microsoft.com/office/drawing/2014/main" id="{00000000-0008-0000-0600-000029010000}"/>
            </a:ext>
          </a:extLst>
        </xdr:cNvPr>
        <xdr:cNvSpPr txBox="1"/>
      </xdr:nvSpPr>
      <xdr:spPr>
        <a:xfrm>
          <a:off x="40410848" y="12523305"/>
          <a:ext cx="1509347" cy="646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BCLK_RX_SAI2</a:t>
          </a:r>
        </a:p>
        <a:p>
          <a:r>
            <a:rPr lang="en-US" sz="800" baseline="0"/>
            <a:t>2 - Reserved</a:t>
          </a:r>
        </a:p>
        <a:p>
          <a:r>
            <a:rPr lang="en-US" sz="800" baseline="0"/>
            <a:t>3 - Reserved</a:t>
          </a:r>
          <a:endParaRPr lang="en-US" sz="800"/>
        </a:p>
      </xdr:txBody>
    </xdr:sp>
    <xdr:clientData/>
  </xdr:oneCellAnchor>
  <xdr:twoCellAnchor>
    <xdr:from>
      <xdr:col>65</xdr:col>
      <xdr:colOff>389282</xdr:colOff>
      <xdr:row>66</xdr:row>
      <xdr:rowOff>66261</xdr:rowOff>
    </xdr:from>
    <xdr:to>
      <xdr:col>67</xdr:col>
      <xdr:colOff>182271</xdr:colOff>
      <xdr:row>70</xdr:row>
      <xdr:rowOff>201398</xdr:rowOff>
    </xdr:to>
    <xdr:sp macro="" textlink="">
      <xdr:nvSpPr>
        <xdr:cNvPr id="298" name="Rectangle 297">
          <a:extLst>
            <a:ext uri="{FF2B5EF4-FFF2-40B4-BE49-F238E27FC236}">
              <a16:creationId xmlns:a16="http://schemas.microsoft.com/office/drawing/2014/main" id="{00000000-0008-0000-0600-00002A010000}"/>
            </a:ext>
          </a:extLst>
        </xdr:cNvPr>
        <xdr:cNvSpPr/>
      </xdr:nvSpPr>
      <xdr:spPr>
        <a:xfrm>
          <a:off x="40228630" y="13409544"/>
          <a:ext cx="1018815" cy="9633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SAI</a:t>
          </a:r>
          <a:r>
            <a:rPr lang="en-US" sz="1100" baseline="0"/>
            <a:t> </a:t>
          </a:r>
          <a:r>
            <a:rPr lang="en-US" sz="1100"/>
            <a:t>Sync Mode</a:t>
          </a:r>
        </a:p>
        <a:p>
          <a:pPr algn="ctr"/>
          <a:r>
            <a:rPr lang="en-US" sz="900"/>
            <a:t>I2S2_RCR2[SYNC]</a:t>
          </a:r>
        </a:p>
      </xdr:txBody>
    </xdr:sp>
    <xdr:clientData/>
  </xdr:twoCellAnchor>
  <xdr:oneCellAnchor>
    <xdr:from>
      <xdr:col>65</xdr:col>
      <xdr:colOff>571500</xdr:colOff>
      <xdr:row>71</xdr:row>
      <xdr:rowOff>190500</xdr:rowOff>
    </xdr:from>
    <xdr:ext cx="1509347" cy="646044"/>
    <xdr:sp macro="" textlink="">
      <xdr:nvSpPr>
        <xdr:cNvPr id="308" name="TextBox 307">
          <a:extLst>
            <a:ext uri="{FF2B5EF4-FFF2-40B4-BE49-F238E27FC236}">
              <a16:creationId xmlns:a16="http://schemas.microsoft.com/office/drawing/2014/main" id="{00000000-0008-0000-0600-000034010000}"/>
            </a:ext>
          </a:extLst>
        </xdr:cNvPr>
        <xdr:cNvSpPr txBox="1"/>
      </xdr:nvSpPr>
      <xdr:spPr>
        <a:xfrm>
          <a:off x="40410848" y="14569109"/>
          <a:ext cx="1509347" cy="6460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Async</a:t>
          </a:r>
          <a:r>
            <a:rPr lang="en-US" sz="800" baseline="0"/>
            <a:t> Mode</a:t>
          </a:r>
          <a:endParaRPr lang="en-US" sz="800"/>
        </a:p>
        <a:p>
          <a:r>
            <a:rPr lang="en-US" sz="800"/>
            <a:t>1 -</a:t>
          </a:r>
          <a:r>
            <a:rPr lang="en-US" sz="800" baseline="0"/>
            <a:t> Sync with BCLK_RX_SAI2</a:t>
          </a:r>
        </a:p>
        <a:p>
          <a:r>
            <a:rPr lang="en-US" sz="800" baseline="0"/>
            <a:t>2 - Reserved</a:t>
          </a:r>
        </a:p>
        <a:p>
          <a:r>
            <a:rPr lang="en-US" sz="800" baseline="0"/>
            <a:t>3 - Reserved</a:t>
          </a:r>
          <a:endParaRPr lang="en-US" sz="800"/>
        </a:p>
      </xdr:txBody>
    </xdr:sp>
    <xdr:clientData/>
  </xdr:oneCellAnchor>
  <xdr:twoCellAnchor>
    <xdr:from>
      <xdr:col>37</xdr:col>
      <xdr:colOff>552450</xdr:colOff>
      <xdr:row>16</xdr:row>
      <xdr:rowOff>28575</xdr:rowOff>
    </xdr:from>
    <xdr:to>
      <xdr:col>39</xdr:col>
      <xdr:colOff>40874</xdr:colOff>
      <xdr:row>17</xdr:row>
      <xdr:rowOff>179587</xdr:rowOff>
    </xdr:to>
    <xdr:sp macro="" textlink="">
      <xdr:nvSpPr>
        <xdr:cNvPr id="294" name="Rectangle 293">
          <a:hlinkClick xmlns:r="http://schemas.openxmlformats.org/officeDocument/2006/relationships" r:id="rId12"/>
          <a:extLst>
            <a:ext uri="{FF2B5EF4-FFF2-40B4-BE49-F238E27FC236}">
              <a16:creationId xmlns:a16="http://schemas.microsoft.com/office/drawing/2014/main" id="{00000000-0008-0000-0600-000026010000}"/>
            </a:ext>
          </a:extLst>
        </xdr:cNvPr>
        <xdr:cNvSpPr/>
      </xdr:nvSpPr>
      <xdr:spPr>
        <a:xfrm>
          <a:off x="23107650" y="3124200"/>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39</xdr:col>
      <xdr:colOff>57150</xdr:colOff>
      <xdr:row>17</xdr:row>
      <xdr:rowOff>104775</xdr:rowOff>
    </xdr:from>
    <xdr:to>
      <xdr:col>40</xdr:col>
      <xdr:colOff>590550</xdr:colOff>
      <xdr:row>17</xdr:row>
      <xdr:rowOff>104775</xdr:rowOff>
    </xdr:to>
    <xdr:cxnSp macro="">
      <xdr:nvCxnSpPr>
        <xdr:cNvPr id="311" name="Straight Arrow Connector 310">
          <a:extLst>
            <a:ext uri="{FF2B5EF4-FFF2-40B4-BE49-F238E27FC236}">
              <a16:creationId xmlns:a16="http://schemas.microsoft.com/office/drawing/2014/main" id="{00000000-0008-0000-0600-000037010000}"/>
            </a:ext>
          </a:extLst>
        </xdr:cNvPr>
        <xdr:cNvCxnSpPr/>
      </xdr:nvCxnSpPr>
      <xdr:spPr>
        <a:xfrm>
          <a:off x="23831550" y="3409950"/>
          <a:ext cx="11430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581025</xdr:colOff>
      <xdr:row>24</xdr:row>
      <xdr:rowOff>28575</xdr:rowOff>
    </xdr:from>
    <xdr:to>
      <xdr:col>42</xdr:col>
      <xdr:colOff>69449</xdr:colOff>
      <xdr:row>25</xdr:row>
      <xdr:rowOff>179587</xdr:rowOff>
    </xdr:to>
    <xdr:sp macro="" textlink="">
      <xdr:nvSpPr>
        <xdr:cNvPr id="312" name="Rectangle 311">
          <a:hlinkClick xmlns:r="http://schemas.openxmlformats.org/officeDocument/2006/relationships" r:id="rId12"/>
          <a:extLst>
            <a:ext uri="{FF2B5EF4-FFF2-40B4-BE49-F238E27FC236}">
              <a16:creationId xmlns:a16="http://schemas.microsoft.com/office/drawing/2014/main" id="{00000000-0008-0000-0600-000038010000}"/>
            </a:ext>
          </a:extLst>
        </xdr:cNvPr>
        <xdr:cNvSpPr/>
      </xdr:nvSpPr>
      <xdr:spPr>
        <a:xfrm>
          <a:off x="24965025" y="4800600"/>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41</xdr:col>
      <xdr:colOff>342900</xdr:colOff>
      <xdr:row>23</xdr:row>
      <xdr:rowOff>123825</xdr:rowOff>
    </xdr:from>
    <xdr:to>
      <xdr:col>42</xdr:col>
      <xdr:colOff>597447</xdr:colOff>
      <xdr:row>23</xdr:row>
      <xdr:rowOff>123825</xdr:rowOff>
    </xdr:to>
    <xdr:cxnSp macro="">
      <xdr:nvCxnSpPr>
        <xdr:cNvPr id="314" name="Straight Arrow Connector 313">
          <a:extLst>
            <a:ext uri="{FF2B5EF4-FFF2-40B4-BE49-F238E27FC236}">
              <a16:creationId xmlns:a16="http://schemas.microsoft.com/office/drawing/2014/main" id="{00000000-0008-0000-0600-00003A010000}"/>
            </a:ext>
          </a:extLst>
        </xdr:cNvPr>
        <xdr:cNvCxnSpPr/>
      </xdr:nvCxnSpPr>
      <xdr:spPr>
        <a:xfrm>
          <a:off x="25336500" y="4686300"/>
          <a:ext cx="8641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352425</xdr:colOff>
      <xdr:row>23</xdr:row>
      <xdr:rowOff>133351</xdr:rowOff>
    </xdr:from>
    <xdr:to>
      <xdr:col>41</xdr:col>
      <xdr:colOff>352425</xdr:colOff>
      <xdr:row>24</xdr:row>
      <xdr:rowOff>28575</xdr:rowOff>
    </xdr:to>
    <xdr:cxnSp macro="">
      <xdr:nvCxnSpPr>
        <xdr:cNvPr id="315" name="Straight Arrow Connector 314">
          <a:extLst>
            <a:ext uri="{FF2B5EF4-FFF2-40B4-BE49-F238E27FC236}">
              <a16:creationId xmlns:a16="http://schemas.microsoft.com/office/drawing/2014/main" id="{00000000-0008-0000-0600-00003B010000}"/>
            </a:ext>
          </a:extLst>
        </xdr:cNvPr>
        <xdr:cNvCxnSpPr/>
      </xdr:nvCxnSpPr>
      <xdr:spPr>
        <a:xfrm flipV="1">
          <a:off x="25346025" y="4695826"/>
          <a:ext cx="0" cy="10477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69</xdr:col>
      <xdr:colOff>581025</xdr:colOff>
      <xdr:row>20</xdr:row>
      <xdr:rowOff>38100</xdr:rowOff>
    </xdr:from>
    <xdr:to>
      <xdr:col>71</xdr:col>
      <xdr:colOff>69449</xdr:colOff>
      <xdr:row>21</xdr:row>
      <xdr:rowOff>189112</xdr:rowOff>
    </xdr:to>
    <xdr:sp macro="" textlink="">
      <xdr:nvSpPr>
        <xdr:cNvPr id="317" name="Rectangle 316">
          <a:hlinkClick xmlns:r="http://schemas.openxmlformats.org/officeDocument/2006/relationships" r:id="rId12"/>
          <a:extLst>
            <a:ext uri="{FF2B5EF4-FFF2-40B4-BE49-F238E27FC236}">
              <a16:creationId xmlns:a16="http://schemas.microsoft.com/office/drawing/2014/main" id="{00000000-0008-0000-0600-00003D010000}"/>
            </a:ext>
          </a:extLst>
        </xdr:cNvPr>
        <xdr:cNvSpPr/>
      </xdr:nvSpPr>
      <xdr:spPr>
        <a:xfrm>
          <a:off x="42643425" y="397192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71</xdr:col>
      <xdr:colOff>76200</xdr:colOff>
      <xdr:row>21</xdr:row>
      <xdr:rowOff>114300</xdr:rowOff>
    </xdr:from>
    <xdr:to>
      <xdr:col>74</xdr:col>
      <xdr:colOff>9525</xdr:colOff>
      <xdr:row>21</xdr:row>
      <xdr:rowOff>114300</xdr:rowOff>
    </xdr:to>
    <xdr:cxnSp macro="">
      <xdr:nvCxnSpPr>
        <xdr:cNvPr id="318" name="Straight Arrow Connector 317">
          <a:extLst>
            <a:ext uri="{FF2B5EF4-FFF2-40B4-BE49-F238E27FC236}">
              <a16:creationId xmlns:a16="http://schemas.microsoft.com/office/drawing/2014/main" id="{00000000-0008-0000-0600-00003E010000}"/>
            </a:ext>
          </a:extLst>
        </xdr:cNvPr>
        <xdr:cNvCxnSpPr/>
      </xdr:nvCxnSpPr>
      <xdr:spPr>
        <a:xfrm>
          <a:off x="43357800" y="4257675"/>
          <a:ext cx="1762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69</xdr:col>
      <xdr:colOff>590550</xdr:colOff>
      <xdr:row>28</xdr:row>
      <xdr:rowOff>38100</xdr:rowOff>
    </xdr:from>
    <xdr:to>
      <xdr:col>71</xdr:col>
      <xdr:colOff>78974</xdr:colOff>
      <xdr:row>29</xdr:row>
      <xdr:rowOff>189112</xdr:rowOff>
    </xdr:to>
    <xdr:sp macro="" textlink="">
      <xdr:nvSpPr>
        <xdr:cNvPr id="319" name="Rectangle 318">
          <a:hlinkClick xmlns:r="http://schemas.openxmlformats.org/officeDocument/2006/relationships" r:id="rId12"/>
          <a:extLst>
            <a:ext uri="{FF2B5EF4-FFF2-40B4-BE49-F238E27FC236}">
              <a16:creationId xmlns:a16="http://schemas.microsoft.com/office/drawing/2014/main" id="{00000000-0008-0000-0600-00003F010000}"/>
            </a:ext>
          </a:extLst>
        </xdr:cNvPr>
        <xdr:cNvSpPr/>
      </xdr:nvSpPr>
      <xdr:spPr>
        <a:xfrm>
          <a:off x="42652950" y="564832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71</xdr:col>
      <xdr:colOff>66675</xdr:colOff>
      <xdr:row>29</xdr:row>
      <xdr:rowOff>85725</xdr:rowOff>
    </xdr:from>
    <xdr:to>
      <xdr:col>74</xdr:col>
      <xdr:colOff>0</xdr:colOff>
      <xdr:row>29</xdr:row>
      <xdr:rowOff>85725</xdr:rowOff>
    </xdr:to>
    <xdr:cxnSp macro="">
      <xdr:nvCxnSpPr>
        <xdr:cNvPr id="320" name="Straight Arrow Connector 319">
          <a:extLst>
            <a:ext uri="{FF2B5EF4-FFF2-40B4-BE49-F238E27FC236}">
              <a16:creationId xmlns:a16="http://schemas.microsoft.com/office/drawing/2014/main" id="{00000000-0008-0000-0600-000040010000}"/>
            </a:ext>
          </a:extLst>
        </xdr:cNvPr>
        <xdr:cNvCxnSpPr/>
      </xdr:nvCxnSpPr>
      <xdr:spPr>
        <a:xfrm>
          <a:off x="43348275" y="5905500"/>
          <a:ext cx="1762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561975</xdr:colOff>
      <xdr:row>36</xdr:row>
      <xdr:rowOff>47625</xdr:rowOff>
    </xdr:from>
    <xdr:to>
      <xdr:col>39</xdr:col>
      <xdr:colOff>50399</xdr:colOff>
      <xdr:row>37</xdr:row>
      <xdr:rowOff>198637</xdr:rowOff>
    </xdr:to>
    <xdr:sp macro="" textlink="">
      <xdr:nvSpPr>
        <xdr:cNvPr id="321" name="Rectangle 320">
          <a:hlinkClick xmlns:r="http://schemas.openxmlformats.org/officeDocument/2006/relationships" r:id="rId12"/>
          <a:extLst>
            <a:ext uri="{FF2B5EF4-FFF2-40B4-BE49-F238E27FC236}">
              <a16:creationId xmlns:a16="http://schemas.microsoft.com/office/drawing/2014/main" id="{00000000-0008-0000-0600-000041010000}"/>
            </a:ext>
          </a:extLst>
        </xdr:cNvPr>
        <xdr:cNvSpPr/>
      </xdr:nvSpPr>
      <xdr:spPr>
        <a:xfrm>
          <a:off x="23117175" y="7315200"/>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39</xdr:col>
      <xdr:colOff>76200</xdr:colOff>
      <xdr:row>37</xdr:row>
      <xdr:rowOff>114300</xdr:rowOff>
    </xdr:from>
    <xdr:to>
      <xdr:col>41</xdr:col>
      <xdr:colOff>0</xdr:colOff>
      <xdr:row>37</xdr:row>
      <xdr:rowOff>114300</xdr:rowOff>
    </xdr:to>
    <xdr:cxnSp macro="">
      <xdr:nvCxnSpPr>
        <xdr:cNvPr id="322" name="Straight Arrow Connector 321">
          <a:extLst>
            <a:ext uri="{FF2B5EF4-FFF2-40B4-BE49-F238E27FC236}">
              <a16:creationId xmlns:a16="http://schemas.microsoft.com/office/drawing/2014/main" id="{00000000-0008-0000-0600-000042010000}"/>
            </a:ext>
          </a:extLst>
        </xdr:cNvPr>
        <xdr:cNvCxnSpPr/>
      </xdr:nvCxnSpPr>
      <xdr:spPr>
        <a:xfrm>
          <a:off x="23850600" y="7591425"/>
          <a:ext cx="114300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571500</xdr:colOff>
      <xdr:row>44</xdr:row>
      <xdr:rowOff>38100</xdr:rowOff>
    </xdr:from>
    <xdr:to>
      <xdr:col>42</xdr:col>
      <xdr:colOff>59924</xdr:colOff>
      <xdr:row>45</xdr:row>
      <xdr:rowOff>189112</xdr:rowOff>
    </xdr:to>
    <xdr:sp macro="" textlink="">
      <xdr:nvSpPr>
        <xdr:cNvPr id="323" name="Rectangle 322">
          <a:hlinkClick xmlns:r="http://schemas.openxmlformats.org/officeDocument/2006/relationships" r:id="rId12"/>
          <a:extLst>
            <a:ext uri="{FF2B5EF4-FFF2-40B4-BE49-F238E27FC236}">
              <a16:creationId xmlns:a16="http://schemas.microsoft.com/office/drawing/2014/main" id="{00000000-0008-0000-0600-000043010000}"/>
            </a:ext>
          </a:extLst>
        </xdr:cNvPr>
        <xdr:cNvSpPr/>
      </xdr:nvSpPr>
      <xdr:spPr>
        <a:xfrm>
          <a:off x="24955500" y="898207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41</xdr:col>
      <xdr:colOff>333375</xdr:colOff>
      <xdr:row>43</xdr:row>
      <xdr:rowOff>114300</xdr:rowOff>
    </xdr:from>
    <xdr:to>
      <xdr:col>42</xdr:col>
      <xdr:colOff>587922</xdr:colOff>
      <xdr:row>43</xdr:row>
      <xdr:rowOff>114300</xdr:rowOff>
    </xdr:to>
    <xdr:cxnSp macro="">
      <xdr:nvCxnSpPr>
        <xdr:cNvPr id="324" name="Straight Arrow Connector 323">
          <a:extLst>
            <a:ext uri="{FF2B5EF4-FFF2-40B4-BE49-F238E27FC236}">
              <a16:creationId xmlns:a16="http://schemas.microsoft.com/office/drawing/2014/main" id="{00000000-0008-0000-0600-000044010000}"/>
            </a:ext>
          </a:extLst>
        </xdr:cNvPr>
        <xdr:cNvCxnSpPr/>
      </xdr:nvCxnSpPr>
      <xdr:spPr>
        <a:xfrm>
          <a:off x="25326975" y="8848725"/>
          <a:ext cx="8641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342900</xdr:colOff>
      <xdr:row>43</xdr:row>
      <xdr:rowOff>123826</xdr:rowOff>
    </xdr:from>
    <xdr:to>
      <xdr:col>41</xdr:col>
      <xdr:colOff>342900</xdr:colOff>
      <xdr:row>44</xdr:row>
      <xdr:rowOff>19050</xdr:rowOff>
    </xdr:to>
    <xdr:cxnSp macro="">
      <xdr:nvCxnSpPr>
        <xdr:cNvPr id="325" name="Straight Arrow Connector 324">
          <a:extLst>
            <a:ext uri="{FF2B5EF4-FFF2-40B4-BE49-F238E27FC236}">
              <a16:creationId xmlns:a16="http://schemas.microsoft.com/office/drawing/2014/main" id="{00000000-0008-0000-0600-000045010000}"/>
            </a:ext>
          </a:extLst>
        </xdr:cNvPr>
        <xdr:cNvCxnSpPr/>
      </xdr:nvCxnSpPr>
      <xdr:spPr>
        <a:xfrm flipV="1">
          <a:off x="25336500" y="8858251"/>
          <a:ext cx="0" cy="10477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69</xdr:col>
      <xdr:colOff>590550</xdr:colOff>
      <xdr:row>39</xdr:row>
      <xdr:rowOff>38100</xdr:rowOff>
    </xdr:from>
    <xdr:to>
      <xdr:col>71</xdr:col>
      <xdr:colOff>78974</xdr:colOff>
      <xdr:row>40</xdr:row>
      <xdr:rowOff>189112</xdr:rowOff>
    </xdr:to>
    <xdr:sp macro="" textlink="">
      <xdr:nvSpPr>
        <xdr:cNvPr id="326" name="Rectangle 325">
          <a:hlinkClick xmlns:r="http://schemas.openxmlformats.org/officeDocument/2006/relationships" r:id="rId12"/>
          <a:extLst>
            <a:ext uri="{FF2B5EF4-FFF2-40B4-BE49-F238E27FC236}">
              <a16:creationId xmlns:a16="http://schemas.microsoft.com/office/drawing/2014/main" id="{00000000-0008-0000-0600-000046010000}"/>
            </a:ext>
          </a:extLst>
        </xdr:cNvPr>
        <xdr:cNvSpPr/>
      </xdr:nvSpPr>
      <xdr:spPr>
        <a:xfrm>
          <a:off x="42652950" y="793432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71</xdr:col>
      <xdr:colOff>66675</xdr:colOff>
      <xdr:row>40</xdr:row>
      <xdr:rowOff>104775</xdr:rowOff>
    </xdr:from>
    <xdr:to>
      <xdr:col>74</xdr:col>
      <xdr:colOff>0</xdr:colOff>
      <xdr:row>40</xdr:row>
      <xdr:rowOff>104775</xdr:rowOff>
    </xdr:to>
    <xdr:cxnSp macro="">
      <xdr:nvCxnSpPr>
        <xdr:cNvPr id="332" name="Straight Arrow Connector 331">
          <a:extLst>
            <a:ext uri="{FF2B5EF4-FFF2-40B4-BE49-F238E27FC236}">
              <a16:creationId xmlns:a16="http://schemas.microsoft.com/office/drawing/2014/main" id="{00000000-0008-0000-0600-00004C010000}"/>
            </a:ext>
          </a:extLst>
        </xdr:cNvPr>
        <xdr:cNvCxnSpPr/>
      </xdr:nvCxnSpPr>
      <xdr:spPr>
        <a:xfrm>
          <a:off x="43348275" y="8210550"/>
          <a:ext cx="1762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69</xdr:col>
      <xdr:colOff>600075</xdr:colOff>
      <xdr:row>48</xdr:row>
      <xdr:rowOff>38100</xdr:rowOff>
    </xdr:from>
    <xdr:to>
      <xdr:col>71</xdr:col>
      <xdr:colOff>88499</xdr:colOff>
      <xdr:row>49</xdr:row>
      <xdr:rowOff>189112</xdr:rowOff>
    </xdr:to>
    <xdr:sp macro="" textlink="">
      <xdr:nvSpPr>
        <xdr:cNvPr id="339" name="Rectangle 338">
          <a:hlinkClick xmlns:r="http://schemas.openxmlformats.org/officeDocument/2006/relationships" r:id="rId12"/>
          <a:extLst>
            <a:ext uri="{FF2B5EF4-FFF2-40B4-BE49-F238E27FC236}">
              <a16:creationId xmlns:a16="http://schemas.microsoft.com/office/drawing/2014/main" id="{00000000-0008-0000-0600-000053010000}"/>
            </a:ext>
          </a:extLst>
        </xdr:cNvPr>
        <xdr:cNvSpPr/>
      </xdr:nvSpPr>
      <xdr:spPr>
        <a:xfrm>
          <a:off x="42662475" y="982027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71</xdr:col>
      <xdr:colOff>76200</xdr:colOff>
      <xdr:row>49</xdr:row>
      <xdr:rowOff>104775</xdr:rowOff>
    </xdr:from>
    <xdr:to>
      <xdr:col>74</xdr:col>
      <xdr:colOff>9525</xdr:colOff>
      <xdr:row>49</xdr:row>
      <xdr:rowOff>104775</xdr:rowOff>
    </xdr:to>
    <xdr:cxnSp macro="">
      <xdr:nvCxnSpPr>
        <xdr:cNvPr id="341" name="Straight Arrow Connector 340">
          <a:extLst>
            <a:ext uri="{FF2B5EF4-FFF2-40B4-BE49-F238E27FC236}">
              <a16:creationId xmlns:a16="http://schemas.microsoft.com/office/drawing/2014/main" id="{00000000-0008-0000-0600-000055010000}"/>
            </a:ext>
          </a:extLst>
        </xdr:cNvPr>
        <xdr:cNvCxnSpPr/>
      </xdr:nvCxnSpPr>
      <xdr:spPr>
        <a:xfrm>
          <a:off x="43357800" y="10096500"/>
          <a:ext cx="1762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590550</xdr:colOff>
      <xdr:row>54</xdr:row>
      <xdr:rowOff>38100</xdr:rowOff>
    </xdr:from>
    <xdr:to>
      <xdr:col>39</xdr:col>
      <xdr:colOff>78974</xdr:colOff>
      <xdr:row>55</xdr:row>
      <xdr:rowOff>189112</xdr:rowOff>
    </xdr:to>
    <xdr:sp macro="" textlink="">
      <xdr:nvSpPr>
        <xdr:cNvPr id="345" name="Rectangle 344">
          <a:hlinkClick xmlns:r="http://schemas.openxmlformats.org/officeDocument/2006/relationships" r:id="rId12"/>
          <a:extLst>
            <a:ext uri="{FF2B5EF4-FFF2-40B4-BE49-F238E27FC236}">
              <a16:creationId xmlns:a16="http://schemas.microsoft.com/office/drawing/2014/main" id="{00000000-0008-0000-0600-000059010000}"/>
            </a:ext>
          </a:extLst>
        </xdr:cNvPr>
        <xdr:cNvSpPr/>
      </xdr:nvSpPr>
      <xdr:spPr>
        <a:xfrm>
          <a:off x="23145750" y="1107757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39</xdr:col>
      <xdr:colOff>85725</xdr:colOff>
      <xdr:row>55</xdr:row>
      <xdr:rowOff>104775</xdr:rowOff>
    </xdr:from>
    <xdr:to>
      <xdr:col>40</xdr:col>
      <xdr:colOff>600075</xdr:colOff>
      <xdr:row>55</xdr:row>
      <xdr:rowOff>104775</xdr:rowOff>
    </xdr:to>
    <xdr:cxnSp macro="">
      <xdr:nvCxnSpPr>
        <xdr:cNvPr id="361" name="Straight Arrow Connector 360">
          <a:extLst>
            <a:ext uri="{FF2B5EF4-FFF2-40B4-BE49-F238E27FC236}">
              <a16:creationId xmlns:a16="http://schemas.microsoft.com/office/drawing/2014/main" id="{00000000-0008-0000-0600-000069010000}"/>
            </a:ext>
          </a:extLst>
        </xdr:cNvPr>
        <xdr:cNvCxnSpPr/>
      </xdr:nvCxnSpPr>
      <xdr:spPr>
        <a:xfrm>
          <a:off x="23860125" y="11353800"/>
          <a:ext cx="11239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40</xdr:col>
      <xdr:colOff>581025</xdr:colOff>
      <xdr:row>63</xdr:row>
      <xdr:rowOff>19050</xdr:rowOff>
    </xdr:from>
    <xdr:to>
      <xdr:col>42</xdr:col>
      <xdr:colOff>69449</xdr:colOff>
      <xdr:row>64</xdr:row>
      <xdr:rowOff>170062</xdr:rowOff>
    </xdr:to>
    <xdr:sp macro="" textlink="">
      <xdr:nvSpPr>
        <xdr:cNvPr id="362" name="Rectangle 361">
          <a:hlinkClick xmlns:r="http://schemas.openxmlformats.org/officeDocument/2006/relationships" r:id="rId12"/>
          <a:extLst>
            <a:ext uri="{FF2B5EF4-FFF2-40B4-BE49-F238E27FC236}">
              <a16:creationId xmlns:a16="http://schemas.microsoft.com/office/drawing/2014/main" id="{00000000-0008-0000-0600-00006A010000}"/>
            </a:ext>
          </a:extLst>
        </xdr:cNvPr>
        <xdr:cNvSpPr/>
      </xdr:nvSpPr>
      <xdr:spPr>
        <a:xfrm>
          <a:off x="24965025" y="1294447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41</xdr:col>
      <xdr:colOff>342900</xdr:colOff>
      <xdr:row>62</xdr:row>
      <xdr:rowOff>85725</xdr:rowOff>
    </xdr:from>
    <xdr:to>
      <xdr:col>42</xdr:col>
      <xdr:colOff>597447</xdr:colOff>
      <xdr:row>62</xdr:row>
      <xdr:rowOff>85725</xdr:rowOff>
    </xdr:to>
    <xdr:cxnSp macro="">
      <xdr:nvCxnSpPr>
        <xdr:cNvPr id="363" name="Straight Arrow Connector 362">
          <a:extLst>
            <a:ext uri="{FF2B5EF4-FFF2-40B4-BE49-F238E27FC236}">
              <a16:creationId xmlns:a16="http://schemas.microsoft.com/office/drawing/2014/main" id="{00000000-0008-0000-0600-00006B010000}"/>
            </a:ext>
          </a:extLst>
        </xdr:cNvPr>
        <xdr:cNvCxnSpPr/>
      </xdr:nvCxnSpPr>
      <xdr:spPr>
        <a:xfrm>
          <a:off x="25336500" y="12801600"/>
          <a:ext cx="8641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352425</xdr:colOff>
      <xdr:row>62</xdr:row>
      <xdr:rowOff>95251</xdr:rowOff>
    </xdr:from>
    <xdr:to>
      <xdr:col>41</xdr:col>
      <xdr:colOff>352425</xdr:colOff>
      <xdr:row>62</xdr:row>
      <xdr:rowOff>200025</xdr:rowOff>
    </xdr:to>
    <xdr:cxnSp macro="">
      <xdr:nvCxnSpPr>
        <xdr:cNvPr id="364" name="Straight Arrow Connector 363">
          <a:extLst>
            <a:ext uri="{FF2B5EF4-FFF2-40B4-BE49-F238E27FC236}">
              <a16:creationId xmlns:a16="http://schemas.microsoft.com/office/drawing/2014/main" id="{00000000-0008-0000-0600-00006C010000}"/>
            </a:ext>
          </a:extLst>
        </xdr:cNvPr>
        <xdr:cNvCxnSpPr/>
      </xdr:nvCxnSpPr>
      <xdr:spPr>
        <a:xfrm flipV="1">
          <a:off x="25346025" y="12811126"/>
          <a:ext cx="0" cy="10477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69</xdr:col>
      <xdr:colOff>590550</xdr:colOff>
      <xdr:row>57</xdr:row>
      <xdr:rowOff>28575</xdr:rowOff>
    </xdr:from>
    <xdr:to>
      <xdr:col>71</xdr:col>
      <xdr:colOff>78974</xdr:colOff>
      <xdr:row>58</xdr:row>
      <xdr:rowOff>179587</xdr:rowOff>
    </xdr:to>
    <xdr:sp macro="" textlink="">
      <xdr:nvSpPr>
        <xdr:cNvPr id="365" name="Rectangle 364">
          <a:hlinkClick xmlns:r="http://schemas.openxmlformats.org/officeDocument/2006/relationships" r:id="rId12"/>
          <a:extLst>
            <a:ext uri="{FF2B5EF4-FFF2-40B4-BE49-F238E27FC236}">
              <a16:creationId xmlns:a16="http://schemas.microsoft.com/office/drawing/2014/main" id="{00000000-0008-0000-0600-00006D010000}"/>
            </a:ext>
          </a:extLst>
        </xdr:cNvPr>
        <xdr:cNvSpPr/>
      </xdr:nvSpPr>
      <xdr:spPr>
        <a:xfrm>
          <a:off x="42652950" y="11696700"/>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71</xdr:col>
      <xdr:colOff>76200</xdr:colOff>
      <xdr:row>58</xdr:row>
      <xdr:rowOff>76200</xdr:rowOff>
    </xdr:from>
    <xdr:to>
      <xdr:col>74</xdr:col>
      <xdr:colOff>9525</xdr:colOff>
      <xdr:row>58</xdr:row>
      <xdr:rowOff>76200</xdr:rowOff>
    </xdr:to>
    <xdr:cxnSp macro="">
      <xdr:nvCxnSpPr>
        <xdr:cNvPr id="366" name="Straight Arrow Connector 365">
          <a:extLst>
            <a:ext uri="{FF2B5EF4-FFF2-40B4-BE49-F238E27FC236}">
              <a16:creationId xmlns:a16="http://schemas.microsoft.com/office/drawing/2014/main" id="{00000000-0008-0000-0600-00006E010000}"/>
            </a:ext>
          </a:extLst>
        </xdr:cNvPr>
        <xdr:cNvCxnSpPr/>
      </xdr:nvCxnSpPr>
      <xdr:spPr>
        <a:xfrm>
          <a:off x="43357800" y="11953875"/>
          <a:ext cx="1762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69</xdr:col>
      <xdr:colOff>600075</xdr:colOff>
      <xdr:row>67</xdr:row>
      <xdr:rowOff>38100</xdr:rowOff>
    </xdr:from>
    <xdr:to>
      <xdr:col>71</xdr:col>
      <xdr:colOff>88499</xdr:colOff>
      <xdr:row>68</xdr:row>
      <xdr:rowOff>189112</xdr:rowOff>
    </xdr:to>
    <xdr:sp macro="" textlink="">
      <xdr:nvSpPr>
        <xdr:cNvPr id="367" name="Rectangle 366">
          <a:hlinkClick xmlns:r="http://schemas.openxmlformats.org/officeDocument/2006/relationships" r:id="rId12"/>
          <a:extLst>
            <a:ext uri="{FF2B5EF4-FFF2-40B4-BE49-F238E27FC236}">
              <a16:creationId xmlns:a16="http://schemas.microsoft.com/office/drawing/2014/main" id="{00000000-0008-0000-0600-00006F010000}"/>
            </a:ext>
          </a:extLst>
        </xdr:cNvPr>
        <xdr:cNvSpPr/>
      </xdr:nvSpPr>
      <xdr:spPr>
        <a:xfrm>
          <a:off x="42662475" y="13801725"/>
          <a:ext cx="707624" cy="3605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850"/>
            <a:t>Power</a:t>
          </a:r>
          <a:r>
            <a:rPr lang="en-US" sz="850" baseline="0"/>
            <a:t> Mode</a:t>
          </a:r>
          <a:endParaRPr lang="en-US" sz="850"/>
        </a:p>
      </xdr:txBody>
    </xdr:sp>
    <xdr:clientData/>
  </xdr:twoCellAnchor>
  <xdr:twoCellAnchor>
    <xdr:from>
      <xdr:col>71</xdr:col>
      <xdr:colOff>85725</xdr:colOff>
      <xdr:row>68</xdr:row>
      <xdr:rowOff>114300</xdr:rowOff>
    </xdr:from>
    <xdr:to>
      <xdr:col>74</xdr:col>
      <xdr:colOff>19050</xdr:colOff>
      <xdr:row>68</xdr:row>
      <xdr:rowOff>114300</xdr:rowOff>
    </xdr:to>
    <xdr:cxnSp macro="">
      <xdr:nvCxnSpPr>
        <xdr:cNvPr id="368" name="Straight Arrow Connector 367">
          <a:extLst>
            <a:ext uri="{FF2B5EF4-FFF2-40B4-BE49-F238E27FC236}">
              <a16:creationId xmlns:a16="http://schemas.microsoft.com/office/drawing/2014/main" id="{00000000-0008-0000-0600-000070010000}"/>
            </a:ext>
          </a:extLst>
        </xdr:cNvPr>
        <xdr:cNvCxnSpPr/>
      </xdr:nvCxnSpPr>
      <xdr:spPr>
        <a:xfrm>
          <a:off x="43367325" y="14087475"/>
          <a:ext cx="1762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428625</xdr:colOff>
      <xdr:row>0</xdr:row>
      <xdr:rowOff>161925</xdr:rowOff>
    </xdr:from>
    <xdr:ext cx="4840942" cy="895348"/>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647825" y="161925"/>
          <a:ext cx="48409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CAN/CANFD Clock Generation</a:t>
          </a:r>
        </a:p>
      </xdr:txBody>
    </xdr:sp>
    <xdr:clientData/>
  </xdr:oneCellAnchor>
  <xdr:oneCellAnchor>
    <xdr:from>
      <xdr:col>0</xdr:col>
      <xdr:colOff>428625</xdr:colOff>
      <xdr:row>4</xdr:row>
      <xdr:rowOff>0</xdr:rowOff>
    </xdr:from>
    <xdr:ext cx="2326342" cy="895348"/>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8625" y="762000"/>
          <a:ext cx="23263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FlexCAN0</a:t>
          </a:r>
        </a:p>
      </xdr:txBody>
    </xdr:sp>
    <xdr:clientData/>
  </xdr:oneCellAnchor>
  <xdr:oneCellAnchor>
    <xdr:from>
      <xdr:col>0</xdr:col>
      <xdr:colOff>230330</xdr:colOff>
      <xdr:row>101</xdr:row>
      <xdr:rowOff>45410</xdr:rowOff>
    </xdr:from>
    <xdr:ext cx="2326342" cy="895348"/>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230330" y="19935851"/>
          <a:ext cx="2326342"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FlexCAN1:7</a:t>
          </a:r>
        </a:p>
      </xdr:txBody>
    </xdr:sp>
    <xdr:clientData/>
  </xdr:oneCellAnchor>
  <xdr:oneCellAnchor>
    <xdr:from>
      <xdr:col>1</xdr:col>
      <xdr:colOff>180976</xdr:colOff>
      <xdr:row>9</xdr:row>
      <xdr:rowOff>95250</xdr:rowOff>
    </xdr:from>
    <xdr:ext cx="1066800" cy="419101"/>
    <xdr:sp macro="" textlink="">
      <xdr:nvSpPr>
        <xdr:cNvPr id="5" name="TextBox 4">
          <a:hlinkClick xmlns:r="http://schemas.openxmlformats.org/officeDocument/2006/relationships" r:id="rId1"/>
          <a:extLst>
            <a:ext uri="{FF2B5EF4-FFF2-40B4-BE49-F238E27FC236}">
              <a16:creationId xmlns:a16="http://schemas.microsoft.com/office/drawing/2014/main" id="{00000000-0008-0000-0700-000005000000}"/>
            </a:ext>
          </a:extLst>
        </xdr:cNvPr>
        <xdr:cNvSpPr txBox="1"/>
      </xdr:nvSpPr>
      <xdr:spPr>
        <a:xfrm>
          <a:off x="790576" y="1809750"/>
          <a:ext cx="106680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CAN0 BIU</a:t>
          </a:r>
          <a:r>
            <a:rPr lang="en-US" sz="1000" b="1" baseline="0"/>
            <a:t> Clock</a:t>
          </a:r>
          <a:endParaRPr lang="en-US" sz="1000" b="1"/>
        </a:p>
      </xdr:txBody>
    </xdr:sp>
    <xdr:clientData/>
  </xdr:oneCellAnchor>
  <xdr:twoCellAnchor>
    <xdr:from>
      <xdr:col>3</xdr:col>
      <xdr:colOff>606186</xdr:colOff>
      <xdr:row>10</xdr:row>
      <xdr:rowOff>104775</xdr:rowOff>
    </xdr:from>
    <xdr:to>
      <xdr:col>32</xdr:col>
      <xdr:colOff>0</xdr:colOff>
      <xdr:row>10</xdr:row>
      <xdr:rowOff>104775</xdr:rowOff>
    </xdr:to>
    <xdr:cxnSp macro="">
      <xdr:nvCxnSpPr>
        <xdr:cNvPr id="6" name="Straight Arrow Connector 5">
          <a:extLst>
            <a:ext uri="{FF2B5EF4-FFF2-40B4-BE49-F238E27FC236}">
              <a16:creationId xmlns:a16="http://schemas.microsoft.com/office/drawing/2014/main" id="{00000000-0008-0000-0700-000006000000}"/>
            </a:ext>
          </a:extLst>
        </xdr:cNvPr>
        <xdr:cNvCxnSpPr/>
      </xdr:nvCxnSpPr>
      <xdr:spPr>
        <a:xfrm>
          <a:off x="2434986" y="2019300"/>
          <a:ext cx="1707221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238126</xdr:colOff>
      <xdr:row>19</xdr:row>
      <xdr:rowOff>66675</xdr:rowOff>
    </xdr:from>
    <xdr:ext cx="1009650" cy="419101"/>
    <xdr:sp macro="" textlink="">
      <xdr:nvSpPr>
        <xdr:cNvPr id="9" name="TextBox 8">
          <a:hlinkClick xmlns:r="http://schemas.openxmlformats.org/officeDocument/2006/relationships" r:id="rId2"/>
          <a:extLst>
            <a:ext uri="{FF2B5EF4-FFF2-40B4-BE49-F238E27FC236}">
              <a16:creationId xmlns:a16="http://schemas.microsoft.com/office/drawing/2014/main" id="{00000000-0008-0000-0700-000009000000}"/>
            </a:ext>
          </a:extLst>
        </xdr:cNvPr>
        <xdr:cNvSpPr txBox="1"/>
      </xdr:nvSpPr>
      <xdr:spPr>
        <a:xfrm>
          <a:off x="847726" y="3724275"/>
          <a:ext cx="100965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CAN0 PE Clock</a:t>
          </a:r>
        </a:p>
      </xdr:txBody>
    </xdr:sp>
    <xdr:clientData/>
  </xdr:oneCellAnchor>
  <xdr:twoCellAnchor>
    <xdr:from>
      <xdr:col>4</xdr:col>
      <xdr:colOff>0</xdr:colOff>
      <xdr:row>20</xdr:row>
      <xdr:rowOff>114300</xdr:rowOff>
    </xdr:from>
    <xdr:to>
      <xdr:col>7</xdr:col>
      <xdr:colOff>409575</xdr:colOff>
      <xdr:row>20</xdr:row>
      <xdr:rowOff>114300</xdr:rowOff>
    </xdr:to>
    <xdr:cxnSp macro="">
      <xdr:nvCxnSpPr>
        <xdr:cNvPr id="10" name="Straight Arrow Connector 9">
          <a:extLst>
            <a:ext uri="{FF2B5EF4-FFF2-40B4-BE49-F238E27FC236}">
              <a16:creationId xmlns:a16="http://schemas.microsoft.com/office/drawing/2014/main" id="{00000000-0008-0000-0700-00000A000000}"/>
            </a:ext>
          </a:extLst>
        </xdr:cNvPr>
        <xdr:cNvCxnSpPr/>
      </xdr:nvCxnSpPr>
      <xdr:spPr>
        <a:xfrm>
          <a:off x="2438400" y="3971925"/>
          <a:ext cx="223837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419100</xdr:colOff>
      <xdr:row>18</xdr:row>
      <xdr:rowOff>66675</xdr:rowOff>
    </xdr:from>
    <xdr:to>
      <xdr:col>9</xdr:col>
      <xdr:colOff>196183</xdr:colOff>
      <xdr:row>22</xdr:row>
      <xdr:rowOff>172540</xdr:rowOff>
    </xdr:to>
    <xdr:sp macro="" textlink="">
      <xdr:nvSpPr>
        <xdr:cNvPr id="12" name="Rectangle 11">
          <a:extLst>
            <a:ext uri="{FF2B5EF4-FFF2-40B4-BE49-F238E27FC236}">
              <a16:creationId xmlns:a16="http://schemas.microsoft.com/office/drawing/2014/main" id="{00000000-0008-0000-0700-00000C000000}"/>
            </a:ext>
          </a:extLst>
        </xdr:cNvPr>
        <xdr:cNvSpPr/>
      </xdr:nvSpPr>
      <xdr:spPr>
        <a:xfrm>
          <a:off x="4686300" y="3533775"/>
          <a:ext cx="996283" cy="925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Sclock Prescaler</a:t>
          </a:r>
        </a:p>
        <a:p>
          <a:pPr algn="ctr"/>
          <a:r>
            <a:rPr lang="en-US" sz="900" baseline="0"/>
            <a:t>/(1+(0...255))</a:t>
          </a:r>
        </a:p>
        <a:p>
          <a:pPr algn="ctr"/>
          <a:r>
            <a:rPr lang="en-US" sz="900" baseline="0"/>
            <a:t>CAN0_CTRL1[PRESDIV]</a:t>
          </a:r>
          <a:endParaRPr lang="en-US" sz="900"/>
        </a:p>
      </xdr:txBody>
    </xdr:sp>
    <xdr:clientData/>
  </xdr:twoCellAnchor>
  <xdr:twoCellAnchor>
    <xdr:from>
      <xdr:col>9</xdr:col>
      <xdr:colOff>219075</xdr:colOff>
      <xdr:row>20</xdr:row>
      <xdr:rowOff>38100</xdr:rowOff>
    </xdr:from>
    <xdr:to>
      <xdr:col>11</xdr:col>
      <xdr:colOff>390525</xdr:colOff>
      <xdr:row>20</xdr:row>
      <xdr:rowOff>38100</xdr:rowOff>
    </xdr:to>
    <xdr:cxnSp macro="">
      <xdr:nvCxnSpPr>
        <xdr:cNvPr id="15" name="Straight Arrow Connector 14">
          <a:extLst>
            <a:ext uri="{FF2B5EF4-FFF2-40B4-BE49-F238E27FC236}">
              <a16:creationId xmlns:a16="http://schemas.microsoft.com/office/drawing/2014/main" id="{00000000-0008-0000-0700-00000F000000}"/>
            </a:ext>
          </a:extLst>
        </xdr:cNvPr>
        <xdr:cNvCxnSpPr/>
      </xdr:nvCxnSpPr>
      <xdr:spPr>
        <a:xfrm>
          <a:off x="5705475" y="3914775"/>
          <a:ext cx="13906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409575</xdr:colOff>
      <xdr:row>18</xdr:row>
      <xdr:rowOff>57150</xdr:rowOff>
    </xdr:from>
    <xdr:to>
      <xdr:col>13</xdr:col>
      <xdr:colOff>186658</xdr:colOff>
      <xdr:row>22</xdr:row>
      <xdr:rowOff>163015</xdr:rowOff>
    </xdr:to>
    <xdr:sp macro="" textlink="">
      <xdr:nvSpPr>
        <xdr:cNvPr id="17" name="Rectangle 16">
          <a:extLst>
            <a:ext uri="{FF2B5EF4-FFF2-40B4-BE49-F238E27FC236}">
              <a16:creationId xmlns:a16="http://schemas.microsoft.com/office/drawing/2014/main" id="{00000000-0008-0000-0700-000011000000}"/>
            </a:ext>
          </a:extLst>
        </xdr:cNvPr>
        <xdr:cNvSpPr/>
      </xdr:nvSpPr>
      <xdr:spPr>
        <a:xfrm>
          <a:off x="7115175" y="3524250"/>
          <a:ext cx="996283" cy="925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Jump Width</a:t>
          </a:r>
        </a:p>
        <a:p>
          <a:pPr algn="ctr"/>
          <a:r>
            <a:rPr lang="en-US" sz="900" baseline="0"/>
            <a:t>1+(0...3)</a:t>
          </a:r>
        </a:p>
        <a:p>
          <a:pPr algn="ctr"/>
          <a:r>
            <a:rPr lang="en-US" sz="900" baseline="0"/>
            <a:t>CAN0_CTRL1[RJW]</a:t>
          </a:r>
          <a:endParaRPr lang="en-US" sz="900"/>
        </a:p>
      </xdr:txBody>
    </xdr:sp>
    <xdr:clientData/>
  </xdr:twoCellAnchor>
  <xdr:twoCellAnchor>
    <xdr:from>
      <xdr:col>13</xdr:col>
      <xdr:colOff>200025</xdr:colOff>
      <xdr:row>20</xdr:row>
      <xdr:rowOff>28575</xdr:rowOff>
    </xdr:from>
    <xdr:to>
      <xdr:col>15</xdr:col>
      <xdr:colOff>361950</xdr:colOff>
      <xdr:row>20</xdr:row>
      <xdr:rowOff>28575</xdr:rowOff>
    </xdr:to>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8124825" y="3905250"/>
          <a:ext cx="138112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400050</xdr:colOff>
      <xdr:row>17</xdr:row>
      <xdr:rowOff>66675</xdr:rowOff>
    </xdr:from>
    <xdr:ext cx="1009650" cy="419101"/>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5886450" y="3343275"/>
          <a:ext cx="100965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a:t>
          </a:r>
        </a:p>
      </xdr:txBody>
    </xdr:sp>
    <xdr:clientData/>
  </xdr:oneCellAnchor>
  <xdr:twoCellAnchor>
    <xdr:from>
      <xdr:col>15</xdr:col>
      <xdr:colOff>381000</xdr:colOff>
      <xdr:row>18</xdr:row>
      <xdr:rowOff>57150</xdr:rowOff>
    </xdr:from>
    <xdr:to>
      <xdr:col>17</xdr:col>
      <xdr:colOff>158083</xdr:colOff>
      <xdr:row>22</xdr:row>
      <xdr:rowOff>163015</xdr:rowOff>
    </xdr:to>
    <xdr:sp macro="" textlink="">
      <xdr:nvSpPr>
        <xdr:cNvPr id="41" name="Rectangle 40">
          <a:extLst>
            <a:ext uri="{FF2B5EF4-FFF2-40B4-BE49-F238E27FC236}">
              <a16:creationId xmlns:a16="http://schemas.microsoft.com/office/drawing/2014/main" id="{00000000-0008-0000-0700-000029000000}"/>
            </a:ext>
          </a:extLst>
        </xdr:cNvPr>
        <xdr:cNvSpPr/>
      </xdr:nvSpPr>
      <xdr:spPr>
        <a:xfrm>
          <a:off x="9525000" y="3524250"/>
          <a:ext cx="996283" cy="925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Prop. Seg.</a:t>
          </a:r>
        </a:p>
        <a:p>
          <a:pPr algn="ctr"/>
          <a:r>
            <a:rPr lang="en-US" sz="900" baseline="0"/>
            <a:t>1+(0...7)</a:t>
          </a:r>
        </a:p>
        <a:p>
          <a:pPr algn="ctr"/>
          <a:r>
            <a:rPr lang="en-US" sz="900" baseline="0"/>
            <a:t>CAN0_CTRL1[PROPSEG]</a:t>
          </a:r>
          <a:endParaRPr lang="en-US" sz="900"/>
        </a:p>
      </xdr:txBody>
    </xdr:sp>
    <xdr:clientData/>
  </xdr:twoCellAnchor>
  <xdr:twoCellAnchor>
    <xdr:from>
      <xdr:col>17</xdr:col>
      <xdr:colOff>180975</xdr:colOff>
      <xdr:row>20</xdr:row>
      <xdr:rowOff>28575</xdr:rowOff>
    </xdr:from>
    <xdr:to>
      <xdr:col>31</xdr:col>
      <xdr:colOff>600075</xdr:colOff>
      <xdr:row>20</xdr:row>
      <xdr:rowOff>28575</xdr:rowOff>
    </xdr:to>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a:off x="10600497" y="3929684"/>
          <a:ext cx="899988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400050</xdr:colOff>
      <xdr:row>11</xdr:row>
      <xdr:rowOff>39414</xdr:rowOff>
    </xdr:from>
    <xdr:to>
      <xdr:col>17</xdr:col>
      <xdr:colOff>177133</xdr:colOff>
      <xdr:row>15</xdr:row>
      <xdr:rowOff>192904</xdr:rowOff>
    </xdr:to>
    <xdr:sp macro="" textlink="">
      <xdr:nvSpPr>
        <xdr:cNvPr id="46" name="Rectangle 45">
          <a:extLst>
            <a:ext uri="{FF2B5EF4-FFF2-40B4-BE49-F238E27FC236}">
              <a16:creationId xmlns:a16="http://schemas.microsoft.com/office/drawing/2014/main" id="{00000000-0008-0000-0700-00002E000000}"/>
            </a:ext>
          </a:extLst>
        </xdr:cNvPr>
        <xdr:cNvSpPr/>
      </xdr:nvSpPr>
      <xdr:spPr>
        <a:xfrm>
          <a:off x="9563757" y="2161190"/>
          <a:ext cx="998910" cy="9220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a:t>
          </a:r>
          <a:r>
            <a:rPr lang="en-US" sz="1100" baseline="0"/>
            <a:t> </a:t>
          </a:r>
          <a:r>
            <a:rPr lang="en-US" sz="1100"/>
            <a:t> Seg.</a:t>
          </a:r>
          <a:r>
            <a:rPr lang="en-US" sz="1100" baseline="0"/>
            <a:t> 1</a:t>
          </a:r>
          <a:endParaRPr lang="en-US" sz="1100"/>
        </a:p>
        <a:p>
          <a:pPr algn="ctr"/>
          <a:r>
            <a:rPr lang="en-US" sz="900" baseline="0"/>
            <a:t>1+(0...7)</a:t>
          </a:r>
        </a:p>
        <a:p>
          <a:pPr algn="ctr"/>
          <a:r>
            <a:rPr lang="en-US" sz="900" baseline="0"/>
            <a:t>CAN0_CTRL1[PSEG1]</a:t>
          </a:r>
          <a:endParaRPr lang="en-US" sz="900"/>
        </a:p>
      </xdr:txBody>
    </xdr:sp>
    <xdr:clientData/>
  </xdr:twoCellAnchor>
  <xdr:twoCellAnchor>
    <xdr:from>
      <xdr:col>17</xdr:col>
      <xdr:colOff>203638</xdr:colOff>
      <xdr:row>14</xdr:row>
      <xdr:rowOff>65689</xdr:rowOff>
    </xdr:from>
    <xdr:to>
      <xdr:col>32</xdr:col>
      <xdr:colOff>9525</xdr:colOff>
      <xdr:row>14</xdr:row>
      <xdr:rowOff>65689</xdr:rowOff>
    </xdr:to>
    <xdr:cxnSp macro="">
      <xdr:nvCxnSpPr>
        <xdr:cNvPr id="47" name="Straight Arrow Connector 46">
          <a:extLst>
            <a:ext uri="{FF2B5EF4-FFF2-40B4-BE49-F238E27FC236}">
              <a16:creationId xmlns:a16="http://schemas.microsoft.com/office/drawing/2014/main" id="{00000000-0008-0000-0700-00002F000000}"/>
            </a:ext>
          </a:extLst>
        </xdr:cNvPr>
        <xdr:cNvCxnSpPr/>
      </xdr:nvCxnSpPr>
      <xdr:spPr>
        <a:xfrm>
          <a:off x="10566838" y="2770789"/>
          <a:ext cx="894988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308741</xdr:colOff>
      <xdr:row>13</xdr:row>
      <xdr:rowOff>118241</xdr:rowOff>
    </xdr:from>
    <xdr:to>
      <xdr:col>15</xdr:col>
      <xdr:colOff>391839</xdr:colOff>
      <xdr:row>13</xdr:row>
      <xdr:rowOff>118241</xdr:rowOff>
    </xdr:to>
    <xdr:cxnSp macro="">
      <xdr:nvCxnSpPr>
        <xdr:cNvPr id="48" name="Straight Arrow Connector 47">
          <a:extLst>
            <a:ext uri="{FF2B5EF4-FFF2-40B4-BE49-F238E27FC236}">
              <a16:creationId xmlns:a16="http://schemas.microsoft.com/office/drawing/2014/main" id="{00000000-0008-0000-0700-000030000000}"/>
            </a:ext>
          </a:extLst>
        </xdr:cNvPr>
        <xdr:cNvCxnSpPr/>
      </xdr:nvCxnSpPr>
      <xdr:spPr>
        <a:xfrm>
          <a:off x="8861534" y="2627586"/>
          <a:ext cx="69401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308742</xdr:colOff>
      <xdr:row>13</xdr:row>
      <xdr:rowOff>111676</xdr:rowOff>
    </xdr:from>
    <xdr:to>
      <xdr:col>14</xdr:col>
      <xdr:colOff>308742</xdr:colOff>
      <xdr:row>27</xdr:row>
      <xdr:rowOff>78828</xdr:rowOff>
    </xdr:to>
    <xdr:cxnSp macro="">
      <xdr:nvCxnSpPr>
        <xdr:cNvPr id="50" name="Straight Arrow Connector 49">
          <a:extLst>
            <a:ext uri="{FF2B5EF4-FFF2-40B4-BE49-F238E27FC236}">
              <a16:creationId xmlns:a16="http://schemas.microsoft.com/office/drawing/2014/main" id="{00000000-0008-0000-0700-000032000000}"/>
            </a:ext>
          </a:extLst>
        </xdr:cNvPr>
        <xdr:cNvCxnSpPr/>
      </xdr:nvCxnSpPr>
      <xdr:spPr>
        <a:xfrm flipV="1">
          <a:off x="8861535" y="2621021"/>
          <a:ext cx="0" cy="2752393"/>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400707</xdr:colOff>
      <xdr:row>25</xdr:row>
      <xdr:rowOff>13138</xdr:rowOff>
    </xdr:from>
    <xdr:to>
      <xdr:col>17</xdr:col>
      <xdr:colOff>177790</xdr:colOff>
      <xdr:row>29</xdr:row>
      <xdr:rowOff>173197</xdr:rowOff>
    </xdr:to>
    <xdr:sp macro="" textlink="">
      <xdr:nvSpPr>
        <xdr:cNvPr id="53" name="Rectangle 52">
          <a:extLst>
            <a:ext uri="{FF2B5EF4-FFF2-40B4-BE49-F238E27FC236}">
              <a16:creationId xmlns:a16="http://schemas.microsoft.com/office/drawing/2014/main" id="{00000000-0008-0000-0700-000035000000}"/>
            </a:ext>
          </a:extLst>
        </xdr:cNvPr>
        <xdr:cNvSpPr/>
      </xdr:nvSpPr>
      <xdr:spPr>
        <a:xfrm>
          <a:off x="9564414" y="4926724"/>
          <a:ext cx="998910" cy="9220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a:t>
          </a:r>
          <a:r>
            <a:rPr lang="en-US" sz="1100" baseline="0"/>
            <a:t> </a:t>
          </a:r>
          <a:r>
            <a:rPr lang="en-US" sz="1100"/>
            <a:t> Seg. 2</a:t>
          </a:r>
        </a:p>
        <a:p>
          <a:pPr algn="ctr"/>
          <a:r>
            <a:rPr lang="en-US" sz="900" baseline="0"/>
            <a:t>1+(0...7)</a:t>
          </a:r>
        </a:p>
        <a:p>
          <a:pPr algn="ctr"/>
          <a:r>
            <a:rPr lang="en-US" sz="900" baseline="0"/>
            <a:t>CAN0_CTRL1[PSEG2]</a:t>
          </a:r>
          <a:endParaRPr lang="en-US" sz="900"/>
        </a:p>
      </xdr:txBody>
    </xdr:sp>
    <xdr:clientData/>
  </xdr:twoCellAnchor>
  <xdr:twoCellAnchor>
    <xdr:from>
      <xdr:col>14</xdr:col>
      <xdr:colOff>295604</xdr:colOff>
      <xdr:row>27</xdr:row>
      <xdr:rowOff>85397</xdr:rowOff>
    </xdr:from>
    <xdr:to>
      <xdr:col>15</xdr:col>
      <xdr:colOff>372132</xdr:colOff>
      <xdr:row>27</xdr:row>
      <xdr:rowOff>85397</xdr:rowOff>
    </xdr:to>
    <xdr:cxnSp macro="">
      <xdr:nvCxnSpPr>
        <xdr:cNvPr id="54" name="Straight Arrow Connector 53">
          <a:extLst>
            <a:ext uri="{FF2B5EF4-FFF2-40B4-BE49-F238E27FC236}">
              <a16:creationId xmlns:a16="http://schemas.microsoft.com/office/drawing/2014/main" id="{00000000-0008-0000-0700-000036000000}"/>
            </a:ext>
          </a:extLst>
        </xdr:cNvPr>
        <xdr:cNvCxnSpPr/>
      </xdr:nvCxnSpPr>
      <xdr:spPr>
        <a:xfrm>
          <a:off x="8848397" y="5379983"/>
          <a:ext cx="68744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177362</xdr:colOff>
      <xdr:row>27</xdr:row>
      <xdr:rowOff>76200</xdr:rowOff>
    </xdr:from>
    <xdr:to>
      <xdr:col>31</xdr:col>
      <xdr:colOff>561975</xdr:colOff>
      <xdr:row>27</xdr:row>
      <xdr:rowOff>76200</xdr:rowOff>
    </xdr:to>
    <xdr:cxnSp macro="">
      <xdr:nvCxnSpPr>
        <xdr:cNvPr id="57" name="Straight Arrow Connector 56">
          <a:extLst>
            <a:ext uri="{FF2B5EF4-FFF2-40B4-BE49-F238E27FC236}">
              <a16:creationId xmlns:a16="http://schemas.microsoft.com/office/drawing/2014/main" id="{00000000-0008-0000-0700-000039000000}"/>
            </a:ext>
          </a:extLst>
        </xdr:cNvPr>
        <xdr:cNvCxnSpPr/>
      </xdr:nvCxnSpPr>
      <xdr:spPr>
        <a:xfrm>
          <a:off x="10540562" y="5391150"/>
          <a:ext cx="8919013"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274291</xdr:colOff>
      <xdr:row>20</xdr:row>
      <xdr:rowOff>102805</xdr:rowOff>
    </xdr:from>
    <xdr:to>
      <xdr:col>4</xdr:col>
      <xdr:colOff>274291</xdr:colOff>
      <xdr:row>63</xdr:row>
      <xdr:rowOff>99391</xdr:rowOff>
    </xdr:to>
    <xdr:cxnSp macro="">
      <xdr:nvCxnSpPr>
        <xdr:cNvPr id="58" name="Straight Arrow Connector 57">
          <a:extLst>
            <a:ext uri="{FF2B5EF4-FFF2-40B4-BE49-F238E27FC236}">
              <a16:creationId xmlns:a16="http://schemas.microsoft.com/office/drawing/2014/main" id="{00000000-0008-0000-0700-00003A000000}"/>
            </a:ext>
          </a:extLst>
        </xdr:cNvPr>
        <xdr:cNvCxnSpPr/>
      </xdr:nvCxnSpPr>
      <xdr:spPr>
        <a:xfrm flipV="1">
          <a:off x="2725943" y="4003914"/>
          <a:ext cx="0" cy="8411716"/>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274300</xdr:colOff>
      <xdr:row>39</xdr:row>
      <xdr:rowOff>103290</xdr:rowOff>
    </xdr:from>
    <xdr:to>
      <xdr:col>5</xdr:col>
      <xdr:colOff>414131</xdr:colOff>
      <xdr:row>39</xdr:row>
      <xdr:rowOff>103290</xdr:rowOff>
    </xdr:to>
    <xdr:cxnSp macro="">
      <xdr:nvCxnSpPr>
        <xdr:cNvPr id="60" name="Straight Arrow Connector 59">
          <a:extLst>
            <a:ext uri="{FF2B5EF4-FFF2-40B4-BE49-F238E27FC236}">
              <a16:creationId xmlns:a16="http://schemas.microsoft.com/office/drawing/2014/main" id="{00000000-0008-0000-0700-00003C000000}"/>
            </a:ext>
          </a:extLst>
        </xdr:cNvPr>
        <xdr:cNvCxnSpPr/>
      </xdr:nvCxnSpPr>
      <xdr:spPr>
        <a:xfrm>
          <a:off x="2725952" y="7715007"/>
          <a:ext cx="7527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447261</xdr:colOff>
      <xdr:row>37</xdr:row>
      <xdr:rowOff>8282</xdr:rowOff>
    </xdr:from>
    <xdr:to>
      <xdr:col>7</xdr:col>
      <xdr:colOff>224344</xdr:colOff>
      <xdr:row>41</xdr:row>
      <xdr:rowOff>163843</xdr:rowOff>
    </xdr:to>
    <xdr:sp macro="" textlink="">
      <xdr:nvSpPr>
        <xdr:cNvPr id="64" name="Rectangle 63">
          <a:extLst>
            <a:ext uri="{FF2B5EF4-FFF2-40B4-BE49-F238E27FC236}">
              <a16:creationId xmlns:a16="http://schemas.microsoft.com/office/drawing/2014/main" id="{00000000-0008-0000-0700-000040000000}"/>
            </a:ext>
          </a:extLst>
        </xdr:cNvPr>
        <xdr:cNvSpPr/>
      </xdr:nvSpPr>
      <xdr:spPr>
        <a:xfrm>
          <a:off x="3511826" y="7238999"/>
          <a:ext cx="1002909"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Ext. Format Enable</a:t>
          </a:r>
        </a:p>
        <a:p>
          <a:pPr algn="ctr"/>
          <a:r>
            <a:rPr lang="en-US" sz="900" baseline="0"/>
            <a:t>CAN0_CBT[BTF]</a:t>
          </a:r>
          <a:endParaRPr lang="en-US" sz="900"/>
        </a:p>
      </xdr:txBody>
    </xdr:sp>
    <xdr:clientData/>
  </xdr:twoCellAnchor>
  <xdr:oneCellAnchor>
    <xdr:from>
      <xdr:col>5</xdr:col>
      <xdr:colOff>571502</xdr:colOff>
      <xdr:row>43</xdr:row>
      <xdr:rowOff>0</xdr:rowOff>
    </xdr:from>
    <xdr:ext cx="1476498" cy="354111"/>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3636067" y="8398565"/>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Extended Format Disabled</a:t>
          </a:r>
        </a:p>
        <a:p>
          <a:r>
            <a:rPr lang="en-US" sz="800"/>
            <a:t>1 - Extended</a:t>
          </a:r>
          <a:r>
            <a:rPr lang="en-US" sz="800" baseline="0"/>
            <a:t> Format Enabled</a:t>
          </a:r>
          <a:endParaRPr lang="en-US" sz="800"/>
        </a:p>
      </xdr:txBody>
    </xdr:sp>
    <xdr:clientData/>
  </xdr:oneCellAnchor>
  <xdr:twoCellAnchor>
    <xdr:from>
      <xdr:col>11</xdr:col>
      <xdr:colOff>388795</xdr:colOff>
      <xdr:row>37</xdr:row>
      <xdr:rowOff>36054</xdr:rowOff>
    </xdr:from>
    <xdr:to>
      <xdr:col>13</xdr:col>
      <xdr:colOff>165878</xdr:colOff>
      <xdr:row>41</xdr:row>
      <xdr:rowOff>191615</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7045089" y="7331083"/>
          <a:ext cx="987318" cy="96238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Sclock Ext. Prescaler</a:t>
          </a:r>
        </a:p>
        <a:p>
          <a:pPr algn="ctr"/>
          <a:r>
            <a:rPr lang="en-US" sz="900" baseline="0"/>
            <a:t>/(1+(0...1023))</a:t>
          </a:r>
        </a:p>
        <a:p>
          <a:pPr algn="ctr"/>
          <a:r>
            <a:rPr lang="en-US" sz="900" baseline="0"/>
            <a:t>CAN0_CBT[EPRESDIV]</a:t>
          </a:r>
          <a:endParaRPr lang="en-US" sz="900"/>
        </a:p>
      </xdr:txBody>
    </xdr:sp>
    <xdr:clientData/>
  </xdr:twoCellAnchor>
  <xdr:twoCellAnchor>
    <xdr:from>
      <xdr:col>7</xdr:col>
      <xdr:colOff>265044</xdr:colOff>
      <xdr:row>39</xdr:row>
      <xdr:rowOff>34592</xdr:rowOff>
    </xdr:from>
    <xdr:to>
      <xdr:col>11</xdr:col>
      <xdr:colOff>347382</xdr:colOff>
      <xdr:row>39</xdr:row>
      <xdr:rowOff>34592</xdr:rowOff>
    </xdr:to>
    <xdr:cxnSp macro="">
      <xdr:nvCxnSpPr>
        <xdr:cNvPr id="70" name="Straight Arrow Connector 69">
          <a:extLst>
            <a:ext uri="{FF2B5EF4-FFF2-40B4-BE49-F238E27FC236}">
              <a16:creationId xmlns:a16="http://schemas.microsoft.com/office/drawing/2014/main" id="{00000000-0008-0000-0700-000046000000}"/>
            </a:ext>
          </a:extLst>
        </xdr:cNvPr>
        <xdr:cNvCxnSpPr/>
      </xdr:nvCxnSpPr>
      <xdr:spPr>
        <a:xfrm>
          <a:off x="4500868" y="7721827"/>
          <a:ext cx="250280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257732</xdr:colOff>
      <xdr:row>37</xdr:row>
      <xdr:rowOff>76977</xdr:rowOff>
    </xdr:from>
    <xdr:ext cx="1416327" cy="319709"/>
    <xdr:sp macro="" textlink="">
      <xdr:nvSpPr>
        <xdr:cNvPr id="71" name="TextBox 70">
          <a:extLst>
            <a:ext uri="{FF2B5EF4-FFF2-40B4-BE49-F238E27FC236}">
              <a16:creationId xmlns:a16="http://schemas.microsoft.com/office/drawing/2014/main" id="{00000000-0008-0000-0700-000047000000}"/>
            </a:ext>
          </a:extLst>
        </xdr:cNvPr>
        <xdr:cNvSpPr txBox="1"/>
      </xdr:nvSpPr>
      <xdr:spPr>
        <a:xfrm>
          <a:off x="8729379" y="7372006"/>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Sclock_Extended</a:t>
          </a:r>
        </a:p>
      </xdr:txBody>
    </xdr:sp>
    <xdr:clientData/>
  </xdr:oneCellAnchor>
  <xdr:twoCellAnchor>
    <xdr:from>
      <xdr:col>13</xdr:col>
      <xdr:colOff>153471</xdr:colOff>
      <xdr:row>40</xdr:row>
      <xdr:rowOff>38978</xdr:rowOff>
    </xdr:from>
    <xdr:to>
      <xdr:col>18</xdr:col>
      <xdr:colOff>381000</xdr:colOff>
      <xdr:row>40</xdr:row>
      <xdr:rowOff>38978</xdr:rowOff>
    </xdr:to>
    <xdr:cxnSp macro="">
      <xdr:nvCxnSpPr>
        <xdr:cNvPr id="72" name="Straight Arrow Connector 71">
          <a:extLst>
            <a:ext uri="{FF2B5EF4-FFF2-40B4-BE49-F238E27FC236}">
              <a16:creationId xmlns:a16="http://schemas.microsoft.com/office/drawing/2014/main" id="{00000000-0008-0000-0700-000048000000}"/>
            </a:ext>
          </a:extLst>
        </xdr:cNvPr>
        <xdr:cNvCxnSpPr/>
      </xdr:nvCxnSpPr>
      <xdr:spPr>
        <a:xfrm>
          <a:off x="8020000" y="7939125"/>
          <a:ext cx="32531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412888</xdr:colOff>
      <xdr:row>37</xdr:row>
      <xdr:rowOff>78270</xdr:rowOff>
    </xdr:from>
    <xdr:to>
      <xdr:col>20</xdr:col>
      <xdr:colOff>189972</xdr:colOff>
      <xdr:row>42</xdr:row>
      <xdr:rowOff>675</xdr:rowOff>
    </xdr:to>
    <xdr:sp macro="" textlink="">
      <xdr:nvSpPr>
        <xdr:cNvPr id="74" name="Rectangle 73">
          <a:extLst>
            <a:ext uri="{FF2B5EF4-FFF2-40B4-BE49-F238E27FC236}">
              <a16:creationId xmlns:a16="http://schemas.microsoft.com/office/drawing/2014/main" id="{00000000-0008-0000-0700-00004A000000}"/>
            </a:ext>
          </a:extLst>
        </xdr:cNvPr>
        <xdr:cNvSpPr/>
      </xdr:nvSpPr>
      <xdr:spPr>
        <a:xfrm>
          <a:off x="11305006" y="7373299"/>
          <a:ext cx="987319" cy="93093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Ext. Jump Width</a:t>
          </a:r>
        </a:p>
        <a:p>
          <a:pPr algn="ctr"/>
          <a:r>
            <a:rPr lang="en-US" sz="900" baseline="0"/>
            <a:t>1+(0...15)</a:t>
          </a:r>
        </a:p>
        <a:p>
          <a:pPr algn="ctr"/>
          <a:r>
            <a:rPr lang="en-US" sz="900" baseline="0"/>
            <a:t>CAN0_CBT[ERJW]</a:t>
          </a:r>
          <a:endParaRPr lang="en-US" sz="900"/>
        </a:p>
      </xdr:txBody>
    </xdr:sp>
    <xdr:clientData/>
  </xdr:twoCellAnchor>
  <xdr:twoCellAnchor>
    <xdr:from>
      <xdr:col>20</xdr:col>
      <xdr:colOff>201706</xdr:colOff>
      <xdr:row>39</xdr:row>
      <xdr:rowOff>96906</xdr:rowOff>
    </xdr:from>
    <xdr:to>
      <xdr:col>25</xdr:col>
      <xdr:colOff>398807</xdr:colOff>
      <xdr:row>39</xdr:row>
      <xdr:rowOff>96906</xdr:rowOff>
    </xdr:to>
    <xdr:cxnSp macro="">
      <xdr:nvCxnSpPr>
        <xdr:cNvPr id="76" name="Straight Arrow Connector 75">
          <a:extLst>
            <a:ext uri="{FF2B5EF4-FFF2-40B4-BE49-F238E27FC236}">
              <a16:creationId xmlns:a16="http://schemas.microsoft.com/office/drawing/2014/main" id="{00000000-0008-0000-0700-00004C000000}"/>
            </a:ext>
          </a:extLst>
        </xdr:cNvPr>
        <xdr:cNvCxnSpPr/>
      </xdr:nvCxnSpPr>
      <xdr:spPr>
        <a:xfrm>
          <a:off x="12304059" y="7784141"/>
          <a:ext cx="32226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415373</xdr:colOff>
      <xdr:row>37</xdr:row>
      <xdr:rowOff>59222</xdr:rowOff>
    </xdr:from>
    <xdr:to>
      <xdr:col>27</xdr:col>
      <xdr:colOff>192456</xdr:colOff>
      <xdr:row>41</xdr:row>
      <xdr:rowOff>181652</xdr:rowOff>
    </xdr:to>
    <xdr:sp macro="" textlink="">
      <xdr:nvSpPr>
        <xdr:cNvPr id="77" name="Rectangle 76">
          <a:extLst>
            <a:ext uri="{FF2B5EF4-FFF2-40B4-BE49-F238E27FC236}">
              <a16:creationId xmlns:a16="http://schemas.microsoft.com/office/drawing/2014/main" id="{00000000-0008-0000-0700-00004D000000}"/>
            </a:ext>
          </a:extLst>
        </xdr:cNvPr>
        <xdr:cNvSpPr/>
      </xdr:nvSpPr>
      <xdr:spPr>
        <a:xfrm>
          <a:off x="15655373" y="7317272"/>
          <a:ext cx="996283" cy="9225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Prop. Seg. Ext.</a:t>
          </a:r>
        </a:p>
        <a:p>
          <a:pPr algn="ctr"/>
          <a:r>
            <a:rPr lang="en-US" sz="900" baseline="0"/>
            <a:t>1+(0...63)</a:t>
          </a:r>
        </a:p>
        <a:p>
          <a:pPr algn="ctr"/>
          <a:r>
            <a:rPr lang="en-US" sz="900" baseline="0"/>
            <a:t>CAN0_CBT[EPROPSEG]</a:t>
          </a:r>
          <a:endParaRPr lang="en-US" sz="900"/>
        </a:p>
      </xdr:txBody>
    </xdr:sp>
    <xdr:clientData/>
  </xdr:twoCellAnchor>
  <xdr:twoCellAnchor>
    <xdr:from>
      <xdr:col>27</xdr:col>
      <xdr:colOff>209550</xdr:colOff>
      <xdr:row>39</xdr:row>
      <xdr:rowOff>53423</xdr:rowOff>
    </xdr:from>
    <xdr:to>
      <xdr:col>32</xdr:col>
      <xdr:colOff>6212</xdr:colOff>
      <xdr:row>39</xdr:row>
      <xdr:rowOff>53423</xdr:rowOff>
    </xdr:to>
    <xdr:cxnSp macro="">
      <xdr:nvCxnSpPr>
        <xdr:cNvPr id="79" name="Straight Arrow Connector 78">
          <a:extLst>
            <a:ext uri="{FF2B5EF4-FFF2-40B4-BE49-F238E27FC236}">
              <a16:creationId xmlns:a16="http://schemas.microsoft.com/office/drawing/2014/main" id="{00000000-0008-0000-0700-00004F000000}"/>
            </a:ext>
          </a:extLst>
        </xdr:cNvPr>
        <xdr:cNvCxnSpPr/>
      </xdr:nvCxnSpPr>
      <xdr:spPr>
        <a:xfrm>
          <a:off x="16668750" y="7701998"/>
          <a:ext cx="284466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440218</xdr:colOff>
      <xdr:row>39</xdr:row>
      <xdr:rowOff>88624</xdr:rowOff>
    </xdr:from>
    <xdr:to>
      <xdr:col>23</xdr:col>
      <xdr:colOff>440218</xdr:colOff>
      <xdr:row>54</xdr:row>
      <xdr:rowOff>72058</xdr:rowOff>
    </xdr:to>
    <xdr:cxnSp macro="">
      <xdr:nvCxnSpPr>
        <xdr:cNvPr id="81" name="Straight Arrow Connector 80">
          <a:extLst>
            <a:ext uri="{FF2B5EF4-FFF2-40B4-BE49-F238E27FC236}">
              <a16:creationId xmlns:a16="http://schemas.microsoft.com/office/drawing/2014/main" id="{00000000-0008-0000-0700-000051000000}"/>
            </a:ext>
          </a:extLst>
        </xdr:cNvPr>
        <xdr:cNvCxnSpPr/>
      </xdr:nvCxnSpPr>
      <xdr:spPr>
        <a:xfrm flipV="1">
          <a:off x="14461018" y="7737199"/>
          <a:ext cx="0" cy="2945709"/>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440219</xdr:colOff>
      <xdr:row>47</xdr:row>
      <xdr:rowOff>96907</xdr:rowOff>
    </xdr:from>
    <xdr:to>
      <xdr:col>25</xdr:col>
      <xdr:colOff>415373</xdr:colOff>
      <xdr:row>47</xdr:row>
      <xdr:rowOff>96907</xdr:rowOff>
    </xdr:to>
    <xdr:cxnSp macro="">
      <xdr:nvCxnSpPr>
        <xdr:cNvPr id="82" name="Straight Arrow Connector 81">
          <a:extLst>
            <a:ext uri="{FF2B5EF4-FFF2-40B4-BE49-F238E27FC236}">
              <a16:creationId xmlns:a16="http://schemas.microsoft.com/office/drawing/2014/main" id="{00000000-0008-0000-0700-000052000000}"/>
            </a:ext>
          </a:extLst>
        </xdr:cNvPr>
        <xdr:cNvCxnSpPr/>
      </xdr:nvCxnSpPr>
      <xdr:spPr>
        <a:xfrm>
          <a:off x="14461019" y="9336157"/>
          <a:ext cx="11943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431938</xdr:colOff>
      <xdr:row>45</xdr:row>
      <xdr:rowOff>17807</xdr:rowOff>
    </xdr:from>
    <xdr:to>
      <xdr:col>27</xdr:col>
      <xdr:colOff>209021</xdr:colOff>
      <xdr:row>49</xdr:row>
      <xdr:rowOff>173368</xdr:rowOff>
    </xdr:to>
    <xdr:sp macro="" textlink="">
      <xdr:nvSpPr>
        <xdr:cNvPr id="84" name="Rectangle 83">
          <a:extLst>
            <a:ext uri="{FF2B5EF4-FFF2-40B4-BE49-F238E27FC236}">
              <a16:creationId xmlns:a16="http://schemas.microsoft.com/office/drawing/2014/main" id="{00000000-0008-0000-0700-000054000000}"/>
            </a:ext>
          </a:extLst>
        </xdr:cNvPr>
        <xdr:cNvSpPr/>
      </xdr:nvSpPr>
      <xdr:spPr>
        <a:xfrm>
          <a:off x="15671938" y="8876057"/>
          <a:ext cx="996283"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 Seg. 1 Ext.</a:t>
          </a:r>
        </a:p>
        <a:p>
          <a:pPr algn="ctr"/>
          <a:r>
            <a:rPr lang="en-US" sz="900" baseline="0"/>
            <a:t>1+(0...31)</a:t>
          </a:r>
        </a:p>
        <a:p>
          <a:pPr algn="ctr"/>
          <a:r>
            <a:rPr lang="en-US" sz="900" baseline="0"/>
            <a:t>CAN0_CBT[EPSEG1]</a:t>
          </a:r>
          <a:endParaRPr lang="en-US" sz="900"/>
        </a:p>
      </xdr:txBody>
    </xdr:sp>
    <xdr:clientData/>
  </xdr:twoCellAnchor>
  <xdr:twoCellAnchor>
    <xdr:from>
      <xdr:col>27</xdr:col>
      <xdr:colOff>238125</xdr:colOff>
      <xdr:row>47</xdr:row>
      <xdr:rowOff>119684</xdr:rowOff>
    </xdr:from>
    <xdr:to>
      <xdr:col>31</xdr:col>
      <xdr:colOff>602560</xdr:colOff>
      <xdr:row>47</xdr:row>
      <xdr:rowOff>119684</xdr:rowOff>
    </xdr:to>
    <xdr:cxnSp macro="">
      <xdr:nvCxnSpPr>
        <xdr:cNvPr id="85" name="Straight Arrow Connector 84">
          <a:extLst>
            <a:ext uri="{FF2B5EF4-FFF2-40B4-BE49-F238E27FC236}">
              <a16:creationId xmlns:a16="http://schemas.microsoft.com/office/drawing/2014/main" id="{00000000-0008-0000-0700-000055000000}"/>
            </a:ext>
          </a:extLst>
        </xdr:cNvPr>
        <xdr:cNvCxnSpPr/>
      </xdr:nvCxnSpPr>
      <xdr:spPr>
        <a:xfrm>
          <a:off x="16697325" y="9358934"/>
          <a:ext cx="280283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440221</xdr:colOff>
      <xdr:row>52</xdr:row>
      <xdr:rowOff>26090</xdr:rowOff>
    </xdr:from>
    <xdr:to>
      <xdr:col>27</xdr:col>
      <xdr:colOff>217304</xdr:colOff>
      <xdr:row>56</xdr:row>
      <xdr:rowOff>181651</xdr:rowOff>
    </xdr:to>
    <xdr:sp macro="" textlink="">
      <xdr:nvSpPr>
        <xdr:cNvPr id="87" name="Rectangle 86">
          <a:extLst>
            <a:ext uri="{FF2B5EF4-FFF2-40B4-BE49-F238E27FC236}">
              <a16:creationId xmlns:a16="http://schemas.microsoft.com/office/drawing/2014/main" id="{00000000-0008-0000-0700-000057000000}"/>
            </a:ext>
          </a:extLst>
        </xdr:cNvPr>
        <xdr:cNvSpPr/>
      </xdr:nvSpPr>
      <xdr:spPr>
        <a:xfrm>
          <a:off x="15680221" y="10255940"/>
          <a:ext cx="996283"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Phase Seg. 2 Ext.</a:t>
          </a:r>
        </a:p>
        <a:p>
          <a:pPr algn="ctr"/>
          <a:r>
            <a:rPr lang="en-US" sz="900" baseline="0"/>
            <a:t>1+(0...31)</a:t>
          </a:r>
        </a:p>
        <a:p>
          <a:pPr algn="ctr"/>
          <a:r>
            <a:rPr lang="en-US" sz="900" baseline="0"/>
            <a:t>CAN0_CBT[EPSEG2]</a:t>
          </a:r>
          <a:endParaRPr lang="en-US" sz="900"/>
        </a:p>
      </xdr:txBody>
    </xdr:sp>
    <xdr:clientData/>
  </xdr:twoCellAnchor>
  <xdr:twoCellAnchor>
    <xdr:from>
      <xdr:col>23</xdr:col>
      <xdr:colOff>448503</xdr:colOff>
      <xdr:row>54</xdr:row>
      <xdr:rowOff>72059</xdr:rowOff>
    </xdr:from>
    <xdr:to>
      <xdr:col>25</xdr:col>
      <xdr:colOff>423657</xdr:colOff>
      <xdr:row>54</xdr:row>
      <xdr:rowOff>72059</xdr:rowOff>
    </xdr:to>
    <xdr:cxnSp macro="">
      <xdr:nvCxnSpPr>
        <xdr:cNvPr id="88" name="Straight Arrow Connector 87">
          <a:extLst>
            <a:ext uri="{FF2B5EF4-FFF2-40B4-BE49-F238E27FC236}">
              <a16:creationId xmlns:a16="http://schemas.microsoft.com/office/drawing/2014/main" id="{00000000-0008-0000-0700-000058000000}"/>
            </a:ext>
          </a:extLst>
        </xdr:cNvPr>
        <xdr:cNvCxnSpPr/>
      </xdr:nvCxnSpPr>
      <xdr:spPr>
        <a:xfrm>
          <a:off x="14469303" y="10682909"/>
          <a:ext cx="119435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257175</xdr:colOff>
      <xdr:row>54</xdr:row>
      <xdr:rowOff>119682</xdr:rowOff>
    </xdr:from>
    <xdr:to>
      <xdr:col>32</xdr:col>
      <xdr:colOff>1243</xdr:colOff>
      <xdr:row>54</xdr:row>
      <xdr:rowOff>119682</xdr:rowOff>
    </xdr:to>
    <xdr:cxnSp macro="">
      <xdr:nvCxnSpPr>
        <xdr:cNvPr id="90" name="Straight Arrow Connector 89">
          <a:extLst>
            <a:ext uri="{FF2B5EF4-FFF2-40B4-BE49-F238E27FC236}">
              <a16:creationId xmlns:a16="http://schemas.microsoft.com/office/drawing/2014/main" id="{00000000-0008-0000-0700-00005A000000}"/>
            </a:ext>
          </a:extLst>
        </xdr:cNvPr>
        <xdr:cNvCxnSpPr/>
      </xdr:nvCxnSpPr>
      <xdr:spPr>
        <a:xfrm>
          <a:off x="16716375" y="10730532"/>
          <a:ext cx="279206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314326</xdr:colOff>
      <xdr:row>9</xdr:row>
      <xdr:rowOff>193793</xdr:rowOff>
    </xdr:from>
    <xdr:to>
      <xdr:col>25</xdr:col>
      <xdr:colOff>505240</xdr:colOff>
      <xdr:row>11</xdr:row>
      <xdr:rowOff>29951</xdr:rowOff>
    </xdr:to>
    <xdr:sp macro="" textlink="">
      <xdr:nvSpPr>
        <xdr:cNvPr id="91" name="TextBox 90">
          <a:extLst>
            <a:ext uri="{FF2B5EF4-FFF2-40B4-BE49-F238E27FC236}">
              <a16:creationId xmlns:a16="http://schemas.microsoft.com/office/drawing/2014/main" id="{00000000-0008-0000-0700-00005B000000}"/>
            </a:ext>
          </a:extLst>
        </xdr:cNvPr>
        <xdr:cNvSpPr txBox="1"/>
      </xdr:nvSpPr>
      <xdr:spPr>
        <a:xfrm>
          <a:off x="14411326" y="1908293"/>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Segment_Extended</a:t>
          </a:r>
        </a:p>
      </xdr:txBody>
    </xdr:sp>
    <xdr:clientData/>
  </xdr:twoCellAnchor>
  <xdr:twoCellAnchor>
    <xdr:from>
      <xdr:col>23</xdr:col>
      <xdr:colOff>466726</xdr:colOff>
      <xdr:row>10</xdr:row>
      <xdr:rowOff>147410</xdr:rowOff>
    </xdr:from>
    <xdr:to>
      <xdr:col>26</xdr:col>
      <xdr:colOff>44727</xdr:colOff>
      <xdr:row>11</xdr:row>
      <xdr:rowOff>182351</xdr:rowOff>
    </xdr:to>
    <xdr:sp macro="" textlink="">
      <xdr:nvSpPr>
        <xdr:cNvPr id="92" name="TextBox 91">
          <a:extLst>
            <a:ext uri="{FF2B5EF4-FFF2-40B4-BE49-F238E27FC236}">
              <a16:creationId xmlns:a16="http://schemas.microsoft.com/office/drawing/2014/main" id="{00000000-0008-0000-0700-00005C000000}"/>
            </a:ext>
          </a:extLst>
        </xdr:cNvPr>
        <xdr:cNvSpPr txBox="1"/>
      </xdr:nvSpPr>
      <xdr:spPr>
        <a:xfrm>
          <a:off x="14563726" y="2060693"/>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Segment_Extended</a:t>
          </a:r>
        </a:p>
      </xdr:txBody>
    </xdr:sp>
    <xdr:clientData/>
  </xdr:twoCellAnchor>
  <xdr:twoCellAnchor>
    <xdr:from>
      <xdr:col>4</xdr:col>
      <xdr:colOff>273326</xdr:colOff>
      <xdr:row>63</xdr:row>
      <xdr:rowOff>91107</xdr:rowOff>
    </xdr:from>
    <xdr:to>
      <xdr:col>5</xdr:col>
      <xdr:colOff>413157</xdr:colOff>
      <xdr:row>63</xdr:row>
      <xdr:rowOff>91107</xdr:rowOff>
    </xdr:to>
    <xdr:cxnSp macro="">
      <xdr:nvCxnSpPr>
        <xdr:cNvPr id="97" name="Straight Arrow Connector 96">
          <a:extLst>
            <a:ext uri="{FF2B5EF4-FFF2-40B4-BE49-F238E27FC236}">
              <a16:creationId xmlns:a16="http://schemas.microsoft.com/office/drawing/2014/main" id="{00000000-0008-0000-0700-000061000000}"/>
            </a:ext>
          </a:extLst>
        </xdr:cNvPr>
        <xdr:cNvCxnSpPr/>
      </xdr:nvCxnSpPr>
      <xdr:spPr>
        <a:xfrm>
          <a:off x="2724978" y="12407346"/>
          <a:ext cx="75274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430696</xdr:colOff>
      <xdr:row>60</xdr:row>
      <xdr:rowOff>165652</xdr:rowOff>
    </xdr:from>
    <xdr:to>
      <xdr:col>7</xdr:col>
      <xdr:colOff>207779</xdr:colOff>
      <xdr:row>65</xdr:row>
      <xdr:rowOff>163844</xdr:rowOff>
    </xdr:to>
    <xdr:sp macro="" textlink="">
      <xdr:nvSpPr>
        <xdr:cNvPr id="99" name="Rectangle 98">
          <a:extLst>
            <a:ext uri="{FF2B5EF4-FFF2-40B4-BE49-F238E27FC236}">
              <a16:creationId xmlns:a16="http://schemas.microsoft.com/office/drawing/2014/main" id="{00000000-0008-0000-0700-000063000000}"/>
            </a:ext>
          </a:extLst>
        </xdr:cNvPr>
        <xdr:cNvSpPr/>
      </xdr:nvSpPr>
      <xdr:spPr>
        <a:xfrm>
          <a:off x="3495261" y="11910391"/>
          <a:ext cx="1002909" cy="950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CAN0FD Enable </a:t>
          </a:r>
          <a:r>
            <a:rPr lang="en-US" sz="900" baseline="0"/>
            <a:t>CAN0_MCR[FDEN]</a:t>
          </a:r>
          <a:endParaRPr lang="en-US" sz="900"/>
        </a:p>
      </xdr:txBody>
    </xdr:sp>
    <xdr:clientData/>
  </xdr:twoCellAnchor>
  <xdr:oneCellAnchor>
    <xdr:from>
      <xdr:col>5</xdr:col>
      <xdr:colOff>571500</xdr:colOff>
      <xdr:row>66</xdr:row>
      <xdr:rowOff>198783</xdr:rowOff>
    </xdr:from>
    <xdr:ext cx="1476498" cy="354111"/>
    <xdr:sp macro="" textlink="">
      <xdr:nvSpPr>
        <xdr:cNvPr id="100" name="TextBox 99">
          <a:extLst>
            <a:ext uri="{FF2B5EF4-FFF2-40B4-BE49-F238E27FC236}">
              <a16:creationId xmlns:a16="http://schemas.microsoft.com/office/drawing/2014/main" id="{00000000-0008-0000-0700-000064000000}"/>
            </a:ext>
          </a:extLst>
        </xdr:cNvPr>
        <xdr:cNvSpPr txBox="1"/>
      </xdr:nvSpPr>
      <xdr:spPr>
        <a:xfrm>
          <a:off x="3636065" y="13094805"/>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Disabled</a:t>
          </a:r>
          <a:endParaRPr lang="en-US" sz="800"/>
        </a:p>
        <a:p>
          <a:r>
            <a:rPr lang="en-US" sz="800"/>
            <a:t>1 - CANFD</a:t>
          </a:r>
          <a:r>
            <a:rPr lang="en-US" sz="800" baseline="0"/>
            <a:t> Enabled</a:t>
          </a:r>
          <a:endParaRPr lang="en-US" sz="800"/>
        </a:p>
      </xdr:txBody>
    </xdr:sp>
    <xdr:clientData/>
  </xdr:oneCellAnchor>
  <xdr:twoCellAnchor>
    <xdr:from>
      <xdr:col>7</xdr:col>
      <xdr:colOff>223631</xdr:colOff>
      <xdr:row>63</xdr:row>
      <xdr:rowOff>24848</xdr:rowOff>
    </xdr:from>
    <xdr:to>
      <xdr:col>9</xdr:col>
      <xdr:colOff>381000</xdr:colOff>
      <xdr:row>63</xdr:row>
      <xdr:rowOff>24848</xdr:rowOff>
    </xdr:to>
    <xdr:cxnSp macro="">
      <xdr:nvCxnSpPr>
        <xdr:cNvPr id="101" name="Straight Arrow Connector 100">
          <a:extLst>
            <a:ext uri="{FF2B5EF4-FFF2-40B4-BE49-F238E27FC236}">
              <a16:creationId xmlns:a16="http://schemas.microsoft.com/office/drawing/2014/main" id="{00000000-0008-0000-0700-000065000000}"/>
            </a:ext>
          </a:extLst>
        </xdr:cNvPr>
        <xdr:cNvCxnSpPr/>
      </xdr:nvCxnSpPr>
      <xdr:spPr>
        <a:xfrm>
          <a:off x="4514022" y="12365935"/>
          <a:ext cx="138319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405849</xdr:colOff>
      <xdr:row>61</xdr:row>
      <xdr:rowOff>16566</xdr:rowOff>
    </xdr:from>
    <xdr:to>
      <xdr:col>11</xdr:col>
      <xdr:colOff>182932</xdr:colOff>
      <xdr:row>65</xdr:row>
      <xdr:rowOff>172127</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5922066" y="11951805"/>
          <a:ext cx="1002909" cy="950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Bit Rate Switch</a:t>
          </a:r>
        </a:p>
        <a:p>
          <a:pPr algn="ctr"/>
          <a:r>
            <a:rPr lang="en-US" sz="900" baseline="0"/>
            <a:t>CAN0_FDCTRL[FDRATE]</a:t>
          </a:r>
          <a:endParaRPr lang="en-US" sz="900"/>
        </a:p>
      </xdr:txBody>
    </xdr:sp>
    <xdr:clientData/>
  </xdr:twoCellAnchor>
  <xdr:oneCellAnchor>
    <xdr:from>
      <xdr:col>9</xdr:col>
      <xdr:colOff>554935</xdr:colOff>
      <xdr:row>67</xdr:row>
      <xdr:rowOff>8283</xdr:rowOff>
    </xdr:from>
    <xdr:ext cx="1476498" cy="354111"/>
    <xdr:sp macro="" textlink="">
      <xdr:nvSpPr>
        <xdr:cNvPr id="105" name="TextBox 104">
          <a:extLst>
            <a:ext uri="{FF2B5EF4-FFF2-40B4-BE49-F238E27FC236}">
              <a16:creationId xmlns:a16="http://schemas.microsoft.com/office/drawing/2014/main" id="{00000000-0008-0000-0700-000069000000}"/>
            </a:ext>
          </a:extLst>
        </xdr:cNvPr>
        <xdr:cNvSpPr txBox="1"/>
      </xdr:nvSpPr>
      <xdr:spPr>
        <a:xfrm>
          <a:off x="6071152" y="13144500"/>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11</xdr:col>
      <xdr:colOff>207066</xdr:colOff>
      <xdr:row>63</xdr:row>
      <xdr:rowOff>16566</xdr:rowOff>
    </xdr:from>
    <xdr:to>
      <xdr:col>12</xdr:col>
      <xdr:colOff>364434</xdr:colOff>
      <xdr:row>63</xdr:row>
      <xdr:rowOff>16566</xdr:rowOff>
    </xdr:to>
    <xdr:cxnSp macro="">
      <xdr:nvCxnSpPr>
        <xdr:cNvPr id="106" name="Straight Arrow Connector 105">
          <a:extLst>
            <a:ext uri="{FF2B5EF4-FFF2-40B4-BE49-F238E27FC236}">
              <a16:creationId xmlns:a16="http://schemas.microsoft.com/office/drawing/2014/main" id="{00000000-0008-0000-0700-00006A000000}"/>
            </a:ext>
          </a:extLst>
        </xdr:cNvPr>
        <xdr:cNvCxnSpPr/>
      </xdr:nvCxnSpPr>
      <xdr:spPr>
        <a:xfrm>
          <a:off x="6949109" y="12357653"/>
          <a:ext cx="77028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405847</xdr:colOff>
      <xdr:row>61</xdr:row>
      <xdr:rowOff>24848</xdr:rowOff>
    </xdr:from>
    <xdr:to>
      <xdr:col>14</xdr:col>
      <xdr:colOff>182930</xdr:colOff>
      <xdr:row>65</xdr:row>
      <xdr:rowOff>180409</xdr:rowOff>
    </xdr:to>
    <xdr:sp macro="" textlink="">
      <xdr:nvSpPr>
        <xdr:cNvPr id="108" name="Rectangle 107">
          <a:extLst>
            <a:ext uri="{FF2B5EF4-FFF2-40B4-BE49-F238E27FC236}">
              <a16:creationId xmlns:a16="http://schemas.microsoft.com/office/drawing/2014/main" id="{00000000-0008-0000-0700-00006C000000}"/>
            </a:ext>
          </a:extLst>
        </xdr:cNvPr>
        <xdr:cNvSpPr/>
      </xdr:nvSpPr>
      <xdr:spPr>
        <a:xfrm>
          <a:off x="7760804" y="11960087"/>
          <a:ext cx="1002909" cy="95069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a:t>
          </a:r>
          <a:r>
            <a:rPr lang="en-US" sz="1100" baseline="0"/>
            <a:t> BRS</a:t>
          </a:r>
          <a:endParaRPr lang="en-US" sz="900"/>
        </a:p>
      </xdr:txBody>
    </xdr:sp>
    <xdr:clientData/>
  </xdr:twoCellAnchor>
  <xdr:oneCellAnchor>
    <xdr:from>
      <xdr:col>12</xdr:col>
      <xdr:colOff>571500</xdr:colOff>
      <xdr:row>66</xdr:row>
      <xdr:rowOff>198782</xdr:rowOff>
    </xdr:from>
    <xdr:ext cx="1476498" cy="354111"/>
    <xdr:sp macro="" textlink="">
      <xdr:nvSpPr>
        <xdr:cNvPr id="109" name="TextBox 108">
          <a:extLst>
            <a:ext uri="{FF2B5EF4-FFF2-40B4-BE49-F238E27FC236}">
              <a16:creationId xmlns:a16="http://schemas.microsoft.com/office/drawing/2014/main" id="{00000000-0008-0000-0700-00006D000000}"/>
            </a:ext>
          </a:extLst>
        </xdr:cNvPr>
        <xdr:cNvSpPr txBox="1"/>
      </xdr:nvSpPr>
      <xdr:spPr>
        <a:xfrm>
          <a:off x="7926457" y="13127934"/>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14</xdr:col>
      <xdr:colOff>190500</xdr:colOff>
      <xdr:row>63</xdr:row>
      <xdr:rowOff>16566</xdr:rowOff>
    </xdr:from>
    <xdr:to>
      <xdr:col>15</xdr:col>
      <xdr:colOff>347869</xdr:colOff>
      <xdr:row>63</xdr:row>
      <xdr:rowOff>16566</xdr:rowOff>
    </xdr:to>
    <xdr:cxnSp macro="">
      <xdr:nvCxnSpPr>
        <xdr:cNvPr id="110" name="Straight Arrow Connector 109">
          <a:extLst>
            <a:ext uri="{FF2B5EF4-FFF2-40B4-BE49-F238E27FC236}">
              <a16:creationId xmlns:a16="http://schemas.microsoft.com/office/drawing/2014/main" id="{00000000-0008-0000-0700-00006E000000}"/>
            </a:ext>
          </a:extLst>
        </xdr:cNvPr>
        <xdr:cNvCxnSpPr/>
      </xdr:nvCxnSpPr>
      <xdr:spPr>
        <a:xfrm>
          <a:off x="8771283" y="12357653"/>
          <a:ext cx="77028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414129</xdr:colOff>
      <xdr:row>61</xdr:row>
      <xdr:rowOff>49694</xdr:rowOff>
    </xdr:from>
    <xdr:to>
      <xdr:col>21</xdr:col>
      <xdr:colOff>191213</xdr:colOff>
      <xdr:row>65</xdr:row>
      <xdr:rowOff>172124</xdr:rowOff>
    </xdr:to>
    <xdr:sp macro="" textlink="">
      <xdr:nvSpPr>
        <xdr:cNvPr id="111" name="Rectangle 110">
          <a:extLst>
            <a:ext uri="{FF2B5EF4-FFF2-40B4-BE49-F238E27FC236}">
              <a16:creationId xmlns:a16="http://schemas.microsoft.com/office/drawing/2014/main" id="{00000000-0008-0000-0700-00006F000000}"/>
            </a:ext>
          </a:extLst>
        </xdr:cNvPr>
        <xdr:cNvSpPr/>
      </xdr:nvSpPr>
      <xdr:spPr>
        <a:xfrm>
          <a:off x="12059477" y="12001498"/>
          <a:ext cx="1002910"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Jump Width</a:t>
          </a:r>
        </a:p>
        <a:p>
          <a:pPr algn="ctr"/>
          <a:r>
            <a:rPr lang="en-US" sz="900" baseline="0"/>
            <a:t>1+(0...3)</a:t>
          </a:r>
        </a:p>
        <a:p>
          <a:pPr algn="ctr"/>
          <a:r>
            <a:rPr lang="en-US" sz="900" baseline="0"/>
            <a:t>CAN0_FDCBT[FRJW]</a:t>
          </a:r>
          <a:endParaRPr lang="en-US" sz="900"/>
        </a:p>
      </xdr:txBody>
    </xdr:sp>
    <xdr:clientData/>
  </xdr:twoCellAnchor>
  <xdr:twoCellAnchor>
    <xdr:from>
      <xdr:col>21</xdr:col>
      <xdr:colOff>215444</xdr:colOff>
      <xdr:row>63</xdr:row>
      <xdr:rowOff>107673</xdr:rowOff>
    </xdr:from>
    <xdr:to>
      <xdr:col>25</xdr:col>
      <xdr:colOff>389283</xdr:colOff>
      <xdr:row>63</xdr:row>
      <xdr:rowOff>107673</xdr:rowOff>
    </xdr:to>
    <xdr:cxnSp macro="">
      <xdr:nvCxnSpPr>
        <xdr:cNvPr id="112" name="Straight Arrow Connector 111">
          <a:extLst>
            <a:ext uri="{FF2B5EF4-FFF2-40B4-BE49-F238E27FC236}">
              <a16:creationId xmlns:a16="http://schemas.microsoft.com/office/drawing/2014/main" id="{00000000-0008-0000-0700-000070000000}"/>
            </a:ext>
          </a:extLst>
        </xdr:cNvPr>
        <xdr:cNvCxnSpPr/>
      </xdr:nvCxnSpPr>
      <xdr:spPr>
        <a:xfrm>
          <a:off x="13086618" y="12465325"/>
          <a:ext cx="262549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402436</xdr:colOff>
      <xdr:row>61</xdr:row>
      <xdr:rowOff>975</xdr:rowOff>
    </xdr:from>
    <xdr:to>
      <xdr:col>17</xdr:col>
      <xdr:colOff>179520</xdr:colOff>
      <xdr:row>65</xdr:row>
      <xdr:rowOff>173101</xdr:rowOff>
    </xdr:to>
    <xdr:sp macro="" textlink="">
      <xdr:nvSpPr>
        <xdr:cNvPr id="102" name="Rectangle 101">
          <a:extLst>
            <a:ext uri="{FF2B5EF4-FFF2-40B4-BE49-F238E27FC236}">
              <a16:creationId xmlns:a16="http://schemas.microsoft.com/office/drawing/2014/main" id="{00000000-0008-0000-0700-000066000000}"/>
            </a:ext>
          </a:extLst>
        </xdr:cNvPr>
        <xdr:cNvSpPr/>
      </xdr:nvSpPr>
      <xdr:spPr>
        <a:xfrm>
          <a:off x="9596132" y="11952779"/>
          <a:ext cx="1002910" cy="9672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Sclock FD Prescaler</a:t>
          </a:r>
        </a:p>
        <a:p>
          <a:pPr algn="ctr"/>
          <a:r>
            <a:rPr lang="en-US" sz="900" baseline="0"/>
            <a:t>/(1+(0...1023))</a:t>
          </a:r>
        </a:p>
        <a:p>
          <a:pPr algn="ctr"/>
          <a:r>
            <a:rPr lang="en-US" sz="900" baseline="0"/>
            <a:t>CAN0_FDCBT[FPRESDIV]</a:t>
          </a:r>
          <a:endParaRPr lang="en-US" sz="900"/>
        </a:p>
      </xdr:txBody>
    </xdr:sp>
    <xdr:clientData/>
  </xdr:twoCellAnchor>
  <xdr:twoCellAnchor>
    <xdr:from>
      <xdr:col>17</xdr:col>
      <xdr:colOff>207065</xdr:colOff>
      <xdr:row>64</xdr:row>
      <xdr:rowOff>33131</xdr:rowOff>
    </xdr:from>
    <xdr:to>
      <xdr:col>19</xdr:col>
      <xdr:colOff>364435</xdr:colOff>
      <xdr:row>64</xdr:row>
      <xdr:rowOff>33131</xdr:rowOff>
    </xdr:to>
    <xdr:cxnSp macro="">
      <xdr:nvCxnSpPr>
        <xdr:cNvPr id="104" name="Straight Arrow Connector 103">
          <a:extLst>
            <a:ext uri="{FF2B5EF4-FFF2-40B4-BE49-F238E27FC236}">
              <a16:creationId xmlns:a16="http://schemas.microsoft.com/office/drawing/2014/main" id="{00000000-0008-0000-0700-000068000000}"/>
            </a:ext>
          </a:extLst>
        </xdr:cNvPr>
        <xdr:cNvCxnSpPr/>
      </xdr:nvCxnSpPr>
      <xdr:spPr>
        <a:xfrm>
          <a:off x="10626587" y="12589566"/>
          <a:ext cx="138319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240195</xdr:colOff>
      <xdr:row>61</xdr:row>
      <xdr:rowOff>82826</xdr:rowOff>
    </xdr:from>
    <xdr:ext cx="1416327" cy="319709"/>
    <xdr:sp macro="" textlink="">
      <xdr:nvSpPr>
        <xdr:cNvPr id="113" name="TextBox 112">
          <a:extLst>
            <a:ext uri="{FF2B5EF4-FFF2-40B4-BE49-F238E27FC236}">
              <a16:creationId xmlns:a16="http://schemas.microsoft.com/office/drawing/2014/main" id="{00000000-0008-0000-0700-000071000000}"/>
            </a:ext>
          </a:extLst>
        </xdr:cNvPr>
        <xdr:cNvSpPr txBox="1"/>
      </xdr:nvSpPr>
      <xdr:spPr>
        <a:xfrm>
          <a:off x="10659717" y="12034630"/>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Sclock_FD</a:t>
          </a:r>
        </a:p>
      </xdr:txBody>
    </xdr:sp>
    <xdr:clientData/>
  </xdr:oneCellAnchor>
  <xdr:twoCellAnchor>
    <xdr:from>
      <xdr:col>25</xdr:col>
      <xdr:colOff>422413</xdr:colOff>
      <xdr:row>61</xdr:row>
      <xdr:rowOff>57978</xdr:rowOff>
    </xdr:from>
    <xdr:to>
      <xdr:col>27</xdr:col>
      <xdr:colOff>199496</xdr:colOff>
      <xdr:row>65</xdr:row>
      <xdr:rowOff>180408</xdr:rowOff>
    </xdr:to>
    <xdr:sp macro="" textlink="">
      <xdr:nvSpPr>
        <xdr:cNvPr id="114" name="Rectangle 113">
          <a:extLst>
            <a:ext uri="{FF2B5EF4-FFF2-40B4-BE49-F238E27FC236}">
              <a16:creationId xmlns:a16="http://schemas.microsoft.com/office/drawing/2014/main" id="{00000000-0008-0000-0700-000072000000}"/>
            </a:ext>
          </a:extLst>
        </xdr:cNvPr>
        <xdr:cNvSpPr/>
      </xdr:nvSpPr>
      <xdr:spPr>
        <a:xfrm>
          <a:off x="15745239" y="12009782"/>
          <a:ext cx="1002909" cy="9341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Prop. Seg.</a:t>
          </a:r>
        </a:p>
        <a:p>
          <a:pPr algn="ctr"/>
          <a:r>
            <a:rPr lang="en-US" sz="900" baseline="0"/>
            <a:t>0...31</a:t>
          </a:r>
        </a:p>
        <a:p>
          <a:pPr algn="ctr"/>
          <a:r>
            <a:rPr lang="en-US" sz="900" baseline="0"/>
            <a:t>CAN0_FDCBT[FPROPSEG]</a:t>
          </a:r>
          <a:endParaRPr lang="en-US" sz="900"/>
        </a:p>
      </xdr:txBody>
    </xdr:sp>
    <xdr:clientData/>
  </xdr:twoCellAnchor>
  <xdr:twoCellAnchor>
    <xdr:from>
      <xdr:col>27</xdr:col>
      <xdr:colOff>231913</xdr:colOff>
      <xdr:row>63</xdr:row>
      <xdr:rowOff>74543</xdr:rowOff>
    </xdr:from>
    <xdr:to>
      <xdr:col>31</xdr:col>
      <xdr:colOff>604631</xdr:colOff>
      <xdr:row>63</xdr:row>
      <xdr:rowOff>74543</xdr:rowOff>
    </xdr:to>
    <xdr:cxnSp macro="">
      <xdr:nvCxnSpPr>
        <xdr:cNvPr id="116" name="Straight Arrow Connector 115">
          <a:extLst>
            <a:ext uri="{FF2B5EF4-FFF2-40B4-BE49-F238E27FC236}">
              <a16:creationId xmlns:a16="http://schemas.microsoft.com/office/drawing/2014/main" id="{00000000-0008-0000-0700-000074000000}"/>
            </a:ext>
          </a:extLst>
        </xdr:cNvPr>
        <xdr:cNvCxnSpPr/>
      </xdr:nvCxnSpPr>
      <xdr:spPr>
        <a:xfrm>
          <a:off x="16780565" y="12432195"/>
          <a:ext cx="282437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438977</xdr:colOff>
      <xdr:row>63</xdr:row>
      <xdr:rowOff>124239</xdr:rowOff>
    </xdr:from>
    <xdr:to>
      <xdr:col>23</xdr:col>
      <xdr:colOff>438977</xdr:colOff>
      <xdr:row>78</xdr:row>
      <xdr:rowOff>140804</xdr:rowOff>
    </xdr:to>
    <xdr:cxnSp macro="">
      <xdr:nvCxnSpPr>
        <xdr:cNvPr id="118" name="Straight Arrow Connector 117">
          <a:extLst>
            <a:ext uri="{FF2B5EF4-FFF2-40B4-BE49-F238E27FC236}">
              <a16:creationId xmlns:a16="http://schemas.microsoft.com/office/drawing/2014/main" id="{00000000-0008-0000-0700-000076000000}"/>
            </a:ext>
          </a:extLst>
        </xdr:cNvPr>
        <xdr:cNvCxnSpPr/>
      </xdr:nvCxnSpPr>
      <xdr:spPr>
        <a:xfrm flipV="1">
          <a:off x="14535977" y="12481891"/>
          <a:ext cx="0" cy="2932043"/>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438978</xdr:colOff>
      <xdr:row>71</xdr:row>
      <xdr:rowOff>132522</xdr:rowOff>
    </xdr:from>
    <xdr:to>
      <xdr:col>25</xdr:col>
      <xdr:colOff>414132</xdr:colOff>
      <xdr:row>71</xdr:row>
      <xdr:rowOff>132522</xdr:rowOff>
    </xdr:to>
    <xdr:cxnSp macro="">
      <xdr:nvCxnSpPr>
        <xdr:cNvPr id="119" name="Straight Arrow Connector 118">
          <a:extLst>
            <a:ext uri="{FF2B5EF4-FFF2-40B4-BE49-F238E27FC236}">
              <a16:creationId xmlns:a16="http://schemas.microsoft.com/office/drawing/2014/main" id="{00000000-0008-0000-0700-000077000000}"/>
            </a:ext>
          </a:extLst>
        </xdr:cNvPr>
        <xdr:cNvCxnSpPr/>
      </xdr:nvCxnSpPr>
      <xdr:spPr>
        <a:xfrm>
          <a:off x="14535978" y="14072152"/>
          <a:ext cx="12009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447262</xdr:colOff>
      <xdr:row>78</xdr:row>
      <xdr:rowOff>140805</xdr:rowOff>
    </xdr:from>
    <xdr:to>
      <xdr:col>25</xdr:col>
      <xdr:colOff>422416</xdr:colOff>
      <xdr:row>78</xdr:row>
      <xdr:rowOff>140805</xdr:rowOff>
    </xdr:to>
    <xdr:cxnSp macro="">
      <xdr:nvCxnSpPr>
        <xdr:cNvPr id="120" name="Straight Arrow Connector 119">
          <a:extLst>
            <a:ext uri="{FF2B5EF4-FFF2-40B4-BE49-F238E27FC236}">
              <a16:creationId xmlns:a16="http://schemas.microsoft.com/office/drawing/2014/main" id="{00000000-0008-0000-0700-000078000000}"/>
            </a:ext>
          </a:extLst>
        </xdr:cNvPr>
        <xdr:cNvCxnSpPr/>
      </xdr:nvCxnSpPr>
      <xdr:spPr>
        <a:xfrm>
          <a:off x="14544262" y="15413935"/>
          <a:ext cx="120098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422413</xdr:colOff>
      <xdr:row>69</xdr:row>
      <xdr:rowOff>16565</xdr:rowOff>
    </xdr:from>
    <xdr:to>
      <xdr:col>27</xdr:col>
      <xdr:colOff>199496</xdr:colOff>
      <xdr:row>73</xdr:row>
      <xdr:rowOff>172126</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15745239" y="13575195"/>
          <a:ext cx="1002909"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Phase Seg. 1</a:t>
          </a:r>
        </a:p>
        <a:p>
          <a:pPr algn="ctr"/>
          <a:r>
            <a:rPr lang="en-US" sz="900" baseline="0"/>
            <a:t>1+(0...7)</a:t>
          </a:r>
        </a:p>
        <a:p>
          <a:pPr algn="ctr"/>
          <a:r>
            <a:rPr lang="en-US" sz="900" baseline="0"/>
            <a:t>CAN0_CBT[FPSEG1]</a:t>
          </a:r>
          <a:endParaRPr lang="en-US" sz="900"/>
        </a:p>
      </xdr:txBody>
    </xdr:sp>
    <xdr:clientData/>
  </xdr:twoCellAnchor>
  <xdr:twoCellAnchor>
    <xdr:from>
      <xdr:col>25</xdr:col>
      <xdr:colOff>430696</xdr:colOff>
      <xdr:row>76</xdr:row>
      <xdr:rowOff>8281</xdr:rowOff>
    </xdr:from>
    <xdr:to>
      <xdr:col>27</xdr:col>
      <xdr:colOff>207779</xdr:colOff>
      <xdr:row>80</xdr:row>
      <xdr:rowOff>172124</xdr:rowOff>
    </xdr:to>
    <xdr:sp macro="" textlink="">
      <xdr:nvSpPr>
        <xdr:cNvPr id="122" name="Rectangle 121">
          <a:extLst>
            <a:ext uri="{FF2B5EF4-FFF2-40B4-BE49-F238E27FC236}">
              <a16:creationId xmlns:a16="http://schemas.microsoft.com/office/drawing/2014/main" id="{00000000-0008-0000-0700-00007A000000}"/>
            </a:ext>
          </a:extLst>
        </xdr:cNvPr>
        <xdr:cNvSpPr/>
      </xdr:nvSpPr>
      <xdr:spPr>
        <a:xfrm>
          <a:off x="15753522" y="14933542"/>
          <a:ext cx="1002909" cy="9258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 FD Phase Seg. 2 </a:t>
          </a:r>
        </a:p>
        <a:p>
          <a:pPr algn="ctr"/>
          <a:r>
            <a:rPr lang="en-US" sz="900" baseline="0"/>
            <a:t>1+(0...7)</a:t>
          </a:r>
        </a:p>
        <a:p>
          <a:pPr algn="ctr"/>
          <a:r>
            <a:rPr lang="en-US" sz="900" baseline="0"/>
            <a:t>CAN0_CBT[FPSEG2]</a:t>
          </a:r>
          <a:endParaRPr lang="en-US" sz="900"/>
        </a:p>
      </xdr:txBody>
    </xdr:sp>
    <xdr:clientData/>
  </xdr:twoCellAnchor>
  <xdr:twoCellAnchor>
    <xdr:from>
      <xdr:col>27</xdr:col>
      <xdr:colOff>228600</xdr:colOff>
      <xdr:row>71</xdr:row>
      <xdr:rowOff>114300</xdr:rowOff>
    </xdr:from>
    <xdr:to>
      <xdr:col>31</xdr:col>
      <xdr:colOff>601318</xdr:colOff>
      <xdr:row>71</xdr:row>
      <xdr:rowOff>114300</xdr:rowOff>
    </xdr:to>
    <xdr:cxnSp macro="">
      <xdr:nvCxnSpPr>
        <xdr:cNvPr id="123" name="Straight Arrow Connector 122">
          <a:extLst>
            <a:ext uri="{FF2B5EF4-FFF2-40B4-BE49-F238E27FC236}">
              <a16:creationId xmlns:a16="http://schemas.microsoft.com/office/drawing/2014/main" id="{00000000-0008-0000-0700-00007B000000}"/>
            </a:ext>
          </a:extLst>
        </xdr:cNvPr>
        <xdr:cNvCxnSpPr/>
      </xdr:nvCxnSpPr>
      <xdr:spPr>
        <a:xfrm>
          <a:off x="16687800" y="14116050"/>
          <a:ext cx="28111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219075</xdr:colOff>
      <xdr:row>78</xdr:row>
      <xdr:rowOff>114300</xdr:rowOff>
    </xdr:from>
    <xdr:to>
      <xdr:col>31</xdr:col>
      <xdr:colOff>591793</xdr:colOff>
      <xdr:row>78</xdr:row>
      <xdr:rowOff>114300</xdr:rowOff>
    </xdr:to>
    <xdr:cxnSp macro="">
      <xdr:nvCxnSpPr>
        <xdr:cNvPr id="124" name="Straight Arrow Connector 123">
          <a:extLst>
            <a:ext uri="{FF2B5EF4-FFF2-40B4-BE49-F238E27FC236}">
              <a16:creationId xmlns:a16="http://schemas.microsoft.com/office/drawing/2014/main" id="{00000000-0008-0000-0700-00007C000000}"/>
            </a:ext>
          </a:extLst>
        </xdr:cNvPr>
        <xdr:cNvCxnSpPr/>
      </xdr:nvCxnSpPr>
      <xdr:spPr>
        <a:xfrm>
          <a:off x="16678275" y="15487650"/>
          <a:ext cx="28111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571501</xdr:colOff>
      <xdr:row>10</xdr:row>
      <xdr:rowOff>3293</xdr:rowOff>
    </xdr:from>
    <xdr:to>
      <xdr:col>34</xdr:col>
      <xdr:colOff>462785</xdr:colOff>
      <xdr:row>81</xdr:row>
      <xdr:rowOff>76202</xdr:rowOff>
    </xdr:to>
    <xdr:grpSp>
      <xdr:nvGrpSpPr>
        <xdr:cNvPr id="127" name="Group 126">
          <a:extLst>
            <a:ext uri="{FF2B5EF4-FFF2-40B4-BE49-F238E27FC236}">
              <a16:creationId xmlns:a16="http://schemas.microsoft.com/office/drawing/2014/main" id="{00000000-0008-0000-0700-00007F000000}"/>
            </a:ext>
          </a:extLst>
        </xdr:cNvPr>
        <xdr:cNvGrpSpPr/>
      </xdr:nvGrpSpPr>
      <xdr:grpSpPr>
        <a:xfrm>
          <a:off x="19469101" y="1805199"/>
          <a:ext cx="1720084" cy="13286885"/>
          <a:chOff x="19469101" y="1917818"/>
          <a:chExt cx="1720084" cy="14112759"/>
        </a:xfrm>
      </xdr:grpSpPr>
      <xdr:grpSp>
        <xdr:nvGrpSpPr>
          <xdr:cNvPr id="94" name="Group 93">
            <a:extLst>
              <a:ext uri="{FF2B5EF4-FFF2-40B4-BE49-F238E27FC236}">
                <a16:creationId xmlns:a16="http://schemas.microsoft.com/office/drawing/2014/main" id="{00000000-0008-0000-0700-00005E000000}"/>
              </a:ext>
            </a:extLst>
          </xdr:cNvPr>
          <xdr:cNvGrpSpPr/>
        </xdr:nvGrpSpPr>
        <xdr:grpSpPr>
          <a:xfrm>
            <a:off x="19469101" y="1917818"/>
            <a:ext cx="1713260" cy="14112759"/>
            <a:chOff x="14411326" y="1908293"/>
            <a:chExt cx="1723199" cy="13917786"/>
          </a:xfrm>
        </xdr:grpSpPr>
        <xdr:grpSp>
          <xdr:nvGrpSpPr>
            <xdr:cNvPr id="22" name="Group 21">
              <a:extLst>
                <a:ext uri="{FF2B5EF4-FFF2-40B4-BE49-F238E27FC236}">
                  <a16:creationId xmlns:a16="http://schemas.microsoft.com/office/drawing/2014/main" id="{00000000-0008-0000-0700-000016000000}"/>
                </a:ext>
              </a:extLst>
            </xdr:cNvPr>
            <xdr:cNvGrpSpPr/>
          </xdr:nvGrpSpPr>
          <xdr:grpSpPr>
            <a:xfrm>
              <a:off x="14411326" y="1908293"/>
              <a:ext cx="1723199" cy="13917786"/>
              <a:chOff x="7880982" y="1581779"/>
              <a:chExt cx="1710025" cy="13583427"/>
            </a:xfrm>
          </xdr:grpSpPr>
          <xdr:grpSp>
            <xdr:nvGrpSpPr>
              <xdr:cNvPr id="23" name="Group 22">
                <a:extLst>
                  <a:ext uri="{FF2B5EF4-FFF2-40B4-BE49-F238E27FC236}">
                    <a16:creationId xmlns:a16="http://schemas.microsoft.com/office/drawing/2014/main" id="{00000000-0008-0000-0700-000017000000}"/>
                  </a:ext>
                </a:extLst>
              </xdr:cNvPr>
              <xdr:cNvGrpSpPr/>
            </xdr:nvGrpSpPr>
            <xdr:grpSpPr>
              <a:xfrm>
                <a:off x="7889201" y="1581779"/>
                <a:ext cx="1701806" cy="13583427"/>
                <a:chOff x="7889201" y="1581779"/>
                <a:chExt cx="1701806" cy="13583427"/>
              </a:xfrm>
            </xdr:grpSpPr>
            <xdr:grpSp>
              <xdr:nvGrpSpPr>
                <xdr:cNvPr id="25" name="Group 24">
                  <a:extLst>
                    <a:ext uri="{FF2B5EF4-FFF2-40B4-BE49-F238E27FC236}">
                      <a16:creationId xmlns:a16="http://schemas.microsoft.com/office/drawing/2014/main" id="{00000000-0008-0000-0700-000019000000}"/>
                    </a:ext>
                  </a:extLst>
                </xdr:cNvPr>
                <xdr:cNvGrpSpPr/>
              </xdr:nvGrpSpPr>
              <xdr:grpSpPr>
                <a:xfrm>
                  <a:off x="7905829" y="1581779"/>
                  <a:ext cx="1685178" cy="13583427"/>
                  <a:chOff x="7939301" y="1572514"/>
                  <a:chExt cx="1693558" cy="13392123"/>
                </a:xfrm>
              </xdr:grpSpPr>
              <xdr:grpSp>
                <xdr:nvGrpSpPr>
                  <xdr:cNvPr id="27" name="Group 26">
                    <a:extLst>
                      <a:ext uri="{FF2B5EF4-FFF2-40B4-BE49-F238E27FC236}">
                        <a16:creationId xmlns:a16="http://schemas.microsoft.com/office/drawing/2014/main" id="{00000000-0008-0000-0700-00001B000000}"/>
                      </a:ext>
                    </a:extLst>
                  </xdr:cNvPr>
                  <xdr:cNvGrpSpPr/>
                </xdr:nvGrpSpPr>
                <xdr:grpSpPr>
                  <a:xfrm>
                    <a:off x="7939301" y="1572514"/>
                    <a:ext cx="1610957" cy="13392123"/>
                    <a:chOff x="7939301" y="1569102"/>
                    <a:chExt cx="1610957" cy="13321670"/>
                  </a:xfrm>
                </xdr:grpSpPr>
                <xdr:grpSp>
                  <xdr:nvGrpSpPr>
                    <xdr:cNvPr id="29" name="Group 28">
                      <a:extLst>
                        <a:ext uri="{FF2B5EF4-FFF2-40B4-BE49-F238E27FC236}">
                          <a16:creationId xmlns:a16="http://schemas.microsoft.com/office/drawing/2014/main" id="{00000000-0008-0000-0700-00001D000000}"/>
                        </a:ext>
                      </a:extLst>
                    </xdr:cNvPr>
                    <xdr:cNvGrpSpPr/>
                  </xdr:nvGrpSpPr>
                  <xdr:grpSpPr>
                    <a:xfrm>
                      <a:off x="7944549" y="1569102"/>
                      <a:ext cx="1605709" cy="13321670"/>
                      <a:chOff x="7944549" y="1565008"/>
                      <a:chExt cx="1605709" cy="13237129"/>
                    </a:xfrm>
                  </xdr:grpSpPr>
                  <xdr:grpSp>
                    <xdr:nvGrpSpPr>
                      <xdr:cNvPr id="35" name="Group 34">
                        <a:extLst>
                          <a:ext uri="{FF2B5EF4-FFF2-40B4-BE49-F238E27FC236}">
                            <a16:creationId xmlns:a16="http://schemas.microsoft.com/office/drawing/2014/main" id="{00000000-0008-0000-0700-000023000000}"/>
                          </a:ext>
                        </a:extLst>
                      </xdr:cNvPr>
                      <xdr:cNvGrpSpPr/>
                    </xdr:nvGrpSpPr>
                    <xdr:grpSpPr>
                      <a:xfrm>
                        <a:off x="7944549" y="1565008"/>
                        <a:ext cx="1605709" cy="13237129"/>
                        <a:chOff x="7737006" y="1520084"/>
                        <a:chExt cx="1602451" cy="13096226"/>
                      </a:xfrm>
                    </xdr:grpSpPr>
                    <xdr:sp macro="" textlink="">
                      <xdr:nvSpPr>
                        <xdr:cNvPr id="38" name="Rectangle 37">
                          <a:extLst>
                            <a:ext uri="{FF2B5EF4-FFF2-40B4-BE49-F238E27FC236}">
                              <a16:creationId xmlns:a16="http://schemas.microsoft.com/office/drawing/2014/main" id="{00000000-0008-0000-0700-000026000000}"/>
                            </a:ext>
                          </a:extLst>
                        </xdr:cNvPr>
                        <xdr:cNvSpPr/>
                      </xdr:nvSpPr>
                      <xdr:spPr>
                        <a:xfrm>
                          <a:off x="7761594" y="1532523"/>
                          <a:ext cx="1577863" cy="130837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3200" baseline="0"/>
                            <a:t>CAN0</a:t>
                          </a:r>
                        </a:p>
                      </xdr:txBody>
                    </xdr:sp>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7737006" y="1520084"/>
                          <a:ext cx="723901"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BIU_CHI</a:t>
                          </a:r>
                        </a:p>
                      </xdr:txBody>
                    </xdr:sp>
                  </xdr:grpSp>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7961981" y="3371403"/>
                        <a:ext cx="1479925" cy="196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Seggment_Nominal</a:t>
                        </a:r>
                      </a:p>
                    </xdr:txBody>
                  </xdr:sp>
                </xdr:grpSp>
                <xdr:sp macro="" textlink="">
                  <xdr:nvSpPr>
                    <xdr:cNvPr id="31" name="TextBox 30">
                      <a:extLst>
                        <a:ext uri="{FF2B5EF4-FFF2-40B4-BE49-F238E27FC236}">
                          <a16:creationId xmlns:a16="http://schemas.microsoft.com/office/drawing/2014/main" id="{00000000-0008-0000-0700-00001F000000}"/>
                        </a:ext>
                      </a:extLst>
                    </xdr:cNvPr>
                    <xdr:cNvSpPr txBox="1"/>
                  </xdr:nvSpPr>
                  <xdr:spPr>
                    <a:xfrm>
                      <a:off x="7945864" y="2295802"/>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1_Nominal</a:t>
                      </a:r>
                    </a:p>
                  </xdr:txBody>
                </xdr:sp>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7939301" y="4784117"/>
                      <a:ext cx="1362532"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a:t>
                      </a:r>
                      <a:r>
                        <a:rPr lang="en-US" sz="600" baseline="0">
                          <a:solidFill>
                            <a:schemeClr val="bg1"/>
                          </a:solidFill>
                        </a:rPr>
                        <a:t> 2_Nominal</a:t>
                      </a:r>
                      <a:endParaRPr lang="en-US" sz="600">
                        <a:solidFill>
                          <a:schemeClr val="bg1"/>
                        </a:solidFill>
                      </a:endParaRPr>
                    </a:p>
                  </xdr:txBody>
                </xdr:sp>
              </xdr:grpSp>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7955256" y="9854735"/>
                    <a:ext cx="1677603" cy="23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2_Extended</a:t>
                    </a:r>
                  </a:p>
                </xdr:txBody>
              </xdr:sp>
            </xdr:grpSp>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7889201" y="8675184"/>
                  <a:ext cx="1504541"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a:t>
                  </a:r>
                  <a:r>
                    <a:rPr lang="en-US" sz="600" baseline="0">
                      <a:solidFill>
                        <a:schemeClr val="bg1"/>
                      </a:solidFill>
                    </a:rPr>
                    <a:t> Segment 1_Extended</a:t>
                  </a:r>
                  <a:endParaRPr lang="en-US" sz="600">
                    <a:solidFill>
                      <a:schemeClr val="bg1"/>
                    </a:solidFill>
                  </a:endParaRPr>
                </a:p>
              </xdr:txBody>
            </xdr:sp>
          </xdr:grpSp>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7880982" y="7089085"/>
                <a:ext cx="1405909"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Segment_Extended</a:t>
                </a:r>
              </a:p>
            </xdr:txBody>
          </xdr:sp>
        </xdr:grpSp>
        <xdr:sp macro="" textlink="">
          <xdr:nvSpPr>
            <xdr:cNvPr id="93" name="TextBox 92">
              <a:extLst>
                <a:ext uri="{FF2B5EF4-FFF2-40B4-BE49-F238E27FC236}">
                  <a16:creationId xmlns:a16="http://schemas.microsoft.com/office/drawing/2014/main" id="{00000000-0008-0000-0700-00005D000000}"/>
                </a:ext>
              </a:extLst>
            </xdr:cNvPr>
            <xdr:cNvSpPr txBox="1"/>
          </xdr:nvSpPr>
          <xdr:spPr>
            <a:xfrm>
              <a:off x="14453152" y="12216204"/>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Segment_FD</a:t>
              </a:r>
            </a:p>
          </xdr:txBody>
        </xdr:sp>
      </xdr:grpSp>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19497676" y="14005043"/>
            <a:ext cx="1408569" cy="24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1_FD</a:t>
            </a:r>
          </a:p>
        </xdr:txBody>
      </xdr:sp>
      <xdr:sp macro="" textlink="">
        <xdr:nvSpPr>
          <xdr:cNvPr id="126" name="TextBox 125">
            <a:extLst>
              <a:ext uri="{FF2B5EF4-FFF2-40B4-BE49-F238E27FC236}">
                <a16:creationId xmlns:a16="http://schemas.microsoft.com/office/drawing/2014/main" id="{00000000-0008-0000-0700-00007E000000}"/>
              </a:ext>
            </a:extLst>
          </xdr:cNvPr>
          <xdr:cNvSpPr txBox="1"/>
        </xdr:nvSpPr>
        <xdr:spPr>
          <a:xfrm>
            <a:off x="19516726" y="15376643"/>
            <a:ext cx="167245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Phase Segment 2_FD</a:t>
            </a:r>
          </a:p>
        </xdr:txBody>
      </xdr:sp>
    </xdr:grpSp>
    <xdr:clientData/>
  </xdr:twoCellAnchor>
  <xdr:oneCellAnchor>
    <xdr:from>
      <xdr:col>35</xdr:col>
      <xdr:colOff>481853</xdr:colOff>
      <xdr:row>5</xdr:row>
      <xdr:rowOff>112058</xdr:rowOff>
    </xdr:from>
    <xdr:ext cx="3496234" cy="708213"/>
    <xdr:sp macro="" textlink="">
      <xdr:nvSpPr>
        <xdr:cNvPr id="129" name="TextBox 128">
          <a:extLst>
            <a:ext uri="{FF2B5EF4-FFF2-40B4-BE49-F238E27FC236}">
              <a16:creationId xmlns:a16="http://schemas.microsoft.com/office/drawing/2014/main" id="{00000000-0008-0000-0700-000081000000}"/>
            </a:ext>
          </a:extLst>
        </xdr:cNvPr>
        <xdr:cNvSpPr txBox="1"/>
      </xdr:nvSpPr>
      <xdr:spPr>
        <a:xfrm>
          <a:off x="21660971" y="1064558"/>
          <a:ext cx="3496234" cy="708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CAN0 Arbitration Phase Bit Time Segments (in ns)</a:t>
          </a:r>
        </a:p>
      </xdr:txBody>
    </xdr:sp>
    <xdr:clientData/>
  </xdr:oneCellAnchor>
  <xdr:oneCellAnchor>
    <xdr:from>
      <xdr:col>38</xdr:col>
      <xdr:colOff>657503</xdr:colOff>
      <xdr:row>12</xdr:row>
      <xdr:rowOff>22414</xdr:rowOff>
    </xdr:from>
    <xdr:ext cx="419101" cy="1221442"/>
    <xdr:sp macro="" textlink="">
      <xdr:nvSpPr>
        <xdr:cNvPr id="130" name="TextBox 129">
          <a:extLst>
            <a:ext uri="{FF2B5EF4-FFF2-40B4-BE49-F238E27FC236}">
              <a16:creationId xmlns:a16="http://schemas.microsoft.com/office/drawing/2014/main" id="{00000000-0008-0000-0700-000082000000}"/>
            </a:ext>
          </a:extLst>
        </xdr:cNvPr>
        <xdr:cNvSpPr txBox="1"/>
      </xdr:nvSpPr>
      <xdr:spPr>
        <a:xfrm rot="5400000">
          <a:off x="22074186" y="2754408"/>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39</xdr:col>
      <xdr:colOff>33618</xdr:colOff>
      <xdr:row>27</xdr:row>
      <xdr:rowOff>145677</xdr:rowOff>
    </xdr:from>
    <xdr:ext cx="419101" cy="2353237"/>
    <xdr:sp macro="" textlink="">
      <xdr:nvSpPr>
        <xdr:cNvPr id="131" name="TextBox 130">
          <a:extLst>
            <a:ext uri="{FF2B5EF4-FFF2-40B4-BE49-F238E27FC236}">
              <a16:creationId xmlns:a16="http://schemas.microsoft.com/office/drawing/2014/main" id="{00000000-0008-0000-0700-000083000000}"/>
            </a:ext>
          </a:extLst>
        </xdr:cNvPr>
        <xdr:cNvSpPr txBox="1"/>
      </xdr:nvSpPr>
      <xdr:spPr>
        <a:xfrm rot="5400000">
          <a:off x="21579168" y="6457951"/>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39</xdr:col>
      <xdr:colOff>95250</xdr:colOff>
      <xdr:row>52</xdr:row>
      <xdr:rowOff>136071</xdr:rowOff>
    </xdr:from>
    <xdr:ext cx="419101" cy="2353237"/>
    <xdr:sp macro="" textlink="">
      <xdr:nvSpPr>
        <xdr:cNvPr id="132" name="TextBox 131">
          <a:extLst>
            <a:ext uri="{FF2B5EF4-FFF2-40B4-BE49-F238E27FC236}">
              <a16:creationId xmlns:a16="http://schemas.microsoft.com/office/drawing/2014/main" id="{00000000-0008-0000-0700-000084000000}"/>
            </a:ext>
          </a:extLst>
        </xdr:cNvPr>
        <xdr:cNvSpPr txBox="1"/>
      </xdr:nvSpPr>
      <xdr:spPr>
        <a:xfrm rot="5400000">
          <a:off x="23158396" y="11362925"/>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oneCellAnchor>
    <xdr:from>
      <xdr:col>39</xdr:col>
      <xdr:colOff>95250</xdr:colOff>
      <xdr:row>69</xdr:row>
      <xdr:rowOff>122464</xdr:rowOff>
    </xdr:from>
    <xdr:ext cx="419101" cy="2353237"/>
    <xdr:sp macro="" textlink="">
      <xdr:nvSpPr>
        <xdr:cNvPr id="133" name="TextBox 132">
          <a:extLst>
            <a:ext uri="{FF2B5EF4-FFF2-40B4-BE49-F238E27FC236}">
              <a16:creationId xmlns:a16="http://schemas.microsoft.com/office/drawing/2014/main" id="{00000000-0008-0000-0700-000085000000}"/>
            </a:ext>
          </a:extLst>
        </xdr:cNvPr>
        <xdr:cNvSpPr txBox="1"/>
      </xdr:nvSpPr>
      <xdr:spPr>
        <a:xfrm rot="5400000">
          <a:off x="23158396" y="14723889"/>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36</xdr:col>
      <xdr:colOff>367393</xdr:colOff>
      <xdr:row>20</xdr:row>
      <xdr:rowOff>54429</xdr:rowOff>
    </xdr:from>
    <xdr:to>
      <xdr:col>37</xdr:col>
      <xdr:colOff>394607</xdr:colOff>
      <xdr:row>68</xdr:row>
      <xdr:rowOff>108857</xdr:rowOff>
    </xdr:to>
    <xdr:sp macro="" textlink="">
      <xdr:nvSpPr>
        <xdr:cNvPr id="135" name="Left Brace 134">
          <a:extLst>
            <a:ext uri="{FF2B5EF4-FFF2-40B4-BE49-F238E27FC236}">
              <a16:creationId xmlns:a16="http://schemas.microsoft.com/office/drawing/2014/main" id="{00000000-0008-0000-0700-000087000000}"/>
            </a:ext>
          </a:extLst>
        </xdr:cNvPr>
        <xdr:cNvSpPr/>
      </xdr:nvSpPr>
      <xdr:spPr>
        <a:xfrm>
          <a:off x="22438179" y="3973286"/>
          <a:ext cx="625928" cy="9579428"/>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twoCellAnchor>
    <xdr:from>
      <xdr:col>36</xdr:col>
      <xdr:colOff>435429</xdr:colOff>
      <xdr:row>69</xdr:row>
      <xdr:rowOff>27215</xdr:rowOff>
    </xdr:from>
    <xdr:to>
      <xdr:col>37</xdr:col>
      <xdr:colOff>394608</xdr:colOff>
      <xdr:row>80</xdr:row>
      <xdr:rowOff>190500</xdr:rowOff>
    </xdr:to>
    <xdr:sp macro="" textlink="">
      <xdr:nvSpPr>
        <xdr:cNvPr id="136" name="Left Brace 135">
          <a:extLst>
            <a:ext uri="{FF2B5EF4-FFF2-40B4-BE49-F238E27FC236}">
              <a16:creationId xmlns:a16="http://schemas.microsoft.com/office/drawing/2014/main" id="{00000000-0008-0000-0700-000088000000}"/>
            </a:ext>
          </a:extLst>
        </xdr:cNvPr>
        <xdr:cNvSpPr/>
      </xdr:nvSpPr>
      <xdr:spPr>
        <a:xfrm>
          <a:off x="22506215" y="13661572"/>
          <a:ext cx="557893" cy="2299607"/>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408214</xdr:colOff>
      <xdr:row>36</xdr:row>
      <xdr:rowOff>122463</xdr:rowOff>
    </xdr:from>
    <xdr:ext cx="595995" cy="3006379"/>
    <xdr:sp macro="" textlink="">
      <xdr:nvSpPr>
        <xdr:cNvPr id="137" name="TextBox 136">
          <a:extLst>
            <a:ext uri="{FF2B5EF4-FFF2-40B4-BE49-F238E27FC236}">
              <a16:creationId xmlns:a16="http://schemas.microsoft.com/office/drawing/2014/main" id="{00000000-0008-0000-0700-000089000000}"/>
            </a:ext>
          </a:extLst>
        </xdr:cNvPr>
        <xdr:cNvSpPr txBox="1"/>
      </xdr:nvSpPr>
      <xdr:spPr>
        <a:xfrm rot="16200000">
          <a:off x="20634272" y="8403369"/>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oneCellAnchor>
    <xdr:from>
      <xdr:col>35</xdr:col>
      <xdr:colOff>381000</xdr:colOff>
      <xdr:row>67</xdr:row>
      <xdr:rowOff>40822</xdr:rowOff>
    </xdr:from>
    <xdr:ext cx="595995" cy="3006379"/>
    <xdr:sp macro="" textlink="">
      <xdr:nvSpPr>
        <xdr:cNvPr id="138" name="TextBox 137">
          <a:extLst>
            <a:ext uri="{FF2B5EF4-FFF2-40B4-BE49-F238E27FC236}">
              <a16:creationId xmlns:a16="http://schemas.microsoft.com/office/drawing/2014/main" id="{00000000-0008-0000-0700-00008A000000}"/>
            </a:ext>
          </a:extLst>
        </xdr:cNvPr>
        <xdr:cNvSpPr txBox="1"/>
      </xdr:nvSpPr>
      <xdr:spPr>
        <a:xfrm rot="16200000">
          <a:off x="20607058" y="14485764"/>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oneCellAnchor>
    <xdr:from>
      <xdr:col>1</xdr:col>
      <xdr:colOff>180976</xdr:colOff>
      <xdr:row>107</xdr:row>
      <xdr:rowOff>95250</xdr:rowOff>
    </xdr:from>
    <xdr:ext cx="1066800" cy="419101"/>
    <xdr:sp macro="" textlink="">
      <xdr:nvSpPr>
        <xdr:cNvPr id="140" name="TextBox 139">
          <a:hlinkClick xmlns:r="http://schemas.openxmlformats.org/officeDocument/2006/relationships" r:id="rId1"/>
          <a:extLst>
            <a:ext uri="{FF2B5EF4-FFF2-40B4-BE49-F238E27FC236}">
              <a16:creationId xmlns:a16="http://schemas.microsoft.com/office/drawing/2014/main" id="{00000000-0008-0000-0700-00008C000000}"/>
            </a:ext>
          </a:extLst>
        </xdr:cNvPr>
        <xdr:cNvSpPr txBox="1"/>
      </xdr:nvSpPr>
      <xdr:spPr>
        <a:xfrm>
          <a:off x="786094" y="1809750"/>
          <a:ext cx="106680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CANx BIU</a:t>
          </a:r>
          <a:r>
            <a:rPr lang="en-US" sz="1000" b="1" baseline="0"/>
            <a:t> Clock</a:t>
          </a:r>
          <a:endParaRPr lang="en-US" sz="1000" b="1"/>
        </a:p>
      </xdr:txBody>
    </xdr:sp>
    <xdr:clientData/>
  </xdr:oneCellAnchor>
  <xdr:twoCellAnchor>
    <xdr:from>
      <xdr:col>4</xdr:col>
      <xdr:colOff>1068</xdr:colOff>
      <xdr:row>108</xdr:row>
      <xdr:rowOff>104775</xdr:rowOff>
    </xdr:from>
    <xdr:to>
      <xdr:col>32</xdr:col>
      <xdr:colOff>0</xdr:colOff>
      <xdr:row>108</xdr:row>
      <xdr:rowOff>104775</xdr:rowOff>
    </xdr:to>
    <xdr:cxnSp macro="">
      <xdr:nvCxnSpPr>
        <xdr:cNvPr id="141" name="Straight Arrow Connector 140">
          <a:extLst>
            <a:ext uri="{FF2B5EF4-FFF2-40B4-BE49-F238E27FC236}">
              <a16:creationId xmlns:a16="http://schemas.microsoft.com/office/drawing/2014/main" id="{00000000-0008-0000-0700-00008D000000}"/>
            </a:ext>
          </a:extLst>
        </xdr:cNvPr>
        <xdr:cNvCxnSpPr/>
      </xdr:nvCxnSpPr>
      <xdr:spPr>
        <a:xfrm>
          <a:off x="2421539" y="2020981"/>
          <a:ext cx="1694222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xdr:col>
      <xdr:colOff>238126</xdr:colOff>
      <xdr:row>117</xdr:row>
      <xdr:rowOff>66675</xdr:rowOff>
    </xdr:from>
    <xdr:ext cx="1009650" cy="419101"/>
    <xdr:sp macro="" textlink="">
      <xdr:nvSpPr>
        <xdr:cNvPr id="142" name="TextBox 141">
          <a:hlinkClick xmlns:r="http://schemas.openxmlformats.org/officeDocument/2006/relationships" r:id="rId2"/>
          <a:extLst>
            <a:ext uri="{FF2B5EF4-FFF2-40B4-BE49-F238E27FC236}">
              <a16:creationId xmlns:a16="http://schemas.microsoft.com/office/drawing/2014/main" id="{00000000-0008-0000-0700-00008E000000}"/>
            </a:ext>
          </a:extLst>
        </xdr:cNvPr>
        <xdr:cNvSpPr txBox="1"/>
      </xdr:nvSpPr>
      <xdr:spPr>
        <a:xfrm>
          <a:off x="843244" y="3787028"/>
          <a:ext cx="100965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r"/>
          <a:r>
            <a:rPr lang="en-US" sz="1000" b="1"/>
            <a:t>CAN0 PE Clock</a:t>
          </a:r>
        </a:p>
      </xdr:txBody>
    </xdr:sp>
    <xdr:clientData/>
  </xdr:oneCellAnchor>
  <xdr:twoCellAnchor>
    <xdr:from>
      <xdr:col>4</xdr:col>
      <xdr:colOff>0</xdr:colOff>
      <xdr:row>118</xdr:row>
      <xdr:rowOff>114300</xdr:rowOff>
    </xdr:from>
    <xdr:to>
      <xdr:col>7</xdr:col>
      <xdr:colOff>409575</xdr:colOff>
      <xdr:row>118</xdr:row>
      <xdr:rowOff>114300</xdr:rowOff>
    </xdr:to>
    <xdr:cxnSp macro="">
      <xdr:nvCxnSpPr>
        <xdr:cNvPr id="143" name="Straight Arrow Connector 142">
          <a:extLst>
            <a:ext uri="{FF2B5EF4-FFF2-40B4-BE49-F238E27FC236}">
              <a16:creationId xmlns:a16="http://schemas.microsoft.com/office/drawing/2014/main" id="{00000000-0008-0000-0700-00008F000000}"/>
            </a:ext>
          </a:extLst>
        </xdr:cNvPr>
        <xdr:cNvCxnSpPr/>
      </xdr:nvCxnSpPr>
      <xdr:spPr>
        <a:xfrm>
          <a:off x="2420471" y="4047565"/>
          <a:ext cx="222492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419100</xdr:colOff>
      <xdr:row>116</xdr:row>
      <xdr:rowOff>66675</xdr:rowOff>
    </xdr:from>
    <xdr:to>
      <xdr:col>9</xdr:col>
      <xdr:colOff>196183</xdr:colOff>
      <xdr:row>120</xdr:row>
      <xdr:rowOff>172540</xdr:rowOff>
    </xdr:to>
    <xdr:sp macro="" textlink="">
      <xdr:nvSpPr>
        <xdr:cNvPr id="144" name="Rectangle 143">
          <a:extLst>
            <a:ext uri="{FF2B5EF4-FFF2-40B4-BE49-F238E27FC236}">
              <a16:creationId xmlns:a16="http://schemas.microsoft.com/office/drawing/2014/main" id="{00000000-0008-0000-0700-000090000000}"/>
            </a:ext>
          </a:extLst>
        </xdr:cNvPr>
        <xdr:cNvSpPr/>
      </xdr:nvSpPr>
      <xdr:spPr>
        <a:xfrm>
          <a:off x="4654924" y="3585322"/>
          <a:ext cx="987318" cy="935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Sclock Prescaler</a:t>
          </a:r>
        </a:p>
        <a:p>
          <a:pPr algn="ctr"/>
          <a:r>
            <a:rPr lang="en-US" sz="900" baseline="0"/>
            <a:t>/(1+(0...255))</a:t>
          </a:r>
        </a:p>
        <a:p>
          <a:pPr algn="ctr"/>
          <a:r>
            <a:rPr lang="en-US" sz="900" baseline="0"/>
            <a:t>CANx_CTRL1[PRESDIV]</a:t>
          </a:r>
          <a:endParaRPr lang="en-US" sz="900"/>
        </a:p>
      </xdr:txBody>
    </xdr:sp>
    <xdr:clientData/>
  </xdr:twoCellAnchor>
  <xdr:twoCellAnchor>
    <xdr:from>
      <xdr:col>9</xdr:col>
      <xdr:colOff>219075</xdr:colOff>
      <xdr:row>118</xdr:row>
      <xdr:rowOff>38100</xdr:rowOff>
    </xdr:from>
    <xdr:to>
      <xdr:col>11</xdr:col>
      <xdr:colOff>390525</xdr:colOff>
      <xdr:row>118</xdr:row>
      <xdr:rowOff>38100</xdr:rowOff>
    </xdr:to>
    <xdr:cxnSp macro="">
      <xdr:nvCxnSpPr>
        <xdr:cNvPr id="145" name="Straight Arrow Connector 144">
          <a:extLst>
            <a:ext uri="{FF2B5EF4-FFF2-40B4-BE49-F238E27FC236}">
              <a16:creationId xmlns:a16="http://schemas.microsoft.com/office/drawing/2014/main" id="{00000000-0008-0000-0700-000091000000}"/>
            </a:ext>
          </a:extLst>
        </xdr:cNvPr>
        <xdr:cNvCxnSpPr/>
      </xdr:nvCxnSpPr>
      <xdr:spPr>
        <a:xfrm>
          <a:off x="5665134" y="3971365"/>
          <a:ext cx="138168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409575</xdr:colOff>
      <xdr:row>116</xdr:row>
      <xdr:rowOff>57150</xdr:rowOff>
    </xdr:from>
    <xdr:to>
      <xdr:col>13</xdr:col>
      <xdr:colOff>186658</xdr:colOff>
      <xdr:row>120</xdr:row>
      <xdr:rowOff>163015</xdr:rowOff>
    </xdr:to>
    <xdr:sp macro="" textlink="">
      <xdr:nvSpPr>
        <xdr:cNvPr id="146" name="Rectangle 145">
          <a:extLst>
            <a:ext uri="{FF2B5EF4-FFF2-40B4-BE49-F238E27FC236}">
              <a16:creationId xmlns:a16="http://schemas.microsoft.com/office/drawing/2014/main" id="{00000000-0008-0000-0700-000092000000}"/>
            </a:ext>
          </a:extLst>
        </xdr:cNvPr>
        <xdr:cNvSpPr/>
      </xdr:nvSpPr>
      <xdr:spPr>
        <a:xfrm>
          <a:off x="7065869" y="3575797"/>
          <a:ext cx="987318" cy="935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Jump Width</a:t>
          </a:r>
        </a:p>
        <a:p>
          <a:pPr algn="ctr"/>
          <a:r>
            <a:rPr lang="en-US" sz="900" baseline="0"/>
            <a:t>1+(0...3)</a:t>
          </a:r>
        </a:p>
        <a:p>
          <a:pPr algn="ctr"/>
          <a:r>
            <a:rPr lang="en-US" sz="900" baseline="0"/>
            <a:t>CANx_CTRL1[RJW]</a:t>
          </a:r>
          <a:endParaRPr lang="en-US" sz="900"/>
        </a:p>
      </xdr:txBody>
    </xdr:sp>
    <xdr:clientData/>
  </xdr:twoCellAnchor>
  <xdr:twoCellAnchor>
    <xdr:from>
      <xdr:col>13</xdr:col>
      <xdr:colOff>200025</xdr:colOff>
      <xdr:row>118</xdr:row>
      <xdr:rowOff>28575</xdr:rowOff>
    </xdr:from>
    <xdr:to>
      <xdr:col>15</xdr:col>
      <xdr:colOff>361950</xdr:colOff>
      <xdr:row>118</xdr:row>
      <xdr:rowOff>28575</xdr:rowOff>
    </xdr:to>
    <xdr:cxnSp macro="">
      <xdr:nvCxnSpPr>
        <xdr:cNvPr id="147" name="Straight Arrow Connector 146">
          <a:extLst>
            <a:ext uri="{FF2B5EF4-FFF2-40B4-BE49-F238E27FC236}">
              <a16:creationId xmlns:a16="http://schemas.microsoft.com/office/drawing/2014/main" id="{00000000-0008-0000-0700-000093000000}"/>
            </a:ext>
          </a:extLst>
        </xdr:cNvPr>
        <xdr:cNvCxnSpPr/>
      </xdr:nvCxnSpPr>
      <xdr:spPr>
        <a:xfrm>
          <a:off x="8066554" y="3961840"/>
          <a:ext cx="137216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9</xdr:col>
      <xdr:colOff>400050</xdr:colOff>
      <xdr:row>115</xdr:row>
      <xdr:rowOff>66675</xdr:rowOff>
    </xdr:from>
    <xdr:ext cx="1009650" cy="419101"/>
    <xdr:sp macro="" textlink="">
      <xdr:nvSpPr>
        <xdr:cNvPr id="148" name="TextBox 147">
          <a:extLst>
            <a:ext uri="{FF2B5EF4-FFF2-40B4-BE49-F238E27FC236}">
              <a16:creationId xmlns:a16="http://schemas.microsoft.com/office/drawing/2014/main" id="{00000000-0008-0000-0700-000094000000}"/>
            </a:ext>
          </a:extLst>
        </xdr:cNvPr>
        <xdr:cNvSpPr txBox="1"/>
      </xdr:nvSpPr>
      <xdr:spPr>
        <a:xfrm>
          <a:off x="5846109" y="3383616"/>
          <a:ext cx="1009650"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CANx Sclock</a:t>
          </a:r>
        </a:p>
      </xdr:txBody>
    </xdr:sp>
    <xdr:clientData/>
  </xdr:oneCellAnchor>
  <xdr:twoCellAnchor>
    <xdr:from>
      <xdr:col>15</xdr:col>
      <xdr:colOff>381000</xdr:colOff>
      <xdr:row>116</xdr:row>
      <xdr:rowOff>57150</xdr:rowOff>
    </xdr:from>
    <xdr:to>
      <xdr:col>17</xdr:col>
      <xdr:colOff>158083</xdr:colOff>
      <xdr:row>120</xdr:row>
      <xdr:rowOff>163015</xdr:rowOff>
    </xdr:to>
    <xdr:sp macro="" textlink="">
      <xdr:nvSpPr>
        <xdr:cNvPr id="149" name="Rectangle 148">
          <a:extLst>
            <a:ext uri="{FF2B5EF4-FFF2-40B4-BE49-F238E27FC236}">
              <a16:creationId xmlns:a16="http://schemas.microsoft.com/office/drawing/2014/main" id="{00000000-0008-0000-0700-000095000000}"/>
            </a:ext>
          </a:extLst>
        </xdr:cNvPr>
        <xdr:cNvSpPr/>
      </xdr:nvSpPr>
      <xdr:spPr>
        <a:xfrm>
          <a:off x="9457765" y="3575797"/>
          <a:ext cx="987318" cy="935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Prop. Seg.</a:t>
          </a:r>
        </a:p>
        <a:p>
          <a:pPr algn="ctr"/>
          <a:r>
            <a:rPr lang="en-US" sz="900" baseline="0"/>
            <a:t>1+(0...7)</a:t>
          </a:r>
        </a:p>
        <a:p>
          <a:pPr algn="ctr"/>
          <a:r>
            <a:rPr lang="en-US" sz="900" baseline="0"/>
            <a:t>CANx_CTRL1[PROPSEG]</a:t>
          </a:r>
          <a:endParaRPr lang="en-US" sz="900"/>
        </a:p>
      </xdr:txBody>
    </xdr:sp>
    <xdr:clientData/>
  </xdr:twoCellAnchor>
  <xdr:twoCellAnchor>
    <xdr:from>
      <xdr:col>17</xdr:col>
      <xdr:colOff>180975</xdr:colOff>
      <xdr:row>118</xdr:row>
      <xdr:rowOff>28575</xdr:rowOff>
    </xdr:from>
    <xdr:to>
      <xdr:col>31</xdr:col>
      <xdr:colOff>600075</xdr:colOff>
      <xdr:row>118</xdr:row>
      <xdr:rowOff>28575</xdr:rowOff>
    </xdr:to>
    <xdr:cxnSp macro="">
      <xdr:nvCxnSpPr>
        <xdr:cNvPr id="150" name="Straight Arrow Connector 149">
          <a:extLst>
            <a:ext uri="{FF2B5EF4-FFF2-40B4-BE49-F238E27FC236}">
              <a16:creationId xmlns:a16="http://schemas.microsoft.com/office/drawing/2014/main" id="{00000000-0008-0000-0700-000096000000}"/>
            </a:ext>
          </a:extLst>
        </xdr:cNvPr>
        <xdr:cNvCxnSpPr/>
      </xdr:nvCxnSpPr>
      <xdr:spPr>
        <a:xfrm>
          <a:off x="10467975" y="3961840"/>
          <a:ext cx="889074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400050</xdr:colOff>
      <xdr:row>109</xdr:row>
      <xdr:rowOff>39414</xdr:rowOff>
    </xdr:from>
    <xdr:to>
      <xdr:col>17</xdr:col>
      <xdr:colOff>177133</xdr:colOff>
      <xdr:row>113</xdr:row>
      <xdr:rowOff>192904</xdr:rowOff>
    </xdr:to>
    <xdr:sp macro="" textlink="">
      <xdr:nvSpPr>
        <xdr:cNvPr id="151" name="Rectangle 150">
          <a:extLst>
            <a:ext uri="{FF2B5EF4-FFF2-40B4-BE49-F238E27FC236}">
              <a16:creationId xmlns:a16="http://schemas.microsoft.com/office/drawing/2014/main" id="{00000000-0008-0000-0700-000097000000}"/>
            </a:ext>
          </a:extLst>
        </xdr:cNvPr>
        <xdr:cNvSpPr/>
      </xdr:nvSpPr>
      <xdr:spPr>
        <a:xfrm>
          <a:off x="9476815" y="2168532"/>
          <a:ext cx="987318" cy="92669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Phase</a:t>
          </a:r>
          <a:r>
            <a:rPr lang="en-US" sz="1100" baseline="0"/>
            <a:t> </a:t>
          </a:r>
          <a:r>
            <a:rPr lang="en-US" sz="1100"/>
            <a:t> Seg.</a:t>
          </a:r>
          <a:r>
            <a:rPr lang="en-US" sz="1100" baseline="0"/>
            <a:t> 1</a:t>
          </a:r>
          <a:endParaRPr lang="en-US" sz="1100"/>
        </a:p>
        <a:p>
          <a:pPr algn="ctr"/>
          <a:r>
            <a:rPr lang="en-US" sz="900" baseline="0"/>
            <a:t>1+(0...7)</a:t>
          </a:r>
        </a:p>
        <a:p>
          <a:pPr algn="ctr"/>
          <a:r>
            <a:rPr lang="en-US" sz="900" baseline="0"/>
            <a:t>CANx_CTRL1[PSEG1]</a:t>
          </a:r>
          <a:endParaRPr lang="en-US" sz="900"/>
        </a:p>
      </xdr:txBody>
    </xdr:sp>
    <xdr:clientData/>
  </xdr:twoCellAnchor>
  <xdr:twoCellAnchor>
    <xdr:from>
      <xdr:col>17</xdr:col>
      <xdr:colOff>203638</xdr:colOff>
      <xdr:row>112</xdr:row>
      <xdr:rowOff>65689</xdr:rowOff>
    </xdr:from>
    <xdr:to>
      <xdr:col>32</xdr:col>
      <xdr:colOff>9525</xdr:colOff>
      <xdr:row>112</xdr:row>
      <xdr:rowOff>65689</xdr:rowOff>
    </xdr:to>
    <xdr:cxnSp macro="">
      <xdr:nvCxnSpPr>
        <xdr:cNvPr id="152" name="Straight Arrow Connector 151">
          <a:extLst>
            <a:ext uri="{FF2B5EF4-FFF2-40B4-BE49-F238E27FC236}">
              <a16:creationId xmlns:a16="http://schemas.microsoft.com/office/drawing/2014/main" id="{00000000-0008-0000-0700-000098000000}"/>
            </a:ext>
          </a:extLst>
        </xdr:cNvPr>
        <xdr:cNvCxnSpPr/>
      </xdr:nvCxnSpPr>
      <xdr:spPr>
        <a:xfrm>
          <a:off x="10490638" y="2777513"/>
          <a:ext cx="8882652"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308741</xdr:colOff>
      <xdr:row>111</xdr:row>
      <xdr:rowOff>118241</xdr:rowOff>
    </xdr:from>
    <xdr:to>
      <xdr:col>15</xdr:col>
      <xdr:colOff>391839</xdr:colOff>
      <xdr:row>111</xdr:row>
      <xdr:rowOff>118241</xdr:rowOff>
    </xdr:to>
    <xdr:cxnSp macro="">
      <xdr:nvCxnSpPr>
        <xdr:cNvPr id="153" name="Straight Arrow Connector 152">
          <a:extLst>
            <a:ext uri="{FF2B5EF4-FFF2-40B4-BE49-F238E27FC236}">
              <a16:creationId xmlns:a16="http://schemas.microsoft.com/office/drawing/2014/main" id="{00000000-0008-0000-0700-000099000000}"/>
            </a:ext>
          </a:extLst>
        </xdr:cNvPr>
        <xdr:cNvCxnSpPr/>
      </xdr:nvCxnSpPr>
      <xdr:spPr>
        <a:xfrm>
          <a:off x="8780388" y="2639565"/>
          <a:ext cx="68821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308742</xdr:colOff>
      <xdr:row>111</xdr:row>
      <xdr:rowOff>111676</xdr:rowOff>
    </xdr:from>
    <xdr:to>
      <xdr:col>14</xdr:col>
      <xdr:colOff>308742</xdr:colOff>
      <xdr:row>125</xdr:row>
      <xdr:rowOff>78828</xdr:rowOff>
    </xdr:to>
    <xdr:cxnSp macro="">
      <xdr:nvCxnSpPr>
        <xdr:cNvPr id="154" name="Straight Arrow Connector 153">
          <a:extLst>
            <a:ext uri="{FF2B5EF4-FFF2-40B4-BE49-F238E27FC236}">
              <a16:creationId xmlns:a16="http://schemas.microsoft.com/office/drawing/2014/main" id="{00000000-0008-0000-0700-00009A000000}"/>
            </a:ext>
          </a:extLst>
        </xdr:cNvPr>
        <xdr:cNvCxnSpPr/>
      </xdr:nvCxnSpPr>
      <xdr:spPr>
        <a:xfrm flipV="1">
          <a:off x="8780389" y="2633000"/>
          <a:ext cx="0" cy="279103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400707</xdr:colOff>
      <xdr:row>123</xdr:row>
      <xdr:rowOff>13138</xdr:rowOff>
    </xdr:from>
    <xdr:to>
      <xdr:col>17</xdr:col>
      <xdr:colOff>177790</xdr:colOff>
      <xdr:row>127</xdr:row>
      <xdr:rowOff>173197</xdr:rowOff>
    </xdr:to>
    <xdr:sp macro="" textlink="">
      <xdr:nvSpPr>
        <xdr:cNvPr id="155" name="Rectangle 154">
          <a:extLst>
            <a:ext uri="{FF2B5EF4-FFF2-40B4-BE49-F238E27FC236}">
              <a16:creationId xmlns:a16="http://schemas.microsoft.com/office/drawing/2014/main" id="{00000000-0008-0000-0700-00009B000000}"/>
            </a:ext>
          </a:extLst>
        </xdr:cNvPr>
        <xdr:cNvSpPr/>
      </xdr:nvSpPr>
      <xdr:spPr>
        <a:xfrm>
          <a:off x="9477472" y="4977344"/>
          <a:ext cx="987318" cy="9220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Phase</a:t>
          </a:r>
          <a:r>
            <a:rPr lang="en-US" sz="1100" baseline="0"/>
            <a:t> </a:t>
          </a:r>
          <a:r>
            <a:rPr lang="en-US" sz="1100"/>
            <a:t> Seg. 2</a:t>
          </a:r>
        </a:p>
        <a:p>
          <a:pPr algn="ctr"/>
          <a:r>
            <a:rPr lang="en-US" sz="900" baseline="0"/>
            <a:t>1+(0...7)</a:t>
          </a:r>
        </a:p>
        <a:p>
          <a:pPr algn="ctr"/>
          <a:r>
            <a:rPr lang="en-US" sz="900" baseline="0"/>
            <a:t>CANx_CTRL1[PSEG2]</a:t>
          </a:r>
          <a:endParaRPr lang="en-US" sz="900"/>
        </a:p>
      </xdr:txBody>
    </xdr:sp>
    <xdr:clientData/>
  </xdr:twoCellAnchor>
  <xdr:twoCellAnchor>
    <xdr:from>
      <xdr:col>14</xdr:col>
      <xdr:colOff>295604</xdr:colOff>
      <xdr:row>125</xdr:row>
      <xdr:rowOff>85397</xdr:rowOff>
    </xdr:from>
    <xdr:to>
      <xdr:col>15</xdr:col>
      <xdr:colOff>372132</xdr:colOff>
      <xdr:row>125</xdr:row>
      <xdr:rowOff>85397</xdr:rowOff>
    </xdr:to>
    <xdr:cxnSp macro="">
      <xdr:nvCxnSpPr>
        <xdr:cNvPr id="156" name="Straight Arrow Connector 155">
          <a:extLst>
            <a:ext uri="{FF2B5EF4-FFF2-40B4-BE49-F238E27FC236}">
              <a16:creationId xmlns:a16="http://schemas.microsoft.com/office/drawing/2014/main" id="{00000000-0008-0000-0700-00009C000000}"/>
            </a:ext>
          </a:extLst>
        </xdr:cNvPr>
        <xdr:cNvCxnSpPr/>
      </xdr:nvCxnSpPr>
      <xdr:spPr>
        <a:xfrm>
          <a:off x="8767251" y="5430603"/>
          <a:ext cx="68164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177362</xdr:colOff>
      <xdr:row>125</xdr:row>
      <xdr:rowOff>76200</xdr:rowOff>
    </xdr:from>
    <xdr:to>
      <xdr:col>31</xdr:col>
      <xdr:colOff>561975</xdr:colOff>
      <xdr:row>125</xdr:row>
      <xdr:rowOff>76200</xdr:rowOff>
    </xdr:to>
    <xdr:cxnSp macro="">
      <xdr:nvCxnSpPr>
        <xdr:cNvPr id="157" name="Straight Arrow Connector 156">
          <a:extLst>
            <a:ext uri="{FF2B5EF4-FFF2-40B4-BE49-F238E27FC236}">
              <a16:creationId xmlns:a16="http://schemas.microsoft.com/office/drawing/2014/main" id="{00000000-0008-0000-0700-00009D000000}"/>
            </a:ext>
          </a:extLst>
        </xdr:cNvPr>
        <xdr:cNvCxnSpPr/>
      </xdr:nvCxnSpPr>
      <xdr:spPr>
        <a:xfrm>
          <a:off x="10464362" y="5421406"/>
          <a:ext cx="885626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274291</xdr:colOff>
      <xdr:row>118</xdr:row>
      <xdr:rowOff>102805</xdr:rowOff>
    </xdr:from>
    <xdr:to>
      <xdr:col>4</xdr:col>
      <xdr:colOff>274291</xdr:colOff>
      <xdr:row>161</xdr:row>
      <xdr:rowOff>99391</xdr:rowOff>
    </xdr:to>
    <xdr:cxnSp macro="">
      <xdr:nvCxnSpPr>
        <xdr:cNvPr id="158" name="Straight Arrow Connector 157">
          <a:extLst>
            <a:ext uri="{FF2B5EF4-FFF2-40B4-BE49-F238E27FC236}">
              <a16:creationId xmlns:a16="http://schemas.microsoft.com/office/drawing/2014/main" id="{00000000-0008-0000-0700-00009E000000}"/>
            </a:ext>
          </a:extLst>
        </xdr:cNvPr>
        <xdr:cNvCxnSpPr/>
      </xdr:nvCxnSpPr>
      <xdr:spPr>
        <a:xfrm flipV="1">
          <a:off x="2694762" y="4036070"/>
          <a:ext cx="0" cy="8546674"/>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274300</xdr:colOff>
      <xdr:row>137</xdr:row>
      <xdr:rowOff>103290</xdr:rowOff>
    </xdr:from>
    <xdr:to>
      <xdr:col>5</xdr:col>
      <xdr:colOff>414131</xdr:colOff>
      <xdr:row>137</xdr:row>
      <xdr:rowOff>103290</xdr:rowOff>
    </xdr:to>
    <xdr:cxnSp macro="">
      <xdr:nvCxnSpPr>
        <xdr:cNvPr id="159" name="Straight Arrow Connector 158">
          <a:extLst>
            <a:ext uri="{FF2B5EF4-FFF2-40B4-BE49-F238E27FC236}">
              <a16:creationId xmlns:a16="http://schemas.microsoft.com/office/drawing/2014/main" id="{00000000-0008-0000-0700-00009F000000}"/>
            </a:ext>
          </a:extLst>
        </xdr:cNvPr>
        <xdr:cNvCxnSpPr/>
      </xdr:nvCxnSpPr>
      <xdr:spPr>
        <a:xfrm>
          <a:off x="2694771" y="7812937"/>
          <a:ext cx="74494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447261</xdr:colOff>
      <xdr:row>135</xdr:row>
      <xdr:rowOff>8282</xdr:rowOff>
    </xdr:from>
    <xdr:to>
      <xdr:col>7</xdr:col>
      <xdr:colOff>224344</xdr:colOff>
      <xdr:row>139</xdr:row>
      <xdr:rowOff>163843</xdr:rowOff>
    </xdr:to>
    <xdr:sp macro="" textlink="">
      <xdr:nvSpPr>
        <xdr:cNvPr id="160" name="Rectangle 159">
          <a:extLst>
            <a:ext uri="{FF2B5EF4-FFF2-40B4-BE49-F238E27FC236}">
              <a16:creationId xmlns:a16="http://schemas.microsoft.com/office/drawing/2014/main" id="{00000000-0008-0000-0700-0000A0000000}"/>
            </a:ext>
          </a:extLst>
        </xdr:cNvPr>
        <xdr:cNvSpPr/>
      </xdr:nvSpPr>
      <xdr:spPr>
        <a:xfrm>
          <a:off x="3472849" y="7303311"/>
          <a:ext cx="987319" cy="9847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Ext. Format Enable</a:t>
          </a:r>
        </a:p>
        <a:p>
          <a:pPr algn="ctr"/>
          <a:r>
            <a:rPr lang="en-US" sz="900" baseline="0"/>
            <a:t>CANx_CBT[BTF]</a:t>
          </a:r>
          <a:endParaRPr lang="en-US" sz="900"/>
        </a:p>
      </xdr:txBody>
    </xdr:sp>
    <xdr:clientData/>
  </xdr:twoCellAnchor>
  <xdr:oneCellAnchor>
    <xdr:from>
      <xdr:col>5</xdr:col>
      <xdr:colOff>571502</xdr:colOff>
      <xdr:row>141</xdr:row>
      <xdr:rowOff>0</xdr:rowOff>
    </xdr:from>
    <xdr:ext cx="1476498" cy="354111"/>
    <xdr:sp macro="" textlink="">
      <xdr:nvSpPr>
        <xdr:cNvPr id="161" name="TextBox 160">
          <a:extLst>
            <a:ext uri="{FF2B5EF4-FFF2-40B4-BE49-F238E27FC236}">
              <a16:creationId xmlns:a16="http://schemas.microsoft.com/office/drawing/2014/main" id="{00000000-0008-0000-0700-0000A1000000}"/>
            </a:ext>
          </a:extLst>
        </xdr:cNvPr>
        <xdr:cNvSpPr txBox="1"/>
      </xdr:nvSpPr>
      <xdr:spPr>
        <a:xfrm>
          <a:off x="3597090" y="8538882"/>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Extended Format Disabled</a:t>
          </a:r>
        </a:p>
        <a:p>
          <a:r>
            <a:rPr lang="en-US" sz="800"/>
            <a:t>1 - Extended</a:t>
          </a:r>
          <a:r>
            <a:rPr lang="en-US" sz="800" baseline="0"/>
            <a:t> Format Enabled</a:t>
          </a:r>
          <a:endParaRPr lang="en-US" sz="800"/>
        </a:p>
      </xdr:txBody>
    </xdr:sp>
    <xdr:clientData/>
  </xdr:oneCellAnchor>
  <xdr:twoCellAnchor>
    <xdr:from>
      <xdr:col>11</xdr:col>
      <xdr:colOff>388795</xdr:colOff>
      <xdr:row>135</xdr:row>
      <xdr:rowOff>36054</xdr:rowOff>
    </xdr:from>
    <xdr:to>
      <xdr:col>13</xdr:col>
      <xdr:colOff>165878</xdr:colOff>
      <xdr:row>139</xdr:row>
      <xdr:rowOff>191615</xdr:rowOff>
    </xdr:to>
    <xdr:sp macro="" textlink="">
      <xdr:nvSpPr>
        <xdr:cNvPr id="162" name="Rectangle 161">
          <a:extLst>
            <a:ext uri="{FF2B5EF4-FFF2-40B4-BE49-F238E27FC236}">
              <a16:creationId xmlns:a16="http://schemas.microsoft.com/office/drawing/2014/main" id="{00000000-0008-0000-0700-0000A2000000}"/>
            </a:ext>
          </a:extLst>
        </xdr:cNvPr>
        <xdr:cNvSpPr/>
      </xdr:nvSpPr>
      <xdr:spPr>
        <a:xfrm>
          <a:off x="7045089" y="7331083"/>
          <a:ext cx="987318" cy="9847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Sclock Ext. Prescaler</a:t>
          </a:r>
        </a:p>
        <a:p>
          <a:pPr algn="ctr"/>
          <a:r>
            <a:rPr lang="en-US" sz="900" baseline="0"/>
            <a:t>/(1+(0...1023))</a:t>
          </a:r>
        </a:p>
        <a:p>
          <a:pPr algn="ctr"/>
          <a:r>
            <a:rPr lang="en-US" sz="900" baseline="0"/>
            <a:t>CANx_CBT[EPRESDIV]</a:t>
          </a:r>
          <a:endParaRPr lang="en-US" sz="900"/>
        </a:p>
      </xdr:txBody>
    </xdr:sp>
    <xdr:clientData/>
  </xdr:twoCellAnchor>
  <xdr:twoCellAnchor>
    <xdr:from>
      <xdr:col>7</xdr:col>
      <xdr:colOff>265044</xdr:colOff>
      <xdr:row>137</xdr:row>
      <xdr:rowOff>34592</xdr:rowOff>
    </xdr:from>
    <xdr:to>
      <xdr:col>11</xdr:col>
      <xdr:colOff>347382</xdr:colOff>
      <xdr:row>137</xdr:row>
      <xdr:rowOff>34592</xdr:rowOff>
    </xdr:to>
    <xdr:cxnSp macro="">
      <xdr:nvCxnSpPr>
        <xdr:cNvPr id="163" name="Straight Arrow Connector 162">
          <a:extLst>
            <a:ext uri="{FF2B5EF4-FFF2-40B4-BE49-F238E27FC236}">
              <a16:creationId xmlns:a16="http://schemas.microsoft.com/office/drawing/2014/main" id="{00000000-0008-0000-0700-0000A3000000}"/>
            </a:ext>
          </a:extLst>
        </xdr:cNvPr>
        <xdr:cNvCxnSpPr/>
      </xdr:nvCxnSpPr>
      <xdr:spPr>
        <a:xfrm>
          <a:off x="4500868" y="7744239"/>
          <a:ext cx="250280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14</xdr:col>
      <xdr:colOff>257732</xdr:colOff>
      <xdr:row>135</xdr:row>
      <xdr:rowOff>76977</xdr:rowOff>
    </xdr:from>
    <xdr:ext cx="1416327" cy="319709"/>
    <xdr:sp macro="" textlink="">
      <xdr:nvSpPr>
        <xdr:cNvPr id="164" name="TextBox 163">
          <a:extLst>
            <a:ext uri="{FF2B5EF4-FFF2-40B4-BE49-F238E27FC236}">
              <a16:creationId xmlns:a16="http://schemas.microsoft.com/office/drawing/2014/main" id="{00000000-0008-0000-0700-0000A4000000}"/>
            </a:ext>
          </a:extLst>
        </xdr:cNvPr>
        <xdr:cNvSpPr txBox="1"/>
      </xdr:nvSpPr>
      <xdr:spPr>
        <a:xfrm>
          <a:off x="8729379" y="7372006"/>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Sclock_Extended</a:t>
          </a:r>
        </a:p>
      </xdr:txBody>
    </xdr:sp>
    <xdr:clientData/>
  </xdr:oneCellAnchor>
  <xdr:twoCellAnchor>
    <xdr:from>
      <xdr:col>13</xdr:col>
      <xdr:colOff>153471</xdr:colOff>
      <xdr:row>138</xdr:row>
      <xdr:rowOff>38978</xdr:rowOff>
    </xdr:from>
    <xdr:to>
      <xdr:col>18</xdr:col>
      <xdr:colOff>381000</xdr:colOff>
      <xdr:row>138</xdr:row>
      <xdr:rowOff>38978</xdr:rowOff>
    </xdr:to>
    <xdr:cxnSp macro="">
      <xdr:nvCxnSpPr>
        <xdr:cNvPr id="165" name="Straight Arrow Connector 164">
          <a:extLst>
            <a:ext uri="{FF2B5EF4-FFF2-40B4-BE49-F238E27FC236}">
              <a16:creationId xmlns:a16="http://schemas.microsoft.com/office/drawing/2014/main" id="{00000000-0008-0000-0700-0000A5000000}"/>
            </a:ext>
          </a:extLst>
        </xdr:cNvPr>
        <xdr:cNvCxnSpPr/>
      </xdr:nvCxnSpPr>
      <xdr:spPr>
        <a:xfrm>
          <a:off x="8020000" y="7961537"/>
          <a:ext cx="325311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412888</xdr:colOff>
      <xdr:row>135</xdr:row>
      <xdr:rowOff>78270</xdr:rowOff>
    </xdr:from>
    <xdr:to>
      <xdr:col>20</xdr:col>
      <xdr:colOff>189972</xdr:colOff>
      <xdr:row>140</xdr:row>
      <xdr:rowOff>675</xdr:rowOff>
    </xdr:to>
    <xdr:sp macro="" textlink="">
      <xdr:nvSpPr>
        <xdr:cNvPr id="166" name="Rectangle 165">
          <a:extLst>
            <a:ext uri="{FF2B5EF4-FFF2-40B4-BE49-F238E27FC236}">
              <a16:creationId xmlns:a16="http://schemas.microsoft.com/office/drawing/2014/main" id="{00000000-0008-0000-0700-0000A6000000}"/>
            </a:ext>
          </a:extLst>
        </xdr:cNvPr>
        <xdr:cNvSpPr/>
      </xdr:nvSpPr>
      <xdr:spPr>
        <a:xfrm>
          <a:off x="11305006" y="7373299"/>
          <a:ext cx="987319" cy="95334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Ext. Jump Width</a:t>
          </a:r>
        </a:p>
        <a:p>
          <a:pPr algn="ctr"/>
          <a:r>
            <a:rPr lang="en-US" sz="900" baseline="0"/>
            <a:t>1+(0...15)</a:t>
          </a:r>
        </a:p>
        <a:p>
          <a:pPr algn="ctr"/>
          <a:r>
            <a:rPr lang="en-US" sz="900" baseline="0"/>
            <a:t>CANx_CBT[ERJW]</a:t>
          </a:r>
          <a:endParaRPr lang="en-US" sz="900"/>
        </a:p>
      </xdr:txBody>
    </xdr:sp>
    <xdr:clientData/>
  </xdr:twoCellAnchor>
  <xdr:twoCellAnchor>
    <xdr:from>
      <xdr:col>20</xdr:col>
      <xdr:colOff>201706</xdr:colOff>
      <xdr:row>137</xdr:row>
      <xdr:rowOff>96906</xdr:rowOff>
    </xdr:from>
    <xdr:to>
      <xdr:col>25</xdr:col>
      <xdr:colOff>398807</xdr:colOff>
      <xdr:row>137</xdr:row>
      <xdr:rowOff>96906</xdr:rowOff>
    </xdr:to>
    <xdr:cxnSp macro="">
      <xdr:nvCxnSpPr>
        <xdr:cNvPr id="167" name="Straight Arrow Connector 166">
          <a:extLst>
            <a:ext uri="{FF2B5EF4-FFF2-40B4-BE49-F238E27FC236}">
              <a16:creationId xmlns:a16="http://schemas.microsoft.com/office/drawing/2014/main" id="{00000000-0008-0000-0700-0000A7000000}"/>
            </a:ext>
          </a:extLst>
        </xdr:cNvPr>
        <xdr:cNvCxnSpPr/>
      </xdr:nvCxnSpPr>
      <xdr:spPr>
        <a:xfrm>
          <a:off x="12304059" y="7806553"/>
          <a:ext cx="32226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415373</xdr:colOff>
      <xdr:row>135</xdr:row>
      <xdr:rowOff>59222</xdr:rowOff>
    </xdr:from>
    <xdr:to>
      <xdr:col>27</xdr:col>
      <xdr:colOff>192456</xdr:colOff>
      <xdr:row>139</xdr:row>
      <xdr:rowOff>181652</xdr:rowOff>
    </xdr:to>
    <xdr:sp macro="" textlink="">
      <xdr:nvSpPr>
        <xdr:cNvPr id="168" name="Rectangle 167">
          <a:extLst>
            <a:ext uri="{FF2B5EF4-FFF2-40B4-BE49-F238E27FC236}">
              <a16:creationId xmlns:a16="http://schemas.microsoft.com/office/drawing/2014/main" id="{00000000-0008-0000-0700-0000A8000000}"/>
            </a:ext>
          </a:extLst>
        </xdr:cNvPr>
        <xdr:cNvSpPr/>
      </xdr:nvSpPr>
      <xdr:spPr>
        <a:xfrm>
          <a:off x="15543314" y="7354251"/>
          <a:ext cx="987318" cy="951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Prop. Seg. Ext.</a:t>
          </a:r>
        </a:p>
        <a:p>
          <a:pPr algn="ctr"/>
          <a:r>
            <a:rPr lang="en-US" sz="900" baseline="0"/>
            <a:t>1+(0...63)</a:t>
          </a:r>
        </a:p>
        <a:p>
          <a:pPr algn="ctr"/>
          <a:r>
            <a:rPr lang="en-US" sz="900" baseline="0"/>
            <a:t>CANx_CBT[EPROPSEG]</a:t>
          </a:r>
          <a:endParaRPr lang="en-US" sz="900"/>
        </a:p>
      </xdr:txBody>
    </xdr:sp>
    <xdr:clientData/>
  </xdr:twoCellAnchor>
  <xdr:twoCellAnchor>
    <xdr:from>
      <xdr:col>27</xdr:col>
      <xdr:colOff>209550</xdr:colOff>
      <xdr:row>137</xdr:row>
      <xdr:rowOff>53423</xdr:rowOff>
    </xdr:from>
    <xdr:to>
      <xdr:col>32</xdr:col>
      <xdr:colOff>6212</xdr:colOff>
      <xdr:row>137</xdr:row>
      <xdr:rowOff>53423</xdr:rowOff>
    </xdr:to>
    <xdr:cxnSp macro="">
      <xdr:nvCxnSpPr>
        <xdr:cNvPr id="169" name="Straight Arrow Connector 168">
          <a:extLst>
            <a:ext uri="{FF2B5EF4-FFF2-40B4-BE49-F238E27FC236}">
              <a16:creationId xmlns:a16="http://schemas.microsoft.com/office/drawing/2014/main" id="{00000000-0008-0000-0700-0000A9000000}"/>
            </a:ext>
          </a:extLst>
        </xdr:cNvPr>
        <xdr:cNvCxnSpPr/>
      </xdr:nvCxnSpPr>
      <xdr:spPr>
        <a:xfrm>
          <a:off x="16547726" y="7763070"/>
          <a:ext cx="2822251"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440218</xdr:colOff>
      <xdr:row>137</xdr:row>
      <xdr:rowOff>88624</xdr:rowOff>
    </xdr:from>
    <xdr:to>
      <xdr:col>23</xdr:col>
      <xdr:colOff>440218</xdr:colOff>
      <xdr:row>152</xdr:row>
      <xdr:rowOff>72058</xdr:rowOff>
    </xdr:to>
    <xdr:cxnSp macro="">
      <xdr:nvCxnSpPr>
        <xdr:cNvPr id="170" name="Straight Arrow Connector 169">
          <a:extLst>
            <a:ext uri="{FF2B5EF4-FFF2-40B4-BE49-F238E27FC236}">
              <a16:creationId xmlns:a16="http://schemas.microsoft.com/office/drawing/2014/main" id="{00000000-0008-0000-0700-0000AA000000}"/>
            </a:ext>
          </a:extLst>
        </xdr:cNvPr>
        <xdr:cNvCxnSpPr/>
      </xdr:nvCxnSpPr>
      <xdr:spPr>
        <a:xfrm flipV="1">
          <a:off x="14357924" y="7798271"/>
          <a:ext cx="0" cy="2964199"/>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440219</xdr:colOff>
      <xdr:row>145</xdr:row>
      <xdr:rowOff>96907</xdr:rowOff>
    </xdr:from>
    <xdr:to>
      <xdr:col>25</xdr:col>
      <xdr:colOff>415373</xdr:colOff>
      <xdr:row>145</xdr:row>
      <xdr:rowOff>96907</xdr:rowOff>
    </xdr:to>
    <xdr:cxnSp macro="">
      <xdr:nvCxnSpPr>
        <xdr:cNvPr id="171" name="Straight Arrow Connector 170">
          <a:extLst>
            <a:ext uri="{FF2B5EF4-FFF2-40B4-BE49-F238E27FC236}">
              <a16:creationId xmlns:a16="http://schemas.microsoft.com/office/drawing/2014/main" id="{00000000-0008-0000-0700-0000AB000000}"/>
            </a:ext>
          </a:extLst>
        </xdr:cNvPr>
        <xdr:cNvCxnSpPr/>
      </xdr:nvCxnSpPr>
      <xdr:spPr>
        <a:xfrm>
          <a:off x="14357925" y="9408995"/>
          <a:ext cx="11853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431938</xdr:colOff>
      <xdr:row>143</xdr:row>
      <xdr:rowOff>17807</xdr:rowOff>
    </xdr:from>
    <xdr:to>
      <xdr:col>27</xdr:col>
      <xdr:colOff>209021</xdr:colOff>
      <xdr:row>147</xdr:row>
      <xdr:rowOff>173368</xdr:rowOff>
    </xdr:to>
    <xdr:sp macro="" textlink="">
      <xdr:nvSpPr>
        <xdr:cNvPr id="172" name="Rectangle 171">
          <a:extLst>
            <a:ext uri="{FF2B5EF4-FFF2-40B4-BE49-F238E27FC236}">
              <a16:creationId xmlns:a16="http://schemas.microsoft.com/office/drawing/2014/main" id="{00000000-0008-0000-0700-0000AC000000}"/>
            </a:ext>
          </a:extLst>
        </xdr:cNvPr>
        <xdr:cNvSpPr/>
      </xdr:nvSpPr>
      <xdr:spPr>
        <a:xfrm>
          <a:off x="15559879" y="8948895"/>
          <a:ext cx="987318"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Phase Seg. 1 Ext.</a:t>
          </a:r>
        </a:p>
        <a:p>
          <a:pPr algn="ctr"/>
          <a:r>
            <a:rPr lang="en-US" sz="900" baseline="0"/>
            <a:t>1+(0...31)</a:t>
          </a:r>
        </a:p>
        <a:p>
          <a:pPr algn="ctr"/>
          <a:r>
            <a:rPr lang="en-US" sz="900" baseline="0"/>
            <a:t>CANx_CBT[EPSEG1]</a:t>
          </a:r>
          <a:endParaRPr lang="en-US" sz="900"/>
        </a:p>
      </xdr:txBody>
    </xdr:sp>
    <xdr:clientData/>
  </xdr:twoCellAnchor>
  <xdr:twoCellAnchor>
    <xdr:from>
      <xdr:col>27</xdr:col>
      <xdr:colOff>238125</xdr:colOff>
      <xdr:row>145</xdr:row>
      <xdr:rowOff>119684</xdr:rowOff>
    </xdr:from>
    <xdr:to>
      <xdr:col>31</xdr:col>
      <xdr:colOff>602560</xdr:colOff>
      <xdr:row>145</xdr:row>
      <xdr:rowOff>119684</xdr:rowOff>
    </xdr:to>
    <xdr:cxnSp macro="">
      <xdr:nvCxnSpPr>
        <xdr:cNvPr id="173" name="Straight Arrow Connector 172">
          <a:extLst>
            <a:ext uri="{FF2B5EF4-FFF2-40B4-BE49-F238E27FC236}">
              <a16:creationId xmlns:a16="http://schemas.microsoft.com/office/drawing/2014/main" id="{00000000-0008-0000-0700-0000AD000000}"/>
            </a:ext>
          </a:extLst>
        </xdr:cNvPr>
        <xdr:cNvCxnSpPr/>
      </xdr:nvCxnSpPr>
      <xdr:spPr>
        <a:xfrm>
          <a:off x="16576301" y="9431772"/>
          <a:ext cx="278490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440221</xdr:colOff>
      <xdr:row>150</xdr:row>
      <xdr:rowOff>26090</xdr:rowOff>
    </xdr:from>
    <xdr:to>
      <xdr:col>27</xdr:col>
      <xdr:colOff>217304</xdr:colOff>
      <xdr:row>154</xdr:row>
      <xdr:rowOff>181651</xdr:rowOff>
    </xdr:to>
    <xdr:sp macro="" textlink="">
      <xdr:nvSpPr>
        <xdr:cNvPr id="174" name="Rectangle 173">
          <a:extLst>
            <a:ext uri="{FF2B5EF4-FFF2-40B4-BE49-F238E27FC236}">
              <a16:creationId xmlns:a16="http://schemas.microsoft.com/office/drawing/2014/main" id="{00000000-0008-0000-0700-0000AE000000}"/>
            </a:ext>
          </a:extLst>
        </xdr:cNvPr>
        <xdr:cNvSpPr/>
      </xdr:nvSpPr>
      <xdr:spPr>
        <a:xfrm>
          <a:off x="15568162" y="10335502"/>
          <a:ext cx="987318"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Phase Seg. 2 Ext.</a:t>
          </a:r>
        </a:p>
        <a:p>
          <a:pPr algn="ctr"/>
          <a:r>
            <a:rPr lang="en-US" sz="900" baseline="0"/>
            <a:t>1+(0...31)</a:t>
          </a:r>
        </a:p>
        <a:p>
          <a:pPr algn="ctr"/>
          <a:r>
            <a:rPr lang="en-US" sz="900" baseline="0"/>
            <a:t>CANx_CBT[EPSEG2]</a:t>
          </a:r>
          <a:endParaRPr lang="en-US" sz="900"/>
        </a:p>
      </xdr:txBody>
    </xdr:sp>
    <xdr:clientData/>
  </xdr:twoCellAnchor>
  <xdr:twoCellAnchor>
    <xdr:from>
      <xdr:col>23</xdr:col>
      <xdr:colOff>448503</xdr:colOff>
      <xdr:row>152</xdr:row>
      <xdr:rowOff>72059</xdr:rowOff>
    </xdr:from>
    <xdr:to>
      <xdr:col>25</xdr:col>
      <xdr:colOff>423657</xdr:colOff>
      <xdr:row>152</xdr:row>
      <xdr:rowOff>72059</xdr:rowOff>
    </xdr:to>
    <xdr:cxnSp macro="">
      <xdr:nvCxnSpPr>
        <xdr:cNvPr id="175" name="Straight Arrow Connector 174">
          <a:extLst>
            <a:ext uri="{FF2B5EF4-FFF2-40B4-BE49-F238E27FC236}">
              <a16:creationId xmlns:a16="http://schemas.microsoft.com/office/drawing/2014/main" id="{00000000-0008-0000-0700-0000AF000000}"/>
            </a:ext>
          </a:extLst>
        </xdr:cNvPr>
        <xdr:cNvCxnSpPr/>
      </xdr:nvCxnSpPr>
      <xdr:spPr>
        <a:xfrm>
          <a:off x="14366209" y="10762471"/>
          <a:ext cx="11853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257175</xdr:colOff>
      <xdr:row>152</xdr:row>
      <xdr:rowOff>119682</xdr:rowOff>
    </xdr:from>
    <xdr:to>
      <xdr:col>32</xdr:col>
      <xdr:colOff>1243</xdr:colOff>
      <xdr:row>152</xdr:row>
      <xdr:rowOff>119682</xdr:rowOff>
    </xdr:to>
    <xdr:cxnSp macro="">
      <xdr:nvCxnSpPr>
        <xdr:cNvPr id="176" name="Straight Arrow Connector 175">
          <a:extLst>
            <a:ext uri="{FF2B5EF4-FFF2-40B4-BE49-F238E27FC236}">
              <a16:creationId xmlns:a16="http://schemas.microsoft.com/office/drawing/2014/main" id="{00000000-0008-0000-0700-0000B0000000}"/>
            </a:ext>
          </a:extLst>
        </xdr:cNvPr>
        <xdr:cNvCxnSpPr/>
      </xdr:nvCxnSpPr>
      <xdr:spPr>
        <a:xfrm>
          <a:off x="16595351" y="10810094"/>
          <a:ext cx="276965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314326</xdr:colOff>
      <xdr:row>107</xdr:row>
      <xdr:rowOff>193793</xdr:rowOff>
    </xdr:from>
    <xdr:to>
      <xdr:col>25</xdr:col>
      <xdr:colOff>505240</xdr:colOff>
      <xdr:row>109</xdr:row>
      <xdr:rowOff>29951</xdr:rowOff>
    </xdr:to>
    <xdr:sp macro="" textlink="">
      <xdr:nvSpPr>
        <xdr:cNvPr id="177" name="TextBox 176">
          <a:extLst>
            <a:ext uri="{FF2B5EF4-FFF2-40B4-BE49-F238E27FC236}">
              <a16:creationId xmlns:a16="http://schemas.microsoft.com/office/drawing/2014/main" id="{00000000-0008-0000-0700-0000B1000000}"/>
            </a:ext>
          </a:extLst>
        </xdr:cNvPr>
        <xdr:cNvSpPr txBox="1"/>
      </xdr:nvSpPr>
      <xdr:spPr>
        <a:xfrm>
          <a:off x="14232032" y="1908293"/>
          <a:ext cx="1401149" cy="250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Segment_Extended</a:t>
          </a:r>
        </a:p>
      </xdr:txBody>
    </xdr:sp>
    <xdr:clientData/>
  </xdr:twoCellAnchor>
  <xdr:twoCellAnchor>
    <xdr:from>
      <xdr:col>23</xdr:col>
      <xdr:colOff>466726</xdr:colOff>
      <xdr:row>108</xdr:row>
      <xdr:rowOff>147410</xdr:rowOff>
    </xdr:from>
    <xdr:to>
      <xdr:col>26</xdr:col>
      <xdr:colOff>44727</xdr:colOff>
      <xdr:row>109</xdr:row>
      <xdr:rowOff>182351</xdr:rowOff>
    </xdr:to>
    <xdr:sp macro="" textlink="">
      <xdr:nvSpPr>
        <xdr:cNvPr id="178" name="TextBox 177">
          <a:extLst>
            <a:ext uri="{FF2B5EF4-FFF2-40B4-BE49-F238E27FC236}">
              <a16:creationId xmlns:a16="http://schemas.microsoft.com/office/drawing/2014/main" id="{00000000-0008-0000-0700-0000B2000000}"/>
            </a:ext>
          </a:extLst>
        </xdr:cNvPr>
        <xdr:cNvSpPr txBox="1"/>
      </xdr:nvSpPr>
      <xdr:spPr>
        <a:xfrm>
          <a:off x="14384432" y="2063616"/>
          <a:ext cx="1393354" cy="247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CAN0 Propagation Segment_Extended</a:t>
          </a:r>
        </a:p>
      </xdr:txBody>
    </xdr:sp>
    <xdr:clientData/>
  </xdr:twoCellAnchor>
  <xdr:twoCellAnchor>
    <xdr:from>
      <xdr:col>4</xdr:col>
      <xdr:colOff>273326</xdr:colOff>
      <xdr:row>161</xdr:row>
      <xdr:rowOff>91107</xdr:rowOff>
    </xdr:from>
    <xdr:to>
      <xdr:col>5</xdr:col>
      <xdr:colOff>413157</xdr:colOff>
      <xdr:row>161</xdr:row>
      <xdr:rowOff>91107</xdr:rowOff>
    </xdr:to>
    <xdr:cxnSp macro="">
      <xdr:nvCxnSpPr>
        <xdr:cNvPr id="179" name="Straight Arrow Connector 178">
          <a:extLst>
            <a:ext uri="{FF2B5EF4-FFF2-40B4-BE49-F238E27FC236}">
              <a16:creationId xmlns:a16="http://schemas.microsoft.com/office/drawing/2014/main" id="{00000000-0008-0000-0700-0000B3000000}"/>
            </a:ext>
          </a:extLst>
        </xdr:cNvPr>
        <xdr:cNvCxnSpPr/>
      </xdr:nvCxnSpPr>
      <xdr:spPr>
        <a:xfrm>
          <a:off x="2693797" y="12574460"/>
          <a:ext cx="744948"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430696</xdr:colOff>
      <xdr:row>158</xdr:row>
      <xdr:rowOff>165652</xdr:rowOff>
    </xdr:from>
    <xdr:to>
      <xdr:col>7</xdr:col>
      <xdr:colOff>207779</xdr:colOff>
      <xdr:row>163</xdr:row>
      <xdr:rowOff>163844</xdr:rowOff>
    </xdr:to>
    <xdr:sp macro="" textlink="">
      <xdr:nvSpPr>
        <xdr:cNvPr id="180" name="Rectangle 179">
          <a:extLst>
            <a:ext uri="{FF2B5EF4-FFF2-40B4-BE49-F238E27FC236}">
              <a16:creationId xmlns:a16="http://schemas.microsoft.com/office/drawing/2014/main" id="{00000000-0008-0000-0700-0000B4000000}"/>
            </a:ext>
          </a:extLst>
        </xdr:cNvPr>
        <xdr:cNvSpPr/>
      </xdr:nvSpPr>
      <xdr:spPr>
        <a:xfrm>
          <a:off x="3456284" y="12043887"/>
          <a:ext cx="987319" cy="101792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CANxFD Enable </a:t>
          </a:r>
          <a:r>
            <a:rPr lang="en-US" sz="900" baseline="0"/>
            <a:t>CANx_MCR[FDEN]</a:t>
          </a:r>
          <a:endParaRPr lang="en-US" sz="900"/>
        </a:p>
      </xdr:txBody>
    </xdr:sp>
    <xdr:clientData/>
  </xdr:twoCellAnchor>
  <xdr:oneCellAnchor>
    <xdr:from>
      <xdr:col>5</xdr:col>
      <xdr:colOff>571500</xdr:colOff>
      <xdr:row>164</xdr:row>
      <xdr:rowOff>198783</xdr:rowOff>
    </xdr:from>
    <xdr:ext cx="1476498" cy="354111"/>
    <xdr:sp macro="" textlink="">
      <xdr:nvSpPr>
        <xdr:cNvPr id="181" name="TextBox 180">
          <a:extLst>
            <a:ext uri="{FF2B5EF4-FFF2-40B4-BE49-F238E27FC236}">
              <a16:creationId xmlns:a16="http://schemas.microsoft.com/office/drawing/2014/main" id="{00000000-0008-0000-0700-0000B5000000}"/>
            </a:ext>
          </a:extLst>
        </xdr:cNvPr>
        <xdr:cNvSpPr txBox="1"/>
      </xdr:nvSpPr>
      <xdr:spPr>
        <a:xfrm>
          <a:off x="3597088" y="13298459"/>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Disabled</a:t>
          </a:r>
          <a:endParaRPr lang="en-US" sz="800"/>
        </a:p>
        <a:p>
          <a:r>
            <a:rPr lang="en-US" sz="800"/>
            <a:t>1 - CANFD</a:t>
          </a:r>
          <a:r>
            <a:rPr lang="en-US" sz="800" baseline="0"/>
            <a:t> Enabled</a:t>
          </a:r>
          <a:endParaRPr lang="en-US" sz="800"/>
        </a:p>
      </xdr:txBody>
    </xdr:sp>
    <xdr:clientData/>
  </xdr:oneCellAnchor>
  <xdr:twoCellAnchor>
    <xdr:from>
      <xdr:col>7</xdr:col>
      <xdr:colOff>223631</xdr:colOff>
      <xdr:row>161</xdr:row>
      <xdr:rowOff>24848</xdr:rowOff>
    </xdr:from>
    <xdr:to>
      <xdr:col>9</xdr:col>
      <xdr:colOff>381000</xdr:colOff>
      <xdr:row>161</xdr:row>
      <xdr:rowOff>24848</xdr:rowOff>
    </xdr:to>
    <xdr:cxnSp macro="">
      <xdr:nvCxnSpPr>
        <xdr:cNvPr id="182" name="Straight Arrow Connector 181">
          <a:extLst>
            <a:ext uri="{FF2B5EF4-FFF2-40B4-BE49-F238E27FC236}">
              <a16:creationId xmlns:a16="http://schemas.microsoft.com/office/drawing/2014/main" id="{00000000-0008-0000-0700-0000B6000000}"/>
            </a:ext>
          </a:extLst>
        </xdr:cNvPr>
        <xdr:cNvCxnSpPr/>
      </xdr:nvCxnSpPr>
      <xdr:spPr>
        <a:xfrm>
          <a:off x="4459455" y="12508201"/>
          <a:ext cx="136760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405849</xdr:colOff>
      <xdr:row>159</xdr:row>
      <xdr:rowOff>16566</xdr:rowOff>
    </xdr:from>
    <xdr:to>
      <xdr:col>11</xdr:col>
      <xdr:colOff>182932</xdr:colOff>
      <xdr:row>163</xdr:row>
      <xdr:rowOff>172127</xdr:rowOff>
    </xdr:to>
    <xdr:sp macro="" textlink="">
      <xdr:nvSpPr>
        <xdr:cNvPr id="183" name="Rectangle 182">
          <a:extLst>
            <a:ext uri="{FF2B5EF4-FFF2-40B4-BE49-F238E27FC236}">
              <a16:creationId xmlns:a16="http://schemas.microsoft.com/office/drawing/2014/main" id="{00000000-0008-0000-0700-0000B7000000}"/>
            </a:ext>
          </a:extLst>
        </xdr:cNvPr>
        <xdr:cNvSpPr/>
      </xdr:nvSpPr>
      <xdr:spPr>
        <a:xfrm>
          <a:off x="5851908" y="12085301"/>
          <a:ext cx="987318" cy="9847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Bit Rate Switch</a:t>
          </a:r>
        </a:p>
        <a:p>
          <a:pPr algn="ctr"/>
          <a:r>
            <a:rPr lang="en-US" sz="900" baseline="0"/>
            <a:t>CANx_FDCTRL[FDRATE]</a:t>
          </a:r>
          <a:endParaRPr lang="en-US" sz="900"/>
        </a:p>
      </xdr:txBody>
    </xdr:sp>
    <xdr:clientData/>
  </xdr:twoCellAnchor>
  <xdr:oneCellAnchor>
    <xdr:from>
      <xdr:col>9</xdr:col>
      <xdr:colOff>554935</xdr:colOff>
      <xdr:row>165</xdr:row>
      <xdr:rowOff>8283</xdr:rowOff>
    </xdr:from>
    <xdr:ext cx="1476498" cy="354111"/>
    <xdr:sp macro="" textlink="">
      <xdr:nvSpPr>
        <xdr:cNvPr id="184" name="TextBox 183">
          <a:extLst>
            <a:ext uri="{FF2B5EF4-FFF2-40B4-BE49-F238E27FC236}">
              <a16:creationId xmlns:a16="http://schemas.microsoft.com/office/drawing/2014/main" id="{00000000-0008-0000-0700-0000B8000000}"/>
            </a:ext>
          </a:extLst>
        </xdr:cNvPr>
        <xdr:cNvSpPr txBox="1"/>
      </xdr:nvSpPr>
      <xdr:spPr>
        <a:xfrm>
          <a:off x="6000994" y="13320871"/>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11</xdr:col>
      <xdr:colOff>207066</xdr:colOff>
      <xdr:row>161</xdr:row>
      <xdr:rowOff>16566</xdr:rowOff>
    </xdr:from>
    <xdr:to>
      <xdr:col>12</xdr:col>
      <xdr:colOff>364434</xdr:colOff>
      <xdr:row>161</xdr:row>
      <xdr:rowOff>16566</xdr:rowOff>
    </xdr:to>
    <xdr:cxnSp macro="">
      <xdr:nvCxnSpPr>
        <xdr:cNvPr id="185" name="Straight Arrow Connector 184">
          <a:extLst>
            <a:ext uri="{FF2B5EF4-FFF2-40B4-BE49-F238E27FC236}">
              <a16:creationId xmlns:a16="http://schemas.microsoft.com/office/drawing/2014/main" id="{00000000-0008-0000-0700-0000B9000000}"/>
            </a:ext>
          </a:extLst>
        </xdr:cNvPr>
        <xdr:cNvCxnSpPr/>
      </xdr:nvCxnSpPr>
      <xdr:spPr>
        <a:xfrm>
          <a:off x="6863360" y="12499919"/>
          <a:ext cx="762486"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405847</xdr:colOff>
      <xdr:row>159</xdr:row>
      <xdr:rowOff>24848</xdr:rowOff>
    </xdr:from>
    <xdr:to>
      <xdr:col>14</xdr:col>
      <xdr:colOff>182930</xdr:colOff>
      <xdr:row>163</xdr:row>
      <xdr:rowOff>180409</xdr:rowOff>
    </xdr:to>
    <xdr:sp macro="" textlink="">
      <xdr:nvSpPr>
        <xdr:cNvPr id="186" name="Rectangle 185">
          <a:extLst>
            <a:ext uri="{FF2B5EF4-FFF2-40B4-BE49-F238E27FC236}">
              <a16:creationId xmlns:a16="http://schemas.microsoft.com/office/drawing/2014/main" id="{00000000-0008-0000-0700-0000BA000000}"/>
            </a:ext>
          </a:extLst>
        </xdr:cNvPr>
        <xdr:cNvSpPr/>
      </xdr:nvSpPr>
      <xdr:spPr>
        <a:xfrm>
          <a:off x="7667259" y="12093583"/>
          <a:ext cx="987318" cy="98479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CAN0</a:t>
          </a:r>
          <a:r>
            <a:rPr lang="en-US" sz="1100" baseline="0"/>
            <a:t> BRS</a:t>
          </a:r>
          <a:endParaRPr lang="en-US" sz="900"/>
        </a:p>
      </xdr:txBody>
    </xdr:sp>
    <xdr:clientData/>
  </xdr:twoCellAnchor>
  <xdr:oneCellAnchor>
    <xdr:from>
      <xdr:col>12</xdr:col>
      <xdr:colOff>571500</xdr:colOff>
      <xdr:row>164</xdr:row>
      <xdr:rowOff>198782</xdr:rowOff>
    </xdr:from>
    <xdr:ext cx="1476498" cy="354111"/>
    <xdr:sp macro="" textlink="">
      <xdr:nvSpPr>
        <xdr:cNvPr id="187" name="TextBox 186">
          <a:extLst>
            <a:ext uri="{FF2B5EF4-FFF2-40B4-BE49-F238E27FC236}">
              <a16:creationId xmlns:a16="http://schemas.microsoft.com/office/drawing/2014/main" id="{00000000-0008-0000-0700-0000BB000000}"/>
            </a:ext>
          </a:extLst>
        </xdr:cNvPr>
        <xdr:cNvSpPr txBox="1"/>
      </xdr:nvSpPr>
      <xdr:spPr>
        <a:xfrm>
          <a:off x="7832912" y="13298458"/>
          <a:ext cx="1476498" cy="354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CANFD</a:t>
          </a:r>
          <a:r>
            <a:rPr lang="en-US" sz="800" baseline="0"/>
            <a:t> use nominal settings</a:t>
          </a:r>
        </a:p>
        <a:p>
          <a:r>
            <a:rPr lang="en-US" sz="800"/>
            <a:t>1 - CANFD</a:t>
          </a:r>
          <a:r>
            <a:rPr lang="en-US" sz="800" baseline="0"/>
            <a:t> use CANFD settings</a:t>
          </a:r>
          <a:endParaRPr lang="en-US" sz="800"/>
        </a:p>
      </xdr:txBody>
    </xdr:sp>
    <xdr:clientData/>
  </xdr:oneCellAnchor>
  <xdr:twoCellAnchor>
    <xdr:from>
      <xdr:col>14</xdr:col>
      <xdr:colOff>190500</xdr:colOff>
      <xdr:row>161</xdr:row>
      <xdr:rowOff>16566</xdr:rowOff>
    </xdr:from>
    <xdr:to>
      <xdr:col>15</xdr:col>
      <xdr:colOff>347869</xdr:colOff>
      <xdr:row>161</xdr:row>
      <xdr:rowOff>16566</xdr:rowOff>
    </xdr:to>
    <xdr:cxnSp macro="">
      <xdr:nvCxnSpPr>
        <xdr:cNvPr id="188" name="Straight Arrow Connector 187">
          <a:extLst>
            <a:ext uri="{FF2B5EF4-FFF2-40B4-BE49-F238E27FC236}">
              <a16:creationId xmlns:a16="http://schemas.microsoft.com/office/drawing/2014/main" id="{00000000-0008-0000-0700-0000BC000000}"/>
            </a:ext>
          </a:extLst>
        </xdr:cNvPr>
        <xdr:cNvCxnSpPr/>
      </xdr:nvCxnSpPr>
      <xdr:spPr>
        <a:xfrm>
          <a:off x="8662147" y="12499919"/>
          <a:ext cx="762487"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414129</xdr:colOff>
      <xdr:row>159</xdr:row>
      <xdr:rowOff>49694</xdr:rowOff>
    </xdr:from>
    <xdr:to>
      <xdr:col>21</xdr:col>
      <xdr:colOff>191213</xdr:colOff>
      <xdr:row>163</xdr:row>
      <xdr:rowOff>172124</xdr:rowOff>
    </xdr:to>
    <xdr:sp macro="" textlink="">
      <xdr:nvSpPr>
        <xdr:cNvPr id="189" name="Rectangle 188">
          <a:extLst>
            <a:ext uri="{FF2B5EF4-FFF2-40B4-BE49-F238E27FC236}">
              <a16:creationId xmlns:a16="http://schemas.microsoft.com/office/drawing/2014/main" id="{00000000-0008-0000-0700-0000BD000000}"/>
            </a:ext>
          </a:extLst>
        </xdr:cNvPr>
        <xdr:cNvSpPr/>
      </xdr:nvSpPr>
      <xdr:spPr>
        <a:xfrm>
          <a:off x="11911364" y="12118429"/>
          <a:ext cx="987320" cy="951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FD Jump Width</a:t>
          </a:r>
        </a:p>
        <a:p>
          <a:pPr algn="ctr"/>
          <a:r>
            <a:rPr lang="en-US" sz="900" baseline="0"/>
            <a:t>1+(0...3)</a:t>
          </a:r>
        </a:p>
        <a:p>
          <a:pPr algn="ctr"/>
          <a:r>
            <a:rPr lang="en-US" sz="900" baseline="0"/>
            <a:t>CANx_FDCBT[FRJW]</a:t>
          </a:r>
          <a:endParaRPr lang="en-US" sz="900"/>
        </a:p>
      </xdr:txBody>
    </xdr:sp>
    <xdr:clientData/>
  </xdr:twoCellAnchor>
  <xdr:twoCellAnchor>
    <xdr:from>
      <xdr:col>21</xdr:col>
      <xdr:colOff>215444</xdr:colOff>
      <xdr:row>161</xdr:row>
      <xdr:rowOff>107673</xdr:rowOff>
    </xdr:from>
    <xdr:to>
      <xdr:col>25</xdr:col>
      <xdr:colOff>389283</xdr:colOff>
      <xdr:row>161</xdr:row>
      <xdr:rowOff>107673</xdr:rowOff>
    </xdr:to>
    <xdr:cxnSp macro="">
      <xdr:nvCxnSpPr>
        <xdr:cNvPr id="190" name="Straight Arrow Connector 189">
          <a:extLst>
            <a:ext uri="{FF2B5EF4-FFF2-40B4-BE49-F238E27FC236}">
              <a16:creationId xmlns:a16="http://schemas.microsoft.com/office/drawing/2014/main" id="{00000000-0008-0000-0700-0000BE000000}"/>
            </a:ext>
          </a:extLst>
        </xdr:cNvPr>
        <xdr:cNvCxnSpPr/>
      </xdr:nvCxnSpPr>
      <xdr:spPr>
        <a:xfrm>
          <a:off x="12922915" y="12591026"/>
          <a:ext cx="259430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402436</xdr:colOff>
      <xdr:row>159</xdr:row>
      <xdr:rowOff>975</xdr:rowOff>
    </xdr:from>
    <xdr:to>
      <xdr:col>17</xdr:col>
      <xdr:colOff>179520</xdr:colOff>
      <xdr:row>163</xdr:row>
      <xdr:rowOff>173101</xdr:rowOff>
    </xdr:to>
    <xdr:sp macro="" textlink="">
      <xdr:nvSpPr>
        <xdr:cNvPr id="191" name="Rectangle 190">
          <a:extLst>
            <a:ext uri="{FF2B5EF4-FFF2-40B4-BE49-F238E27FC236}">
              <a16:creationId xmlns:a16="http://schemas.microsoft.com/office/drawing/2014/main" id="{00000000-0008-0000-0700-0000BF000000}"/>
            </a:ext>
          </a:extLst>
        </xdr:cNvPr>
        <xdr:cNvSpPr/>
      </xdr:nvSpPr>
      <xdr:spPr>
        <a:xfrm>
          <a:off x="9479201" y="12069710"/>
          <a:ext cx="987319" cy="10013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Sclock FD Prescaler</a:t>
          </a:r>
        </a:p>
        <a:p>
          <a:pPr algn="ctr"/>
          <a:r>
            <a:rPr lang="en-US" sz="900" baseline="0"/>
            <a:t>/(1+(0...1023))</a:t>
          </a:r>
        </a:p>
        <a:p>
          <a:pPr algn="ctr"/>
          <a:r>
            <a:rPr lang="en-US" sz="900" baseline="0"/>
            <a:t>CANx_FDCBT[FPRESDIV]</a:t>
          </a:r>
          <a:endParaRPr lang="en-US" sz="900"/>
        </a:p>
      </xdr:txBody>
    </xdr:sp>
    <xdr:clientData/>
  </xdr:twoCellAnchor>
  <xdr:twoCellAnchor>
    <xdr:from>
      <xdr:col>17</xdr:col>
      <xdr:colOff>207065</xdr:colOff>
      <xdr:row>162</xdr:row>
      <xdr:rowOff>33131</xdr:rowOff>
    </xdr:from>
    <xdr:to>
      <xdr:col>19</xdr:col>
      <xdr:colOff>364435</xdr:colOff>
      <xdr:row>162</xdr:row>
      <xdr:rowOff>33131</xdr:rowOff>
    </xdr:to>
    <xdr:cxnSp macro="">
      <xdr:nvCxnSpPr>
        <xdr:cNvPr id="192" name="Straight Arrow Connector 191">
          <a:extLst>
            <a:ext uri="{FF2B5EF4-FFF2-40B4-BE49-F238E27FC236}">
              <a16:creationId xmlns:a16="http://schemas.microsoft.com/office/drawing/2014/main" id="{00000000-0008-0000-0700-0000C0000000}"/>
            </a:ext>
          </a:extLst>
        </xdr:cNvPr>
        <xdr:cNvCxnSpPr/>
      </xdr:nvCxnSpPr>
      <xdr:spPr>
        <a:xfrm>
          <a:off x="10494065" y="12729396"/>
          <a:ext cx="1367605"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17</xdr:col>
      <xdr:colOff>240195</xdr:colOff>
      <xdr:row>159</xdr:row>
      <xdr:rowOff>82826</xdr:rowOff>
    </xdr:from>
    <xdr:ext cx="1416327" cy="319709"/>
    <xdr:sp macro="" textlink="">
      <xdr:nvSpPr>
        <xdr:cNvPr id="193" name="TextBox 192">
          <a:extLst>
            <a:ext uri="{FF2B5EF4-FFF2-40B4-BE49-F238E27FC236}">
              <a16:creationId xmlns:a16="http://schemas.microsoft.com/office/drawing/2014/main" id="{00000000-0008-0000-0700-0000C1000000}"/>
            </a:ext>
          </a:extLst>
        </xdr:cNvPr>
        <xdr:cNvSpPr txBox="1"/>
      </xdr:nvSpPr>
      <xdr:spPr>
        <a:xfrm>
          <a:off x="10527195" y="12151561"/>
          <a:ext cx="1416327" cy="3197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CAN0 Sclock_FD</a:t>
          </a:r>
        </a:p>
      </xdr:txBody>
    </xdr:sp>
    <xdr:clientData/>
  </xdr:oneCellAnchor>
  <xdr:twoCellAnchor>
    <xdr:from>
      <xdr:col>25</xdr:col>
      <xdr:colOff>422413</xdr:colOff>
      <xdr:row>159</xdr:row>
      <xdr:rowOff>57978</xdr:rowOff>
    </xdr:from>
    <xdr:to>
      <xdr:col>27</xdr:col>
      <xdr:colOff>199496</xdr:colOff>
      <xdr:row>163</xdr:row>
      <xdr:rowOff>180408</xdr:rowOff>
    </xdr:to>
    <xdr:sp macro="" textlink="">
      <xdr:nvSpPr>
        <xdr:cNvPr id="194" name="Rectangle 193">
          <a:extLst>
            <a:ext uri="{FF2B5EF4-FFF2-40B4-BE49-F238E27FC236}">
              <a16:creationId xmlns:a16="http://schemas.microsoft.com/office/drawing/2014/main" id="{00000000-0008-0000-0700-0000C2000000}"/>
            </a:ext>
          </a:extLst>
        </xdr:cNvPr>
        <xdr:cNvSpPr/>
      </xdr:nvSpPr>
      <xdr:spPr>
        <a:xfrm>
          <a:off x="15550354" y="12126713"/>
          <a:ext cx="987318" cy="9516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FD Prop. Seg.</a:t>
          </a:r>
        </a:p>
        <a:p>
          <a:pPr algn="ctr"/>
          <a:r>
            <a:rPr lang="en-US" sz="900" baseline="0"/>
            <a:t>0...31</a:t>
          </a:r>
        </a:p>
        <a:p>
          <a:pPr algn="ctr"/>
          <a:r>
            <a:rPr lang="en-US" sz="900" baseline="0"/>
            <a:t>CANx_FDCBT[FPROPSEG]</a:t>
          </a:r>
          <a:endParaRPr lang="en-US" sz="900"/>
        </a:p>
      </xdr:txBody>
    </xdr:sp>
    <xdr:clientData/>
  </xdr:twoCellAnchor>
  <xdr:twoCellAnchor>
    <xdr:from>
      <xdr:col>27</xdr:col>
      <xdr:colOff>231913</xdr:colOff>
      <xdr:row>161</xdr:row>
      <xdr:rowOff>74543</xdr:rowOff>
    </xdr:from>
    <xdr:to>
      <xdr:col>31</xdr:col>
      <xdr:colOff>604631</xdr:colOff>
      <xdr:row>161</xdr:row>
      <xdr:rowOff>74543</xdr:rowOff>
    </xdr:to>
    <xdr:cxnSp macro="">
      <xdr:nvCxnSpPr>
        <xdr:cNvPr id="195" name="Straight Arrow Connector 194">
          <a:extLst>
            <a:ext uri="{FF2B5EF4-FFF2-40B4-BE49-F238E27FC236}">
              <a16:creationId xmlns:a16="http://schemas.microsoft.com/office/drawing/2014/main" id="{00000000-0008-0000-0700-0000C3000000}"/>
            </a:ext>
          </a:extLst>
        </xdr:cNvPr>
        <xdr:cNvCxnSpPr/>
      </xdr:nvCxnSpPr>
      <xdr:spPr>
        <a:xfrm>
          <a:off x="16570089" y="12557896"/>
          <a:ext cx="27931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438977</xdr:colOff>
      <xdr:row>161</xdr:row>
      <xdr:rowOff>124239</xdr:rowOff>
    </xdr:from>
    <xdr:to>
      <xdr:col>23</xdr:col>
      <xdr:colOff>438977</xdr:colOff>
      <xdr:row>176</xdr:row>
      <xdr:rowOff>140804</xdr:rowOff>
    </xdr:to>
    <xdr:cxnSp macro="">
      <xdr:nvCxnSpPr>
        <xdr:cNvPr id="196" name="Straight Arrow Connector 195">
          <a:extLst>
            <a:ext uri="{FF2B5EF4-FFF2-40B4-BE49-F238E27FC236}">
              <a16:creationId xmlns:a16="http://schemas.microsoft.com/office/drawing/2014/main" id="{00000000-0008-0000-0700-0000C4000000}"/>
            </a:ext>
          </a:extLst>
        </xdr:cNvPr>
        <xdr:cNvCxnSpPr/>
      </xdr:nvCxnSpPr>
      <xdr:spPr>
        <a:xfrm flipV="1">
          <a:off x="14356683" y="12607592"/>
          <a:ext cx="0" cy="2997330"/>
        </a:xfrm>
        <a:prstGeom prst="straightConnector1">
          <a:avLst/>
        </a:prstGeom>
        <a:ln w="19050">
          <a:solidFill>
            <a:sysClr val="windowText" lastClr="000000"/>
          </a:solidFill>
          <a:headEnd type="none"/>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438978</xdr:colOff>
      <xdr:row>169</xdr:row>
      <xdr:rowOff>132522</xdr:rowOff>
    </xdr:from>
    <xdr:to>
      <xdr:col>25</xdr:col>
      <xdr:colOff>414132</xdr:colOff>
      <xdr:row>169</xdr:row>
      <xdr:rowOff>132522</xdr:rowOff>
    </xdr:to>
    <xdr:cxnSp macro="">
      <xdr:nvCxnSpPr>
        <xdr:cNvPr id="197" name="Straight Arrow Connector 196">
          <a:extLst>
            <a:ext uri="{FF2B5EF4-FFF2-40B4-BE49-F238E27FC236}">
              <a16:creationId xmlns:a16="http://schemas.microsoft.com/office/drawing/2014/main" id="{00000000-0008-0000-0700-0000C5000000}"/>
            </a:ext>
          </a:extLst>
        </xdr:cNvPr>
        <xdr:cNvCxnSpPr/>
      </xdr:nvCxnSpPr>
      <xdr:spPr>
        <a:xfrm>
          <a:off x="14356684" y="14218316"/>
          <a:ext cx="11853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447262</xdr:colOff>
      <xdr:row>176</xdr:row>
      <xdr:rowOff>140805</xdr:rowOff>
    </xdr:from>
    <xdr:to>
      <xdr:col>25</xdr:col>
      <xdr:colOff>422416</xdr:colOff>
      <xdr:row>176</xdr:row>
      <xdr:rowOff>140805</xdr:rowOff>
    </xdr:to>
    <xdr:cxnSp macro="">
      <xdr:nvCxnSpPr>
        <xdr:cNvPr id="198" name="Straight Arrow Connector 197">
          <a:extLst>
            <a:ext uri="{FF2B5EF4-FFF2-40B4-BE49-F238E27FC236}">
              <a16:creationId xmlns:a16="http://schemas.microsoft.com/office/drawing/2014/main" id="{00000000-0008-0000-0700-0000C6000000}"/>
            </a:ext>
          </a:extLst>
        </xdr:cNvPr>
        <xdr:cNvCxnSpPr/>
      </xdr:nvCxnSpPr>
      <xdr:spPr>
        <a:xfrm>
          <a:off x="14364968" y="15604923"/>
          <a:ext cx="11853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422413</xdr:colOff>
      <xdr:row>167</xdr:row>
      <xdr:rowOff>16565</xdr:rowOff>
    </xdr:from>
    <xdr:to>
      <xdr:col>27</xdr:col>
      <xdr:colOff>199496</xdr:colOff>
      <xdr:row>171</xdr:row>
      <xdr:rowOff>172126</xdr:rowOff>
    </xdr:to>
    <xdr:sp macro="" textlink="">
      <xdr:nvSpPr>
        <xdr:cNvPr id="199" name="Rectangle 198">
          <a:extLst>
            <a:ext uri="{FF2B5EF4-FFF2-40B4-BE49-F238E27FC236}">
              <a16:creationId xmlns:a16="http://schemas.microsoft.com/office/drawing/2014/main" id="{00000000-0008-0000-0700-0000C7000000}"/>
            </a:ext>
          </a:extLst>
        </xdr:cNvPr>
        <xdr:cNvSpPr/>
      </xdr:nvSpPr>
      <xdr:spPr>
        <a:xfrm>
          <a:off x="15550354" y="13721359"/>
          <a:ext cx="987318" cy="91756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FD Phase Seg. 1</a:t>
          </a:r>
        </a:p>
        <a:p>
          <a:pPr algn="ctr"/>
          <a:r>
            <a:rPr lang="en-US" sz="900" baseline="0"/>
            <a:t>1+(0...7)</a:t>
          </a:r>
        </a:p>
        <a:p>
          <a:pPr algn="ctr"/>
          <a:r>
            <a:rPr lang="en-US" sz="900" baseline="0"/>
            <a:t>CANx_CBT[EPSEG1]</a:t>
          </a:r>
          <a:endParaRPr lang="en-US" sz="900"/>
        </a:p>
      </xdr:txBody>
    </xdr:sp>
    <xdr:clientData/>
  </xdr:twoCellAnchor>
  <xdr:twoCellAnchor>
    <xdr:from>
      <xdr:col>25</xdr:col>
      <xdr:colOff>430696</xdr:colOff>
      <xdr:row>174</xdr:row>
      <xdr:rowOff>8281</xdr:rowOff>
    </xdr:from>
    <xdr:to>
      <xdr:col>27</xdr:col>
      <xdr:colOff>207779</xdr:colOff>
      <xdr:row>178</xdr:row>
      <xdr:rowOff>172124</xdr:rowOff>
    </xdr:to>
    <xdr:sp macro="" textlink="">
      <xdr:nvSpPr>
        <xdr:cNvPr id="200" name="Rectangle 199">
          <a:extLst>
            <a:ext uri="{FF2B5EF4-FFF2-40B4-BE49-F238E27FC236}">
              <a16:creationId xmlns:a16="http://schemas.microsoft.com/office/drawing/2014/main" id="{00000000-0008-0000-0700-0000C8000000}"/>
            </a:ext>
          </a:extLst>
        </xdr:cNvPr>
        <xdr:cNvSpPr/>
      </xdr:nvSpPr>
      <xdr:spPr>
        <a:xfrm>
          <a:off x="15558637" y="15091399"/>
          <a:ext cx="987318" cy="92584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CANx FD Phase Seg. 2 </a:t>
          </a:r>
        </a:p>
        <a:p>
          <a:pPr algn="ctr"/>
          <a:r>
            <a:rPr lang="en-US" sz="900" baseline="0"/>
            <a:t>1+(0...7)</a:t>
          </a:r>
        </a:p>
        <a:p>
          <a:pPr algn="ctr"/>
          <a:r>
            <a:rPr lang="en-US" sz="900" baseline="0"/>
            <a:t>CANx_CBT[EPSEG2]</a:t>
          </a:r>
          <a:endParaRPr lang="en-US" sz="900"/>
        </a:p>
      </xdr:txBody>
    </xdr:sp>
    <xdr:clientData/>
  </xdr:twoCellAnchor>
  <xdr:twoCellAnchor>
    <xdr:from>
      <xdr:col>27</xdr:col>
      <xdr:colOff>228600</xdr:colOff>
      <xdr:row>169</xdr:row>
      <xdr:rowOff>114300</xdr:rowOff>
    </xdr:from>
    <xdr:to>
      <xdr:col>31</xdr:col>
      <xdr:colOff>601318</xdr:colOff>
      <xdr:row>169</xdr:row>
      <xdr:rowOff>114300</xdr:rowOff>
    </xdr:to>
    <xdr:cxnSp macro="">
      <xdr:nvCxnSpPr>
        <xdr:cNvPr id="201" name="Straight Arrow Connector 200">
          <a:extLst>
            <a:ext uri="{FF2B5EF4-FFF2-40B4-BE49-F238E27FC236}">
              <a16:creationId xmlns:a16="http://schemas.microsoft.com/office/drawing/2014/main" id="{00000000-0008-0000-0700-0000C9000000}"/>
            </a:ext>
          </a:extLst>
        </xdr:cNvPr>
        <xdr:cNvCxnSpPr/>
      </xdr:nvCxnSpPr>
      <xdr:spPr>
        <a:xfrm>
          <a:off x="16566776" y="14200094"/>
          <a:ext cx="27931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219075</xdr:colOff>
      <xdr:row>176</xdr:row>
      <xdr:rowOff>114300</xdr:rowOff>
    </xdr:from>
    <xdr:to>
      <xdr:col>31</xdr:col>
      <xdr:colOff>591793</xdr:colOff>
      <xdr:row>176</xdr:row>
      <xdr:rowOff>114300</xdr:rowOff>
    </xdr:to>
    <xdr:cxnSp macro="">
      <xdr:nvCxnSpPr>
        <xdr:cNvPr id="202" name="Straight Arrow Connector 201">
          <a:extLst>
            <a:ext uri="{FF2B5EF4-FFF2-40B4-BE49-F238E27FC236}">
              <a16:creationId xmlns:a16="http://schemas.microsoft.com/office/drawing/2014/main" id="{00000000-0008-0000-0700-0000CA000000}"/>
            </a:ext>
          </a:extLst>
        </xdr:cNvPr>
        <xdr:cNvCxnSpPr/>
      </xdr:nvCxnSpPr>
      <xdr:spPr>
        <a:xfrm>
          <a:off x="16557251" y="15578418"/>
          <a:ext cx="2793189"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571501</xdr:colOff>
      <xdr:row>108</xdr:row>
      <xdr:rowOff>3293</xdr:rowOff>
    </xdr:from>
    <xdr:to>
      <xdr:col>34</xdr:col>
      <xdr:colOff>462785</xdr:colOff>
      <xdr:row>179</xdr:row>
      <xdr:rowOff>76202</xdr:rowOff>
    </xdr:to>
    <xdr:grpSp>
      <xdr:nvGrpSpPr>
        <xdr:cNvPr id="203" name="Group 202">
          <a:extLst>
            <a:ext uri="{FF2B5EF4-FFF2-40B4-BE49-F238E27FC236}">
              <a16:creationId xmlns:a16="http://schemas.microsoft.com/office/drawing/2014/main" id="{00000000-0008-0000-0700-0000CB000000}"/>
            </a:ext>
          </a:extLst>
        </xdr:cNvPr>
        <xdr:cNvGrpSpPr/>
      </xdr:nvGrpSpPr>
      <xdr:grpSpPr>
        <a:xfrm>
          <a:off x="19469101" y="19895975"/>
          <a:ext cx="1720084" cy="13286886"/>
          <a:chOff x="19469101" y="1917818"/>
          <a:chExt cx="1720084" cy="14112759"/>
        </a:xfrm>
      </xdr:grpSpPr>
      <xdr:grpSp>
        <xdr:nvGrpSpPr>
          <xdr:cNvPr id="204" name="Group 93">
            <a:extLst>
              <a:ext uri="{FF2B5EF4-FFF2-40B4-BE49-F238E27FC236}">
                <a16:creationId xmlns:a16="http://schemas.microsoft.com/office/drawing/2014/main" id="{00000000-0008-0000-0700-0000CC000000}"/>
              </a:ext>
            </a:extLst>
          </xdr:cNvPr>
          <xdr:cNvGrpSpPr/>
        </xdr:nvGrpSpPr>
        <xdr:grpSpPr>
          <a:xfrm>
            <a:off x="19469101" y="1917818"/>
            <a:ext cx="1713260" cy="14112759"/>
            <a:chOff x="14411326" y="1908293"/>
            <a:chExt cx="1723199" cy="13917786"/>
          </a:xfrm>
        </xdr:grpSpPr>
        <xdr:grpSp>
          <xdr:nvGrpSpPr>
            <xdr:cNvPr id="207" name="Group 21">
              <a:extLst>
                <a:ext uri="{FF2B5EF4-FFF2-40B4-BE49-F238E27FC236}">
                  <a16:creationId xmlns:a16="http://schemas.microsoft.com/office/drawing/2014/main" id="{00000000-0008-0000-0700-0000CF000000}"/>
                </a:ext>
              </a:extLst>
            </xdr:cNvPr>
            <xdr:cNvGrpSpPr/>
          </xdr:nvGrpSpPr>
          <xdr:grpSpPr>
            <a:xfrm>
              <a:off x="14411326" y="1908293"/>
              <a:ext cx="1723199" cy="13917786"/>
              <a:chOff x="7880982" y="1581779"/>
              <a:chExt cx="1710025" cy="13583427"/>
            </a:xfrm>
          </xdr:grpSpPr>
          <xdr:grpSp>
            <xdr:nvGrpSpPr>
              <xdr:cNvPr id="209" name="Group 22">
                <a:extLst>
                  <a:ext uri="{FF2B5EF4-FFF2-40B4-BE49-F238E27FC236}">
                    <a16:creationId xmlns:a16="http://schemas.microsoft.com/office/drawing/2014/main" id="{00000000-0008-0000-0700-0000D1000000}"/>
                  </a:ext>
                </a:extLst>
              </xdr:cNvPr>
              <xdr:cNvGrpSpPr/>
            </xdr:nvGrpSpPr>
            <xdr:grpSpPr>
              <a:xfrm>
                <a:off x="7889201" y="1581779"/>
                <a:ext cx="1701806" cy="13583427"/>
                <a:chOff x="7889201" y="1581779"/>
                <a:chExt cx="1701806" cy="13583427"/>
              </a:xfrm>
            </xdr:grpSpPr>
            <xdr:grpSp>
              <xdr:nvGrpSpPr>
                <xdr:cNvPr id="211" name="Group 24">
                  <a:extLst>
                    <a:ext uri="{FF2B5EF4-FFF2-40B4-BE49-F238E27FC236}">
                      <a16:creationId xmlns:a16="http://schemas.microsoft.com/office/drawing/2014/main" id="{00000000-0008-0000-0700-0000D3000000}"/>
                    </a:ext>
                  </a:extLst>
                </xdr:cNvPr>
                <xdr:cNvGrpSpPr/>
              </xdr:nvGrpSpPr>
              <xdr:grpSpPr>
                <a:xfrm>
                  <a:off x="7905829" y="1581779"/>
                  <a:ext cx="1685178" cy="13583427"/>
                  <a:chOff x="7939301" y="1572514"/>
                  <a:chExt cx="1693558" cy="13392123"/>
                </a:xfrm>
              </xdr:grpSpPr>
              <xdr:grpSp>
                <xdr:nvGrpSpPr>
                  <xdr:cNvPr id="213" name="Group 26">
                    <a:extLst>
                      <a:ext uri="{FF2B5EF4-FFF2-40B4-BE49-F238E27FC236}">
                        <a16:creationId xmlns:a16="http://schemas.microsoft.com/office/drawing/2014/main" id="{00000000-0008-0000-0700-0000D5000000}"/>
                      </a:ext>
                    </a:extLst>
                  </xdr:cNvPr>
                  <xdr:cNvGrpSpPr/>
                </xdr:nvGrpSpPr>
                <xdr:grpSpPr>
                  <a:xfrm>
                    <a:off x="7939301" y="1572514"/>
                    <a:ext cx="1610957" cy="13392123"/>
                    <a:chOff x="7939301" y="1569102"/>
                    <a:chExt cx="1610957" cy="13321670"/>
                  </a:xfrm>
                </xdr:grpSpPr>
                <xdr:grpSp>
                  <xdr:nvGrpSpPr>
                    <xdr:cNvPr id="215" name="Group 28">
                      <a:extLst>
                        <a:ext uri="{FF2B5EF4-FFF2-40B4-BE49-F238E27FC236}">
                          <a16:creationId xmlns:a16="http://schemas.microsoft.com/office/drawing/2014/main" id="{00000000-0008-0000-0700-0000D7000000}"/>
                        </a:ext>
                      </a:extLst>
                    </xdr:cNvPr>
                    <xdr:cNvGrpSpPr/>
                  </xdr:nvGrpSpPr>
                  <xdr:grpSpPr>
                    <a:xfrm>
                      <a:off x="7944549" y="1569102"/>
                      <a:ext cx="1605709" cy="13321670"/>
                      <a:chOff x="7944549" y="1565008"/>
                      <a:chExt cx="1605709" cy="13237129"/>
                    </a:xfrm>
                  </xdr:grpSpPr>
                  <xdr:grpSp>
                    <xdr:nvGrpSpPr>
                      <xdr:cNvPr id="219" name="Group 34">
                        <a:extLst>
                          <a:ext uri="{FF2B5EF4-FFF2-40B4-BE49-F238E27FC236}">
                            <a16:creationId xmlns:a16="http://schemas.microsoft.com/office/drawing/2014/main" id="{00000000-0008-0000-0700-0000DB000000}"/>
                          </a:ext>
                        </a:extLst>
                      </xdr:cNvPr>
                      <xdr:cNvGrpSpPr/>
                    </xdr:nvGrpSpPr>
                    <xdr:grpSpPr>
                      <a:xfrm>
                        <a:off x="7944549" y="1565008"/>
                        <a:ext cx="1605709" cy="13237129"/>
                        <a:chOff x="7737006" y="1520084"/>
                        <a:chExt cx="1602451" cy="13096226"/>
                      </a:xfrm>
                    </xdr:grpSpPr>
                    <xdr:sp macro="" textlink="">
                      <xdr:nvSpPr>
                        <xdr:cNvPr id="221" name="Rectangle 220">
                          <a:extLst>
                            <a:ext uri="{FF2B5EF4-FFF2-40B4-BE49-F238E27FC236}">
                              <a16:creationId xmlns:a16="http://schemas.microsoft.com/office/drawing/2014/main" id="{00000000-0008-0000-0700-0000DD000000}"/>
                            </a:ext>
                          </a:extLst>
                        </xdr:cNvPr>
                        <xdr:cNvSpPr/>
                      </xdr:nvSpPr>
                      <xdr:spPr>
                        <a:xfrm>
                          <a:off x="7761594" y="1532523"/>
                          <a:ext cx="1577863" cy="130837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ctr"/>
                          <a:r>
                            <a:rPr lang="en-US" sz="3200" baseline="0"/>
                            <a:t>CANx</a:t>
                          </a:r>
                        </a:p>
                      </xdr:txBody>
                    </xdr:sp>
                    <xdr:sp macro="" textlink="">
                      <xdr:nvSpPr>
                        <xdr:cNvPr id="222" name="TextBox 221">
                          <a:extLst>
                            <a:ext uri="{FF2B5EF4-FFF2-40B4-BE49-F238E27FC236}">
                              <a16:creationId xmlns:a16="http://schemas.microsoft.com/office/drawing/2014/main" id="{00000000-0008-0000-0700-0000DE000000}"/>
                            </a:ext>
                          </a:extLst>
                        </xdr:cNvPr>
                        <xdr:cNvSpPr txBox="1"/>
                      </xdr:nvSpPr>
                      <xdr:spPr>
                        <a:xfrm>
                          <a:off x="7737006" y="1520084"/>
                          <a:ext cx="723901"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BIU_CHI</a:t>
                          </a:r>
                        </a:p>
                      </xdr:txBody>
                    </xdr:sp>
                  </xdr:grpSp>
                  <xdr:sp macro="" textlink="">
                    <xdr:nvSpPr>
                      <xdr:cNvPr id="220" name="TextBox 219">
                        <a:extLst>
                          <a:ext uri="{FF2B5EF4-FFF2-40B4-BE49-F238E27FC236}">
                            <a16:creationId xmlns:a16="http://schemas.microsoft.com/office/drawing/2014/main" id="{00000000-0008-0000-0700-0000DC000000}"/>
                          </a:ext>
                        </a:extLst>
                      </xdr:cNvPr>
                      <xdr:cNvSpPr txBox="1"/>
                    </xdr:nvSpPr>
                    <xdr:spPr>
                      <a:xfrm>
                        <a:off x="7961981" y="3371403"/>
                        <a:ext cx="1479925" cy="196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Propagation Seggment_Nominal</a:t>
                        </a:r>
                      </a:p>
                    </xdr:txBody>
                  </xdr:sp>
                </xdr:grpSp>
                <xdr:sp macro="" textlink="">
                  <xdr:nvSpPr>
                    <xdr:cNvPr id="216" name="TextBox 215">
                      <a:extLst>
                        <a:ext uri="{FF2B5EF4-FFF2-40B4-BE49-F238E27FC236}">
                          <a16:creationId xmlns:a16="http://schemas.microsoft.com/office/drawing/2014/main" id="{00000000-0008-0000-0700-0000D8000000}"/>
                        </a:ext>
                      </a:extLst>
                    </xdr:cNvPr>
                    <xdr:cNvSpPr txBox="1"/>
                  </xdr:nvSpPr>
                  <xdr:spPr>
                    <a:xfrm>
                      <a:off x="7945864" y="2295802"/>
                      <a:ext cx="1283533"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Phase Segment 1_Nominal</a:t>
                      </a:r>
                    </a:p>
                  </xdr:txBody>
                </xdr:sp>
                <xdr:sp macro="" textlink="">
                  <xdr:nvSpPr>
                    <xdr:cNvPr id="217" name="TextBox 216">
                      <a:extLst>
                        <a:ext uri="{FF2B5EF4-FFF2-40B4-BE49-F238E27FC236}">
                          <a16:creationId xmlns:a16="http://schemas.microsoft.com/office/drawing/2014/main" id="{00000000-0008-0000-0700-0000D9000000}"/>
                        </a:ext>
                      </a:extLst>
                    </xdr:cNvPr>
                    <xdr:cNvSpPr txBox="1"/>
                  </xdr:nvSpPr>
                  <xdr:spPr>
                    <a:xfrm>
                      <a:off x="7939301" y="4784117"/>
                      <a:ext cx="1362532" cy="213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Phase Segment</a:t>
                      </a:r>
                      <a:r>
                        <a:rPr lang="en-US" sz="600" baseline="0">
                          <a:solidFill>
                            <a:schemeClr val="bg1"/>
                          </a:solidFill>
                        </a:rPr>
                        <a:t> 2_Nominal</a:t>
                      </a:r>
                      <a:endParaRPr lang="en-US" sz="600">
                        <a:solidFill>
                          <a:schemeClr val="bg1"/>
                        </a:solidFill>
                      </a:endParaRPr>
                    </a:p>
                  </xdr:txBody>
                </xdr:sp>
              </xdr:grpSp>
              <xdr:sp macro="" textlink="">
                <xdr:nvSpPr>
                  <xdr:cNvPr id="214" name="TextBox 213">
                    <a:extLst>
                      <a:ext uri="{FF2B5EF4-FFF2-40B4-BE49-F238E27FC236}">
                        <a16:creationId xmlns:a16="http://schemas.microsoft.com/office/drawing/2014/main" id="{00000000-0008-0000-0700-0000D6000000}"/>
                      </a:ext>
                    </a:extLst>
                  </xdr:cNvPr>
                  <xdr:cNvSpPr txBox="1"/>
                </xdr:nvSpPr>
                <xdr:spPr>
                  <a:xfrm>
                    <a:off x="7955256" y="9854735"/>
                    <a:ext cx="1677603" cy="2328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Phase Segment 2_Extended</a:t>
                    </a:r>
                  </a:p>
                </xdr:txBody>
              </xdr:sp>
            </xdr:grpSp>
            <xdr:sp macro="" textlink="">
              <xdr:nvSpPr>
                <xdr:cNvPr id="212" name="TextBox 211">
                  <a:extLst>
                    <a:ext uri="{FF2B5EF4-FFF2-40B4-BE49-F238E27FC236}">
                      <a16:creationId xmlns:a16="http://schemas.microsoft.com/office/drawing/2014/main" id="{00000000-0008-0000-0700-0000D4000000}"/>
                    </a:ext>
                  </a:extLst>
                </xdr:cNvPr>
                <xdr:cNvSpPr txBox="1"/>
              </xdr:nvSpPr>
              <xdr:spPr>
                <a:xfrm>
                  <a:off x="7889201" y="8675184"/>
                  <a:ext cx="1504541"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Phase</a:t>
                  </a:r>
                  <a:r>
                    <a:rPr lang="en-US" sz="600" baseline="0">
                      <a:solidFill>
                        <a:schemeClr val="bg1"/>
                      </a:solidFill>
                    </a:rPr>
                    <a:t> Segment 1_Extended</a:t>
                  </a:r>
                  <a:endParaRPr lang="en-US" sz="600">
                    <a:solidFill>
                      <a:schemeClr val="bg1"/>
                    </a:solidFill>
                  </a:endParaRPr>
                </a:p>
              </xdr:txBody>
            </xdr:sp>
          </xdr:grpSp>
          <xdr:sp macro="" textlink="">
            <xdr:nvSpPr>
              <xdr:cNvPr id="210" name="TextBox 209">
                <a:extLst>
                  <a:ext uri="{FF2B5EF4-FFF2-40B4-BE49-F238E27FC236}">
                    <a16:creationId xmlns:a16="http://schemas.microsoft.com/office/drawing/2014/main" id="{00000000-0008-0000-0700-0000D2000000}"/>
                  </a:ext>
                </a:extLst>
              </xdr:cNvPr>
              <xdr:cNvSpPr txBox="1"/>
            </xdr:nvSpPr>
            <xdr:spPr>
              <a:xfrm>
                <a:off x="7880982" y="7089085"/>
                <a:ext cx="1405909" cy="23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Propagation Segment_Extended</a:t>
                </a:r>
              </a:p>
            </xdr:txBody>
          </xdr:sp>
        </xdr:grpSp>
        <xdr:sp macro="" textlink="">
          <xdr:nvSpPr>
            <xdr:cNvPr id="208" name="TextBox 207">
              <a:extLst>
                <a:ext uri="{FF2B5EF4-FFF2-40B4-BE49-F238E27FC236}">
                  <a16:creationId xmlns:a16="http://schemas.microsoft.com/office/drawing/2014/main" id="{00000000-0008-0000-0700-0000D0000000}"/>
                </a:ext>
              </a:extLst>
            </xdr:cNvPr>
            <xdr:cNvSpPr txBox="1"/>
          </xdr:nvSpPr>
          <xdr:spPr>
            <a:xfrm>
              <a:off x="14453152" y="12216204"/>
              <a:ext cx="1416740" cy="2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Propagation Segment_FD</a:t>
              </a:r>
            </a:p>
          </xdr:txBody>
        </xdr:sp>
      </xdr:grpSp>
      <xdr:sp macro="" textlink="">
        <xdr:nvSpPr>
          <xdr:cNvPr id="205" name="TextBox 204">
            <a:extLst>
              <a:ext uri="{FF2B5EF4-FFF2-40B4-BE49-F238E27FC236}">
                <a16:creationId xmlns:a16="http://schemas.microsoft.com/office/drawing/2014/main" id="{00000000-0008-0000-0700-0000CD000000}"/>
              </a:ext>
            </a:extLst>
          </xdr:cNvPr>
          <xdr:cNvSpPr txBox="1"/>
        </xdr:nvSpPr>
        <xdr:spPr>
          <a:xfrm>
            <a:off x="19497676" y="14005043"/>
            <a:ext cx="1408569" cy="2453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Phase Segment 1_FD</a:t>
            </a:r>
          </a:p>
        </xdr:txBody>
      </xdr:sp>
      <xdr:sp macro="" textlink="">
        <xdr:nvSpPr>
          <xdr:cNvPr id="206" name="TextBox 205">
            <a:extLst>
              <a:ext uri="{FF2B5EF4-FFF2-40B4-BE49-F238E27FC236}">
                <a16:creationId xmlns:a16="http://schemas.microsoft.com/office/drawing/2014/main" id="{00000000-0008-0000-0700-0000CE000000}"/>
              </a:ext>
            </a:extLst>
          </xdr:cNvPr>
          <xdr:cNvSpPr txBox="1"/>
        </xdr:nvSpPr>
        <xdr:spPr>
          <a:xfrm>
            <a:off x="19516726" y="15376643"/>
            <a:ext cx="1672459" cy="245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600">
                <a:solidFill>
                  <a:schemeClr val="bg1"/>
                </a:solidFill>
              </a:rPr>
              <a:t>CANx Phase Segment 2_FD</a:t>
            </a:r>
          </a:p>
        </xdr:txBody>
      </xdr:sp>
    </xdr:grpSp>
    <xdr:clientData/>
  </xdr:twoCellAnchor>
  <xdr:oneCellAnchor>
    <xdr:from>
      <xdr:col>38</xdr:col>
      <xdr:colOff>657503</xdr:colOff>
      <xdr:row>110</xdr:row>
      <xdr:rowOff>22414</xdr:rowOff>
    </xdr:from>
    <xdr:ext cx="419101" cy="1221442"/>
    <xdr:sp macro="" textlink="">
      <xdr:nvSpPr>
        <xdr:cNvPr id="224" name="TextBox 223">
          <a:extLst>
            <a:ext uri="{FF2B5EF4-FFF2-40B4-BE49-F238E27FC236}">
              <a16:creationId xmlns:a16="http://schemas.microsoft.com/office/drawing/2014/main" id="{00000000-0008-0000-0700-0000E0000000}"/>
            </a:ext>
          </a:extLst>
        </xdr:cNvPr>
        <xdr:cNvSpPr txBox="1"/>
      </xdr:nvSpPr>
      <xdr:spPr>
        <a:xfrm rot="5400000">
          <a:off x="23284421" y="2754408"/>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39</xdr:col>
      <xdr:colOff>33618</xdr:colOff>
      <xdr:row>125</xdr:row>
      <xdr:rowOff>145677</xdr:rowOff>
    </xdr:from>
    <xdr:ext cx="419101" cy="2353237"/>
    <xdr:sp macro="" textlink="">
      <xdr:nvSpPr>
        <xdr:cNvPr id="225" name="TextBox 224">
          <a:extLst>
            <a:ext uri="{FF2B5EF4-FFF2-40B4-BE49-F238E27FC236}">
              <a16:creationId xmlns:a16="http://schemas.microsoft.com/office/drawing/2014/main" id="{00000000-0008-0000-0700-0000E1000000}"/>
            </a:ext>
          </a:extLst>
        </xdr:cNvPr>
        <xdr:cNvSpPr txBox="1"/>
      </xdr:nvSpPr>
      <xdr:spPr>
        <a:xfrm rot="5400000">
          <a:off x="22834226" y="6457951"/>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39</xdr:col>
      <xdr:colOff>95250</xdr:colOff>
      <xdr:row>150</xdr:row>
      <xdr:rowOff>136071</xdr:rowOff>
    </xdr:from>
    <xdr:ext cx="419101" cy="2353237"/>
    <xdr:sp macro="" textlink="">
      <xdr:nvSpPr>
        <xdr:cNvPr id="226" name="TextBox 225">
          <a:extLst>
            <a:ext uri="{FF2B5EF4-FFF2-40B4-BE49-F238E27FC236}">
              <a16:creationId xmlns:a16="http://schemas.microsoft.com/office/drawing/2014/main" id="{00000000-0008-0000-0700-0000E2000000}"/>
            </a:ext>
          </a:extLst>
        </xdr:cNvPr>
        <xdr:cNvSpPr txBox="1"/>
      </xdr:nvSpPr>
      <xdr:spPr>
        <a:xfrm rot="5400000">
          <a:off x="22895858" y="11412551"/>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oneCellAnchor>
    <xdr:from>
      <xdr:col>39</xdr:col>
      <xdr:colOff>95250</xdr:colOff>
      <xdr:row>167</xdr:row>
      <xdr:rowOff>122464</xdr:rowOff>
    </xdr:from>
    <xdr:ext cx="419101" cy="2353237"/>
    <xdr:sp macro="" textlink="">
      <xdr:nvSpPr>
        <xdr:cNvPr id="227" name="TextBox 226">
          <a:extLst>
            <a:ext uri="{FF2B5EF4-FFF2-40B4-BE49-F238E27FC236}">
              <a16:creationId xmlns:a16="http://schemas.microsoft.com/office/drawing/2014/main" id="{00000000-0008-0000-0700-0000E3000000}"/>
            </a:ext>
          </a:extLst>
        </xdr:cNvPr>
        <xdr:cNvSpPr txBox="1"/>
      </xdr:nvSpPr>
      <xdr:spPr>
        <a:xfrm rot="5400000">
          <a:off x="22895858" y="14794326"/>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36</xdr:col>
      <xdr:colOff>367393</xdr:colOff>
      <xdr:row>118</xdr:row>
      <xdr:rowOff>54429</xdr:rowOff>
    </xdr:from>
    <xdr:to>
      <xdr:col>37</xdr:col>
      <xdr:colOff>394607</xdr:colOff>
      <xdr:row>166</xdr:row>
      <xdr:rowOff>108857</xdr:rowOff>
    </xdr:to>
    <xdr:sp macro="" textlink="">
      <xdr:nvSpPr>
        <xdr:cNvPr id="228" name="Left Brace 227">
          <a:extLst>
            <a:ext uri="{FF2B5EF4-FFF2-40B4-BE49-F238E27FC236}">
              <a16:creationId xmlns:a16="http://schemas.microsoft.com/office/drawing/2014/main" id="{00000000-0008-0000-0700-0000E4000000}"/>
            </a:ext>
          </a:extLst>
        </xdr:cNvPr>
        <xdr:cNvSpPr/>
      </xdr:nvSpPr>
      <xdr:spPr>
        <a:xfrm>
          <a:off x="22185246" y="3987694"/>
          <a:ext cx="632332" cy="9635457"/>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twoCellAnchor>
    <xdr:from>
      <xdr:col>36</xdr:col>
      <xdr:colOff>435429</xdr:colOff>
      <xdr:row>167</xdr:row>
      <xdr:rowOff>27215</xdr:rowOff>
    </xdr:from>
    <xdr:to>
      <xdr:col>37</xdr:col>
      <xdr:colOff>394608</xdr:colOff>
      <xdr:row>178</xdr:row>
      <xdr:rowOff>190500</xdr:rowOff>
    </xdr:to>
    <xdr:sp macro="" textlink="">
      <xdr:nvSpPr>
        <xdr:cNvPr id="229" name="Left Brace 228">
          <a:extLst>
            <a:ext uri="{FF2B5EF4-FFF2-40B4-BE49-F238E27FC236}">
              <a16:creationId xmlns:a16="http://schemas.microsoft.com/office/drawing/2014/main" id="{00000000-0008-0000-0700-0000E5000000}"/>
            </a:ext>
          </a:extLst>
        </xdr:cNvPr>
        <xdr:cNvSpPr/>
      </xdr:nvSpPr>
      <xdr:spPr>
        <a:xfrm>
          <a:off x="22253282" y="13732009"/>
          <a:ext cx="564297" cy="2303609"/>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35</xdr:col>
      <xdr:colOff>408214</xdr:colOff>
      <xdr:row>134</xdr:row>
      <xdr:rowOff>122463</xdr:rowOff>
    </xdr:from>
    <xdr:ext cx="595995" cy="3006379"/>
    <xdr:sp macro="" textlink="">
      <xdr:nvSpPr>
        <xdr:cNvPr id="230" name="TextBox 229">
          <a:extLst>
            <a:ext uri="{FF2B5EF4-FFF2-40B4-BE49-F238E27FC236}">
              <a16:creationId xmlns:a16="http://schemas.microsoft.com/office/drawing/2014/main" id="{00000000-0008-0000-0700-0000E6000000}"/>
            </a:ext>
          </a:extLst>
        </xdr:cNvPr>
        <xdr:cNvSpPr txBox="1"/>
      </xdr:nvSpPr>
      <xdr:spPr>
        <a:xfrm rot="16200000">
          <a:off x="20382140" y="8432184"/>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oneCellAnchor>
    <xdr:from>
      <xdr:col>35</xdr:col>
      <xdr:colOff>381000</xdr:colOff>
      <xdr:row>165</xdr:row>
      <xdr:rowOff>40822</xdr:rowOff>
    </xdr:from>
    <xdr:ext cx="595995" cy="3006379"/>
    <xdr:sp macro="" textlink="">
      <xdr:nvSpPr>
        <xdr:cNvPr id="231" name="TextBox 230">
          <a:extLst>
            <a:ext uri="{FF2B5EF4-FFF2-40B4-BE49-F238E27FC236}">
              <a16:creationId xmlns:a16="http://schemas.microsoft.com/office/drawing/2014/main" id="{00000000-0008-0000-0700-0000E7000000}"/>
            </a:ext>
          </a:extLst>
        </xdr:cNvPr>
        <xdr:cNvSpPr txBox="1"/>
      </xdr:nvSpPr>
      <xdr:spPr>
        <a:xfrm rot="16200000">
          <a:off x="20354926" y="14558602"/>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twoCellAnchor>
    <xdr:from>
      <xdr:col>39</xdr:col>
      <xdr:colOff>22411</xdr:colOff>
      <xdr:row>69</xdr:row>
      <xdr:rowOff>30379</xdr:rowOff>
    </xdr:from>
    <xdr:to>
      <xdr:col>41</xdr:col>
      <xdr:colOff>307599</xdr:colOff>
      <xdr:row>69</xdr:row>
      <xdr:rowOff>30379</xdr:rowOff>
    </xdr:to>
    <xdr:cxnSp macro="">
      <xdr:nvCxnSpPr>
        <xdr:cNvPr id="218" name="Straight Arrow Connector 217">
          <a:extLst>
            <a:ext uri="{FF2B5EF4-FFF2-40B4-BE49-F238E27FC236}">
              <a16:creationId xmlns:a16="http://schemas.microsoft.com/office/drawing/2014/main" id="{00000000-0008-0000-0700-0000DA000000}"/>
            </a:ext>
          </a:extLst>
        </xdr:cNvPr>
        <xdr:cNvCxnSpPr/>
      </xdr:nvCxnSpPr>
      <xdr:spPr>
        <a:xfrm flipH="1">
          <a:off x="23790087" y="13735173"/>
          <a:ext cx="14954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40</xdr:col>
      <xdr:colOff>298075</xdr:colOff>
      <xdr:row>67</xdr:row>
      <xdr:rowOff>112059</xdr:rowOff>
    </xdr:from>
    <xdr:ext cx="3006379" cy="595995"/>
    <xdr:sp macro="" textlink="">
      <xdr:nvSpPr>
        <xdr:cNvPr id="232" name="TextBox 231">
          <a:extLst>
            <a:ext uri="{FF2B5EF4-FFF2-40B4-BE49-F238E27FC236}">
              <a16:creationId xmlns:a16="http://schemas.microsoft.com/office/drawing/2014/main" id="{00000000-0008-0000-0700-0000E8000000}"/>
            </a:ext>
          </a:extLst>
        </xdr:cNvPr>
        <xdr:cNvSpPr txBox="1"/>
      </xdr:nvSpPr>
      <xdr:spPr>
        <a:xfrm>
          <a:off x="24670869" y="13424647"/>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Sample Point</a:t>
          </a:r>
        </a:p>
      </xdr:txBody>
    </xdr:sp>
    <xdr:clientData/>
  </xdr:oneCellAnchor>
  <xdr:twoCellAnchor>
    <xdr:from>
      <xdr:col>44</xdr:col>
      <xdr:colOff>254371</xdr:colOff>
      <xdr:row>69</xdr:row>
      <xdr:rowOff>49429</xdr:rowOff>
    </xdr:from>
    <xdr:to>
      <xdr:col>46</xdr:col>
      <xdr:colOff>587186</xdr:colOff>
      <xdr:row>69</xdr:row>
      <xdr:rowOff>49429</xdr:rowOff>
    </xdr:to>
    <xdr:cxnSp macro="">
      <xdr:nvCxnSpPr>
        <xdr:cNvPr id="233" name="Straight Arrow Connector 232">
          <a:extLst>
            <a:ext uri="{FF2B5EF4-FFF2-40B4-BE49-F238E27FC236}">
              <a16:creationId xmlns:a16="http://schemas.microsoft.com/office/drawing/2014/main" id="{00000000-0008-0000-0700-0000E9000000}"/>
            </a:ext>
          </a:extLst>
        </xdr:cNvPr>
        <xdr:cNvCxnSpPr/>
      </xdr:nvCxnSpPr>
      <xdr:spPr>
        <a:xfrm>
          <a:off x="27047636" y="13754223"/>
          <a:ext cx="1543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44</xdr:col>
      <xdr:colOff>454959</xdr:colOff>
      <xdr:row>5</xdr:row>
      <xdr:rowOff>163605</xdr:rowOff>
    </xdr:from>
    <xdr:ext cx="3496234" cy="708213"/>
    <xdr:sp macro="" textlink="">
      <xdr:nvSpPr>
        <xdr:cNvPr id="234" name="TextBox 233">
          <a:extLst>
            <a:ext uri="{FF2B5EF4-FFF2-40B4-BE49-F238E27FC236}">
              <a16:creationId xmlns:a16="http://schemas.microsoft.com/office/drawing/2014/main" id="{00000000-0008-0000-0700-0000EA000000}"/>
            </a:ext>
          </a:extLst>
        </xdr:cNvPr>
        <xdr:cNvSpPr txBox="1"/>
      </xdr:nvSpPr>
      <xdr:spPr>
        <a:xfrm>
          <a:off x="27248224" y="1116105"/>
          <a:ext cx="3496234" cy="708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CAN0 Data Phase Bit Time Segments (in ns)</a:t>
          </a:r>
        </a:p>
      </xdr:txBody>
    </xdr:sp>
    <xdr:clientData/>
  </xdr:oneCellAnchor>
  <xdr:oneCellAnchor>
    <xdr:from>
      <xdr:col>46</xdr:col>
      <xdr:colOff>212913</xdr:colOff>
      <xdr:row>11</xdr:row>
      <xdr:rowOff>156883</xdr:rowOff>
    </xdr:from>
    <xdr:ext cx="419101" cy="1221442"/>
    <xdr:sp macro="" textlink="">
      <xdr:nvSpPr>
        <xdr:cNvPr id="235" name="TextBox 234">
          <a:extLst>
            <a:ext uri="{FF2B5EF4-FFF2-40B4-BE49-F238E27FC236}">
              <a16:creationId xmlns:a16="http://schemas.microsoft.com/office/drawing/2014/main" id="{00000000-0008-0000-0700-0000EB000000}"/>
            </a:ext>
          </a:extLst>
        </xdr:cNvPr>
        <xdr:cNvSpPr txBox="1"/>
      </xdr:nvSpPr>
      <xdr:spPr>
        <a:xfrm rot="16200000">
          <a:off x="27815243" y="2687171"/>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46</xdr:col>
      <xdr:colOff>156882</xdr:colOff>
      <xdr:row>27</xdr:row>
      <xdr:rowOff>145677</xdr:rowOff>
    </xdr:from>
    <xdr:ext cx="419101" cy="2353237"/>
    <xdr:sp macro="" textlink="">
      <xdr:nvSpPr>
        <xdr:cNvPr id="236" name="TextBox 235">
          <a:extLst>
            <a:ext uri="{FF2B5EF4-FFF2-40B4-BE49-F238E27FC236}">
              <a16:creationId xmlns:a16="http://schemas.microsoft.com/office/drawing/2014/main" id="{00000000-0008-0000-0700-0000EC000000}"/>
            </a:ext>
          </a:extLst>
        </xdr:cNvPr>
        <xdr:cNvSpPr txBox="1"/>
      </xdr:nvSpPr>
      <xdr:spPr>
        <a:xfrm rot="16200000">
          <a:off x="27193314" y="6457951"/>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46</xdr:col>
      <xdr:colOff>168089</xdr:colOff>
      <xdr:row>52</xdr:row>
      <xdr:rowOff>134470</xdr:rowOff>
    </xdr:from>
    <xdr:ext cx="419101" cy="2353237"/>
    <xdr:sp macro="" textlink="">
      <xdr:nvSpPr>
        <xdr:cNvPr id="237" name="TextBox 236">
          <a:extLst>
            <a:ext uri="{FF2B5EF4-FFF2-40B4-BE49-F238E27FC236}">
              <a16:creationId xmlns:a16="http://schemas.microsoft.com/office/drawing/2014/main" id="{00000000-0008-0000-0700-0000ED000000}"/>
            </a:ext>
          </a:extLst>
        </xdr:cNvPr>
        <xdr:cNvSpPr txBox="1"/>
      </xdr:nvSpPr>
      <xdr:spPr>
        <a:xfrm rot="16200000">
          <a:off x="27204521" y="11410950"/>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oneCellAnchor>
    <xdr:from>
      <xdr:col>46</xdr:col>
      <xdr:colOff>190500</xdr:colOff>
      <xdr:row>69</xdr:row>
      <xdr:rowOff>123265</xdr:rowOff>
    </xdr:from>
    <xdr:ext cx="419101" cy="2353237"/>
    <xdr:sp macro="" textlink="">
      <xdr:nvSpPr>
        <xdr:cNvPr id="238" name="TextBox 237">
          <a:extLst>
            <a:ext uri="{FF2B5EF4-FFF2-40B4-BE49-F238E27FC236}">
              <a16:creationId xmlns:a16="http://schemas.microsoft.com/office/drawing/2014/main" id="{00000000-0008-0000-0700-0000EE000000}"/>
            </a:ext>
          </a:extLst>
        </xdr:cNvPr>
        <xdr:cNvSpPr txBox="1"/>
      </xdr:nvSpPr>
      <xdr:spPr>
        <a:xfrm rot="16200000">
          <a:off x="27226932" y="14795127"/>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48</xdr:col>
      <xdr:colOff>71238</xdr:colOff>
      <xdr:row>20</xdr:row>
      <xdr:rowOff>11205</xdr:rowOff>
    </xdr:from>
    <xdr:to>
      <xdr:col>49</xdr:col>
      <xdr:colOff>98452</xdr:colOff>
      <xdr:row>68</xdr:row>
      <xdr:rowOff>65633</xdr:rowOff>
    </xdr:to>
    <xdr:sp macro="" textlink="">
      <xdr:nvSpPr>
        <xdr:cNvPr id="239" name="Left Brace 238">
          <a:extLst>
            <a:ext uri="{FF2B5EF4-FFF2-40B4-BE49-F238E27FC236}">
              <a16:creationId xmlns:a16="http://schemas.microsoft.com/office/drawing/2014/main" id="{00000000-0008-0000-0700-0000EF000000}"/>
            </a:ext>
          </a:extLst>
        </xdr:cNvPr>
        <xdr:cNvSpPr/>
      </xdr:nvSpPr>
      <xdr:spPr>
        <a:xfrm rot="10800000">
          <a:off x="29284973" y="3944470"/>
          <a:ext cx="632332" cy="9635457"/>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582706</xdr:colOff>
      <xdr:row>37</xdr:row>
      <xdr:rowOff>56827</xdr:rowOff>
    </xdr:from>
    <xdr:ext cx="595995" cy="3006379"/>
    <xdr:sp macro="" textlink="">
      <xdr:nvSpPr>
        <xdr:cNvPr id="240" name="TextBox 239">
          <a:extLst>
            <a:ext uri="{FF2B5EF4-FFF2-40B4-BE49-F238E27FC236}">
              <a16:creationId xmlns:a16="http://schemas.microsoft.com/office/drawing/2014/main" id="{00000000-0008-0000-0700-0000F0000000}"/>
            </a:ext>
          </a:extLst>
        </xdr:cNvPr>
        <xdr:cNvSpPr txBox="1"/>
      </xdr:nvSpPr>
      <xdr:spPr>
        <a:xfrm rot="5400000">
          <a:off x="28591249" y="8557048"/>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twoCellAnchor>
    <xdr:from>
      <xdr:col>48</xdr:col>
      <xdr:colOff>43223</xdr:colOff>
      <xdr:row>68</xdr:row>
      <xdr:rowOff>176893</xdr:rowOff>
    </xdr:from>
    <xdr:to>
      <xdr:col>49</xdr:col>
      <xdr:colOff>2402</xdr:colOff>
      <xdr:row>80</xdr:row>
      <xdr:rowOff>149678</xdr:rowOff>
    </xdr:to>
    <xdr:sp macro="" textlink="">
      <xdr:nvSpPr>
        <xdr:cNvPr id="241" name="Left Brace 240">
          <a:extLst>
            <a:ext uri="{FF2B5EF4-FFF2-40B4-BE49-F238E27FC236}">
              <a16:creationId xmlns:a16="http://schemas.microsoft.com/office/drawing/2014/main" id="{00000000-0008-0000-0700-0000F1000000}"/>
            </a:ext>
          </a:extLst>
        </xdr:cNvPr>
        <xdr:cNvSpPr/>
      </xdr:nvSpPr>
      <xdr:spPr>
        <a:xfrm rot="10800000">
          <a:off x="29256958" y="13691187"/>
          <a:ext cx="564297" cy="2303609"/>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526677</xdr:colOff>
      <xdr:row>66</xdr:row>
      <xdr:rowOff>190501</xdr:rowOff>
    </xdr:from>
    <xdr:ext cx="595995" cy="3006379"/>
    <xdr:sp macro="" textlink="">
      <xdr:nvSpPr>
        <xdr:cNvPr id="242" name="TextBox 241">
          <a:extLst>
            <a:ext uri="{FF2B5EF4-FFF2-40B4-BE49-F238E27FC236}">
              <a16:creationId xmlns:a16="http://schemas.microsoft.com/office/drawing/2014/main" id="{00000000-0008-0000-0700-0000F2000000}"/>
            </a:ext>
          </a:extLst>
        </xdr:cNvPr>
        <xdr:cNvSpPr txBox="1"/>
      </xdr:nvSpPr>
      <xdr:spPr>
        <a:xfrm rot="5400000">
          <a:off x="28535220" y="14495369"/>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oneCellAnchor>
    <xdr:from>
      <xdr:col>35</xdr:col>
      <xdr:colOff>616323</xdr:colOff>
      <xdr:row>103</xdr:row>
      <xdr:rowOff>112059</xdr:rowOff>
    </xdr:from>
    <xdr:ext cx="3496234" cy="708213"/>
    <xdr:sp macro="" textlink="">
      <xdr:nvSpPr>
        <xdr:cNvPr id="243" name="TextBox 242">
          <a:extLst>
            <a:ext uri="{FF2B5EF4-FFF2-40B4-BE49-F238E27FC236}">
              <a16:creationId xmlns:a16="http://schemas.microsoft.com/office/drawing/2014/main" id="{00000000-0008-0000-0700-0000F3000000}"/>
            </a:ext>
          </a:extLst>
        </xdr:cNvPr>
        <xdr:cNvSpPr txBox="1"/>
      </xdr:nvSpPr>
      <xdr:spPr>
        <a:xfrm>
          <a:off x="21795441" y="20383500"/>
          <a:ext cx="3496234" cy="708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CANx Arbitration Phase Bit Time Segments (in ns)</a:t>
          </a:r>
        </a:p>
      </xdr:txBody>
    </xdr:sp>
    <xdr:clientData/>
  </xdr:oneCellAnchor>
  <xdr:oneCellAnchor>
    <xdr:from>
      <xdr:col>44</xdr:col>
      <xdr:colOff>392206</xdr:colOff>
      <xdr:row>103</xdr:row>
      <xdr:rowOff>89647</xdr:rowOff>
    </xdr:from>
    <xdr:ext cx="3496234" cy="708213"/>
    <xdr:sp macro="" textlink="">
      <xdr:nvSpPr>
        <xdr:cNvPr id="244" name="TextBox 243">
          <a:extLst>
            <a:ext uri="{FF2B5EF4-FFF2-40B4-BE49-F238E27FC236}">
              <a16:creationId xmlns:a16="http://schemas.microsoft.com/office/drawing/2014/main" id="{00000000-0008-0000-0700-0000F4000000}"/>
            </a:ext>
          </a:extLst>
        </xdr:cNvPr>
        <xdr:cNvSpPr txBox="1"/>
      </xdr:nvSpPr>
      <xdr:spPr>
        <a:xfrm>
          <a:off x="27185471" y="20361088"/>
          <a:ext cx="3496234" cy="708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800" b="1"/>
            <a:t>CANx Data Phase Bit Time Segments (in ns)</a:t>
          </a:r>
        </a:p>
      </xdr:txBody>
    </xdr:sp>
    <xdr:clientData/>
  </xdr:oneCellAnchor>
  <xdr:oneCellAnchor>
    <xdr:from>
      <xdr:col>46</xdr:col>
      <xdr:colOff>156884</xdr:colOff>
      <xdr:row>110</xdr:row>
      <xdr:rowOff>67235</xdr:rowOff>
    </xdr:from>
    <xdr:ext cx="419101" cy="1221442"/>
    <xdr:sp macro="" textlink="">
      <xdr:nvSpPr>
        <xdr:cNvPr id="245" name="TextBox 244">
          <a:extLst>
            <a:ext uri="{FF2B5EF4-FFF2-40B4-BE49-F238E27FC236}">
              <a16:creationId xmlns:a16="http://schemas.microsoft.com/office/drawing/2014/main" id="{00000000-0008-0000-0700-0000F5000000}"/>
            </a:ext>
          </a:extLst>
        </xdr:cNvPr>
        <xdr:cNvSpPr txBox="1"/>
      </xdr:nvSpPr>
      <xdr:spPr>
        <a:xfrm rot="16200000">
          <a:off x="27759214" y="22118170"/>
          <a:ext cx="1221442"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SYNC_SEG</a:t>
          </a:r>
        </a:p>
      </xdr:txBody>
    </xdr:sp>
    <xdr:clientData/>
  </xdr:oneCellAnchor>
  <xdr:oneCellAnchor>
    <xdr:from>
      <xdr:col>46</xdr:col>
      <xdr:colOff>205351</xdr:colOff>
      <xdr:row>125</xdr:row>
      <xdr:rowOff>190498</xdr:rowOff>
    </xdr:from>
    <xdr:ext cx="419101" cy="2353237"/>
    <xdr:sp macro="" textlink="">
      <xdr:nvSpPr>
        <xdr:cNvPr id="246" name="TextBox 245">
          <a:extLst>
            <a:ext uri="{FF2B5EF4-FFF2-40B4-BE49-F238E27FC236}">
              <a16:creationId xmlns:a16="http://schemas.microsoft.com/office/drawing/2014/main" id="{00000000-0008-0000-0700-0000F6000000}"/>
            </a:ext>
          </a:extLst>
        </xdr:cNvPr>
        <xdr:cNvSpPr txBox="1"/>
      </xdr:nvSpPr>
      <xdr:spPr>
        <a:xfrm rot="16200000">
          <a:off x="27241783" y="25821713"/>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Propagation Segment</a:t>
          </a:r>
        </a:p>
      </xdr:txBody>
    </xdr:sp>
    <xdr:clientData/>
  </xdr:oneCellAnchor>
  <xdr:oneCellAnchor>
    <xdr:from>
      <xdr:col>46</xdr:col>
      <xdr:colOff>233365</xdr:colOff>
      <xdr:row>150</xdr:row>
      <xdr:rowOff>180892</xdr:rowOff>
    </xdr:from>
    <xdr:ext cx="419101" cy="2353237"/>
    <xdr:sp macro="" textlink="">
      <xdr:nvSpPr>
        <xdr:cNvPr id="247" name="TextBox 246">
          <a:extLst>
            <a:ext uri="{FF2B5EF4-FFF2-40B4-BE49-F238E27FC236}">
              <a16:creationId xmlns:a16="http://schemas.microsoft.com/office/drawing/2014/main" id="{00000000-0008-0000-0700-0000F7000000}"/>
            </a:ext>
          </a:extLst>
        </xdr:cNvPr>
        <xdr:cNvSpPr txBox="1"/>
      </xdr:nvSpPr>
      <xdr:spPr>
        <a:xfrm rot="16200000">
          <a:off x="27269797" y="30776313"/>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1</a:t>
          </a:r>
        </a:p>
      </xdr:txBody>
    </xdr:sp>
    <xdr:clientData/>
  </xdr:oneCellAnchor>
  <xdr:oneCellAnchor>
    <xdr:from>
      <xdr:col>46</xdr:col>
      <xdr:colOff>222159</xdr:colOff>
      <xdr:row>167</xdr:row>
      <xdr:rowOff>167285</xdr:rowOff>
    </xdr:from>
    <xdr:ext cx="419101" cy="2353237"/>
    <xdr:sp macro="" textlink="">
      <xdr:nvSpPr>
        <xdr:cNvPr id="248" name="TextBox 247">
          <a:extLst>
            <a:ext uri="{FF2B5EF4-FFF2-40B4-BE49-F238E27FC236}">
              <a16:creationId xmlns:a16="http://schemas.microsoft.com/office/drawing/2014/main" id="{00000000-0008-0000-0700-0000F8000000}"/>
            </a:ext>
          </a:extLst>
        </xdr:cNvPr>
        <xdr:cNvSpPr txBox="1"/>
      </xdr:nvSpPr>
      <xdr:spPr>
        <a:xfrm rot="16200000">
          <a:off x="27258591" y="34158088"/>
          <a:ext cx="2353237"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Phase Segment 2</a:t>
          </a:r>
        </a:p>
      </xdr:txBody>
    </xdr:sp>
    <xdr:clientData/>
  </xdr:oneCellAnchor>
  <xdr:twoCellAnchor>
    <xdr:from>
      <xdr:col>48</xdr:col>
      <xdr:colOff>116062</xdr:colOff>
      <xdr:row>118</xdr:row>
      <xdr:rowOff>89648</xdr:rowOff>
    </xdr:from>
    <xdr:to>
      <xdr:col>49</xdr:col>
      <xdr:colOff>143276</xdr:colOff>
      <xdr:row>166</xdr:row>
      <xdr:rowOff>144076</xdr:rowOff>
    </xdr:to>
    <xdr:sp macro="" textlink="">
      <xdr:nvSpPr>
        <xdr:cNvPr id="249" name="Left Brace 248">
          <a:extLst>
            <a:ext uri="{FF2B5EF4-FFF2-40B4-BE49-F238E27FC236}">
              <a16:creationId xmlns:a16="http://schemas.microsoft.com/office/drawing/2014/main" id="{00000000-0008-0000-0700-0000F9000000}"/>
            </a:ext>
          </a:extLst>
        </xdr:cNvPr>
        <xdr:cNvSpPr/>
      </xdr:nvSpPr>
      <xdr:spPr>
        <a:xfrm rot="10800000">
          <a:off x="29329797" y="23341854"/>
          <a:ext cx="632332" cy="9635457"/>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49</xdr:col>
      <xdr:colOff>56030</xdr:colOff>
      <xdr:row>135</xdr:row>
      <xdr:rowOff>90447</xdr:rowOff>
    </xdr:from>
    <xdr:ext cx="595995" cy="3006379"/>
    <xdr:sp macro="" textlink="">
      <xdr:nvSpPr>
        <xdr:cNvPr id="250" name="TextBox 249">
          <a:extLst>
            <a:ext uri="{FF2B5EF4-FFF2-40B4-BE49-F238E27FC236}">
              <a16:creationId xmlns:a16="http://schemas.microsoft.com/office/drawing/2014/main" id="{00000000-0008-0000-0700-0000FA000000}"/>
            </a:ext>
          </a:extLst>
        </xdr:cNvPr>
        <xdr:cNvSpPr txBox="1"/>
      </xdr:nvSpPr>
      <xdr:spPr>
        <a:xfrm rot="5400000">
          <a:off x="28669691" y="27909610"/>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1</a:t>
          </a:r>
        </a:p>
      </xdr:txBody>
    </xdr:sp>
    <xdr:clientData/>
  </xdr:oneCellAnchor>
  <xdr:twoCellAnchor>
    <xdr:from>
      <xdr:col>48</xdr:col>
      <xdr:colOff>88046</xdr:colOff>
      <xdr:row>167</xdr:row>
      <xdr:rowOff>31217</xdr:rowOff>
    </xdr:from>
    <xdr:to>
      <xdr:col>49</xdr:col>
      <xdr:colOff>47225</xdr:colOff>
      <xdr:row>178</xdr:row>
      <xdr:rowOff>194502</xdr:rowOff>
    </xdr:to>
    <xdr:sp macro="" textlink="">
      <xdr:nvSpPr>
        <xdr:cNvPr id="251" name="Left Brace 250">
          <a:extLst>
            <a:ext uri="{FF2B5EF4-FFF2-40B4-BE49-F238E27FC236}">
              <a16:creationId xmlns:a16="http://schemas.microsoft.com/office/drawing/2014/main" id="{00000000-0008-0000-0700-0000FB000000}"/>
            </a:ext>
          </a:extLst>
        </xdr:cNvPr>
        <xdr:cNvSpPr/>
      </xdr:nvSpPr>
      <xdr:spPr>
        <a:xfrm rot="10800000">
          <a:off x="29301781" y="33054952"/>
          <a:ext cx="564297" cy="2303609"/>
        </a:xfrm>
        <a:prstGeom prst="leftBrace">
          <a:avLst/>
        </a:prstGeom>
        <a:ln w="19050">
          <a:tailEnd type="arrow"/>
        </a:ln>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en-US" sz="1100"/>
        </a:p>
      </xdr:txBody>
    </xdr:sp>
    <xdr:clientData/>
  </xdr:twoCellAnchor>
  <xdr:oneCellAnchor>
    <xdr:from>
      <xdr:col>48</xdr:col>
      <xdr:colOff>582705</xdr:colOff>
      <xdr:row>165</xdr:row>
      <xdr:rowOff>134471</xdr:rowOff>
    </xdr:from>
    <xdr:ext cx="595995" cy="3006379"/>
    <xdr:sp macro="" textlink="">
      <xdr:nvSpPr>
        <xdr:cNvPr id="252" name="TextBox 251">
          <a:extLst>
            <a:ext uri="{FF2B5EF4-FFF2-40B4-BE49-F238E27FC236}">
              <a16:creationId xmlns:a16="http://schemas.microsoft.com/office/drawing/2014/main" id="{00000000-0008-0000-0700-0000FC000000}"/>
            </a:ext>
          </a:extLst>
        </xdr:cNvPr>
        <xdr:cNvSpPr txBox="1"/>
      </xdr:nvSpPr>
      <xdr:spPr>
        <a:xfrm rot="5400000">
          <a:off x="28591248" y="33971192"/>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Time Segment 2</a:t>
          </a:r>
        </a:p>
      </xdr:txBody>
    </xdr:sp>
    <xdr:clientData/>
  </xdr:oneCellAnchor>
  <xdr:twoCellAnchor>
    <xdr:from>
      <xdr:col>39</xdr:col>
      <xdr:colOff>44824</xdr:colOff>
      <xdr:row>167</xdr:row>
      <xdr:rowOff>19173</xdr:rowOff>
    </xdr:from>
    <xdr:to>
      <xdr:col>41</xdr:col>
      <xdr:colOff>330012</xdr:colOff>
      <xdr:row>167</xdr:row>
      <xdr:rowOff>19173</xdr:rowOff>
    </xdr:to>
    <xdr:cxnSp macro="">
      <xdr:nvCxnSpPr>
        <xdr:cNvPr id="253" name="Straight Arrow Connector 252">
          <a:extLst>
            <a:ext uri="{FF2B5EF4-FFF2-40B4-BE49-F238E27FC236}">
              <a16:creationId xmlns:a16="http://schemas.microsoft.com/office/drawing/2014/main" id="{00000000-0008-0000-0700-0000FD000000}"/>
            </a:ext>
          </a:extLst>
        </xdr:cNvPr>
        <xdr:cNvCxnSpPr/>
      </xdr:nvCxnSpPr>
      <xdr:spPr>
        <a:xfrm flipH="1">
          <a:off x="23812500" y="33042908"/>
          <a:ext cx="1495424"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40</xdr:col>
      <xdr:colOff>320488</xdr:colOff>
      <xdr:row>165</xdr:row>
      <xdr:rowOff>100853</xdr:rowOff>
    </xdr:from>
    <xdr:ext cx="3006379" cy="595995"/>
    <xdr:sp macro="" textlink="">
      <xdr:nvSpPr>
        <xdr:cNvPr id="254" name="TextBox 253">
          <a:extLst>
            <a:ext uri="{FF2B5EF4-FFF2-40B4-BE49-F238E27FC236}">
              <a16:creationId xmlns:a16="http://schemas.microsoft.com/office/drawing/2014/main" id="{00000000-0008-0000-0700-0000FE000000}"/>
            </a:ext>
          </a:extLst>
        </xdr:cNvPr>
        <xdr:cNvSpPr txBox="1"/>
      </xdr:nvSpPr>
      <xdr:spPr>
        <a:xfrm>
          <a:off x="24693282" y="32732382"/>
          <a:ext cx="3006379" cy="5959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000" b="1"/>
            <a:t>Sample Point</a:t>
          </a:r>
        </a:p>
      </xdr:txBody>
    </xdr:sp>
    <xdr:clientData/>
  </xdr:oneCellAnchor>
  <xdr:twoCellAnchor>
    <xdr:from>
      <xdr:col>44</xdr:col>
      <xdr:colOff>276784</xdr:colOff>
      <xdr:row>167</xdr:row>
      <xdr:rowOff>38223</xdr:rowOff>
    </xdr:from>
    <xdr:to>
      <xdr:col>47</xdr:col>
      <xdr:colOff>4481</xdr:colOff>
      <xdr:row>167</xdr:row>
      <xdr:rowOff>38223</xdr:rowOff>
    </xdr:to>
    <xdr:cxnSp macro="">
      <xdr:nvCxnSpPr>
        <xdr:cNvPr id="255" name="Straight Arrow Connector 254">
          <a:extLst>
            <a:ext uri="{FF2B5EF4-FFF2-40B4-BE49-F238E27FC236}">
              <a16:creationId xmlns:a16="http://schemas.microsoft.com/office/drawing/2014/main" id="{00000000-0008-0000-0700-0000FF000000}"/>
            </a:ext>
          </a:extLst>
        </xdr:cNvPr>
        <xdr:cNvCxnSpPr/>
      </xdr:nvCxnSpPr>
      <xdr:spPr>
        <a:xfrm>
          <a:off x="27070049" y="33061958"/>
          <a:ext cx="1543050" cy="0"/>
        </a:xfrm>
        <a:prstGeom prst="straightConnector1">
          <a:avLst/>
        </a:prstGeom>
        <a:ln w="19050">
          <a:solidFill>
            <a:sysClr val="windowText" lastClr="000000"/>
          </a:solidFill>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oneCellAnchor>
    <xdr:from>
      <xdr:col>8</xdr:col>
      <xdr:colOff>9525</xdr:colOff>
      <xdr:row>0</xdr:row>
      <xdr:rowOff>95250</xdr:rowOff>
    </xdr:from>
    <xdr:ext cx="4226176" cy="895348"/>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86325" y="95250"/>
          <a:ext cx="4226176"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FMPLL Setup</a:t>
          </a:r>
        </a:p>
      </xdr:txBody>
    </xdr:sp>
    <xdr:clientData/>
  </xdr:oneCellAnchor>
  <xdr:oneCellAnchor>
    <xdr:from>
      <xdr:col>2</xdr:col>
      <xdr:colOff>487456</xdr:colOff>
      <xdr:row>6</xdr:row>
      <xdr:rowOff>139514</xdr:rowOff>
    </xdr:from>
    <xdr:ext cx="847725" cy="266700"/>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1697691" y="1282514"/>
          <a:ext cx="847725"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000" b="1"/>
            <a:t>Input</a:t>
          </a:r>
          <a:r>
            <a:rPr lang="en-US" sz="1000" b="1" baseline="0"/>
            <a:t> Clock</a:t>
          </a:r>
          <a:endParaRPr lang="en-US" sz="1000" b="1"/>
        </a:p>
      </xdr:txBody>
    </xdr:sp>
    <xdr:clientData/>
  </xdr:oneCellAnchor>
  <xdr:twoCellAnchor>
    <xdr:from>
      <xdr:col>6</xdr:col>
      <xdr:colOff>424678</xdr:colOff>
      <xdr:row>6</xdr:row>
      <xdr:rowOff>47159</xdr:rowOff>
    </xdr:from>
    <xdr:to>
      <xdr:col>8</xdr:col>
      <xdr:colOff>213830</xdr:colOff>
      <xdr:row>9</xdr:row>
      <xdr:rowOff>186768</xdr:rowOff>
    </xdr:to>
    <xdr:sp macro="" textlink="">
      <xdr:nvSpPr>
        <xdr:cNvPr id="4" name="Rectangle 3">
          <a:extLst>
            <a:ext uri="{FF2B5EF4-FFF2-40B4-BE49-F238E27FC236}">
              <a16:creationId xmlns:a16="http://schemas.microsoft.com/office/drawing/2014/main" id="{00000000-0008-0000-0800-000004000000}"/>
            </a:ext>
          </a:extLst>
        </xdr:cNvPr>
        <xdr:cNvSpPr/>
      </xdr:nvSpPr>
      <xdr:spPr>
        <a:xfrm>
          <a:off x="4076702" y="1190159"/>
          <a:ext cx="1006494" cy="73898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Prediv</a:t>
          </a:r>
        </a:p>
        <a:p>
          <a:pPr algn="ctr"/>
          <a:r>
            <a:rPr lang="en-US" sz="1100"/>
            <a:t>/1...6</a:t>
          </a:r>
        </a:p>
        <a:p>
          <a:pPr algn="ctr"/>
          <a:r>
            <a:rPr lang="en-US" sz="900"/>
            <a:t>PLLDIG_PLLDV[PREDIV]</a:t>
          </a:r>
        </a:p>
      </xdr:txBody>
    </xdr:sp>
    <xdr:clientData/>
  </xdr:twoCellAnchor>
  <xdr:twoCellAnchor>
    <xdr:from>
      <xdr:col>4</xdr:col>
      <xdr:colOff>19050</xdr:colOff>
      <xdr:row>8</xdr:row>
      <xdr:rowOff>104775</xdr:rowOff>
    </xdr:from>
    <xdr:to>
      <xdr:col>6</xdr:col>
      <xdr:colOff>419100</xdr:colOff>
      <xdr:row>8</xdr:row>
      <xdr:rowOff>104775</xdr:rowOff>
    </xdr:to>
    <xdr:cxnSp macro="">
      <xdr:nvCxnSpPr>
        <xdr:cNvPr id="5" name="Straight Arrow Connector 4">
          <a:extLst>
            <a:ext uri="{FF2B5EF4-FFF2-40B4-BE49-F238E27FC236}">
              <a16:creationId xmlns:a16="http://schemas.microsoft.com/office/drawing/2014/main" id="{00000000-0008-0000-0800-000005000000}"/>
            </a:ext>
          </a:extLst>
        </xdr:cNvPr>
        <xdr:cNvCxnSpPr/>
      </xdr:nvCxnSpPr>
      <xdr:spPr>
        <a:xfrm>
          <a:off x="2457450" y="1638300"/>
          <a:ext cx="1619250"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222560</xdr:colOff>
      <xdr:row>7</xdr:row>
      <xdr:rowOff>174702</xdr:rowOff>
    </xdr:from>
    <xdr:to>
      <xdr:col>11</xdr:col>
      <xdr:colOff>354724</xdr:colOff>
      <xdr:row>7</xdr:row>
      <xdr:rowOff>174702</xdr:rowOff>
    </xdr:to>
    <xdr:cxnSp macro="">
      <xdr:nvCxnSpPr>
        <xdr:cNvPr id="8" name="Straight Arrow Connector 7">
          <a:extLst>
            <a:ext uri="{FF2B5EF4-FFF2-40B4-BE49-F238E27FC236}">
              <a16:creationId xmlns:a16="http://schemas.microsoft.com/office/drawing/2014/main" id="{00000000-0008-0000-0800-000008000000}"/>
            </a:ext>
          </a:extLst>
        </xdr:cNvPr>
        <xdr:cNvCxnSpPr/>
      </xdr:nvCxnSpPr>
      <xdr:spPr>
        <a:xfrm>
          <a:off x="5109870" y="1508202"/>
          <a:ext cx="1964906"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404649</xdr:colOff>
      <xdr:row>6</xdr:row>
      <xdr:rowOff>40591</xdr:rowOff>
    </xdr:from>
    <xdr:to>
      <xdr:col>13</xdr:col>
      <xdr:colOff>191174</xdr:colOff>
      <xdr:row>9</xdr:row>
      <xdr:rowOff>182499</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7124701" y="1183591"/>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Multiplier</a:t>
          </a:r>
        </a:p>
        <a:p>
          <a:pPr algn="ctr"/>
          <a:r>
            <a:rPr lang="en-US" sz="1100"/>
            <a:t>*10...150</a:t>
          </a:r>
        </a:p>
        <a:p>
          <a:pPr algn="ctr"/>
          <a:r>
            <a:rPr lang="en-US" sz="900"/>
            <a:t>PLLDIG_PLLDV[MFD]</a:t>
          </a:r>
        </a:p>
      </xdr:txBody>
    </xdr:sp>
    <xdr:clientData/>
  </xdr:twoCellAnchor>
  <xdr:twoCellAnchor>
    <xdr:from>
      <xdr:col>13</xdr:col>
      <xdr:colOff>197598</xdr:colOff>
      <xdr:row>7</xdr:row>
      <xdr:rowOff>182585</xdr:rowOff>
    </xdr:from>
    <xdr:to>
      <xdr:col>14</xdr:col>
      <xdr:colOff>367862</xdr:colOff>
      <xdr:row>7</xdr:row>
      <xdr:rowOff>182585</xdr:rowOff>
    </xdr:to>
    <xdr:cxnSp macro="">
      <xdr:nvCxnSpPr>
        <xdr:cNvPr id="14" name="Straight Arrow Connector 13">
          <a:extLst>
            <a:ext uri="{FF2B5EF4-FFF2-40B4-BE49-F238E27FC236}">
              <a16:creationId xmlns:a16="http://schemas.microsoft.com/office/drawing/2014/main" id="{00000000-0008-0000-0800-00000E000000}"/>
            </a:ext>
          </a:extLst>
        </xdr:cNvPr>
        <xdr:cNvCxnSpPr/>
      </xdr:nvCxnSpPr>
      <xdr:spPr>
        <a:xfrm>
          <a:off x="8139477" y="1516085"/>
          <a:ext cx="781178"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425670</xdr:colOff>
      <xdr:row>6</xdr:row>
      <xdr:rowOff>41905</xdr:rowOff>
    </xdr:from>
    <xdr:to>
      <xdr:col>16</xdr:col>
      <xdr:colOff>212194</xdr:colOff>
      <xdr:row>9</xdr:row>
      <xdr:rowOff>183813</xdr:rowOff>
    </xdr:to>
    <xdr:sp macro="" textlink="">
      <xdr:nvSpPr>
        <xdr:cNvPr id="16" name="Rectangle 15">
          <a:extLst>
            <a:ext uri="{FF2B5EF4-FFF2-40B4-BE49-F238E27FC236}">
              <a16:creationId xmlns:a16="http://schemas.microsoft.com/office/drawing/2014/main" id="{00000000-0008-0000-0800-000010000000}"/>
            </a:ext>
          </a:extLst>
        </xdr:cNvPr>
        <xdr:cNvSpPr/>
      </xdr:nvSpPr>
      <xdr:spPr>
        <a:xfrm>
          <a:off x="8978463" y="1184905"/>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Fractional Numerator</a:t>
          </a:r>
        </a:p>
        <a:p>
          <a:pPr algn="ctr"/>
          <a:r>
            <a:rPr lang="en-US" sz="800"/>
            <a:t>0...16383</a:t>
          </a:r>
        </a:p>
        <a:p>
          <a:pPr algn="ctr"/>
          <a:r>
            <a:rPr lang="en-US" sz="750"/>
            <a:t>PLLDIG_PLLFD[MFN]</a:t>
          </a:r>
        </a:p>
      </xdr:txBody>
    </xdr:sp>
    <xdr:clientData/>
  </xdr:twoCellAnchor>
  <xdr:twoCellAnchor>
    <xdr:from>
      <xdr:col>16</xdr:col>
      <xdr:colOff>225187</xdr:colOff>
      <xdr:row>7</xdr:row>
      <xdr:rowOff>177330</xdr:rowOff>
    </xdr:from>
    <xdr:to>
      <xdr:col>17</xdr:col>
      <xdr:colOff>395452</xdr:colOff>
      <xdr:row>7</xdr:row>
      <xdr:rowOff>177330</xdr:rowOff>
    </xdr:to>
    <xdr:cxnSp macro="">
      <xdr:nvCxnSpPr>
        <xdr:cNvPr id="18" name="Straight Arrow Connector 17">
          <a:extLst>
            <a:ext uri="{FF2B5EF4-FFF2-40B4-BE49-F238E27FC236}">
              <a16:creationId xmlns:a16="http://schemas.microsoft.com/office/drawing/2014/main" id="{00000000-0008-0000-0800-000012000000}"/>
            </a:ext>
          </a:extLst>
        </xdr:cNvPr>
        <xdr:cNvCxnSpPr/>
      </xdr:nvCxnSpPr>
      <xdr:spPr>
        <a:xfrm>
          <a:off x="9999808" y="1510830"/>
          <a:ext cx="781178"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413846</xdr:colOff>
      <xdr:row>6</xdr:row>
      <xdr:rowOff>49787</xdr:rowOff>
    </xdr:from>
    <xdr:to>
      <xdr:col>19</xdr:col>
      <xdr:colOff>200370</xdr:colOff>
      <xdr:row>9</xdr:row>
      <xdr:rowOff>191695</xdr:rowOff>
    </xdr:to>
    <xdr:sp macro="" textlink="">
      <xdr:nvSpPr>
        <xdr:cNvPr id="19" name="Rectangle 18">
          <a:hlinkClick xmlns:r="http://schemas.openxmlformats.org/officeDocument/2006/relationships" r:id="rId2"/>
          <a:extLst>
            <a:ext uri="{FF2B5EF4-FFF2-40B4-BE49-F238E27FC236}">
              <a16:creationId xmlns:a16="http://schemas.microsoft.com/office/drawing/2014/main" id="{00000000-0008-0000-0800-000013000000}"/>
            </a:ext>
          </a:extLst>
        </xdr:cNvPr>
        <xdr:cNvSpPr/>
      </xdr:nvSpPr>
      <xdr:spPr>
        <a:xfrm>
          <a:off x="10799380" y="1192787"/>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650"/>
            <a:t>Fractional Denominator</a:t>
          </a:r>
        </a:p>
        <a:p>
          <a:pPr algn="ctr"/>
          <a:r>
            <a:rPr lang="en-US" sz="650"/>
            <a:t>(1</a:t>
          </a:r>
          <a:r>
            <a:rPr lang="en-US" sz="650" baseline="0"/>
            <a:t> or MFN if MFN&gt;1)</a:t>
          </a:r>
          <a:r>
            <a:rPr lang="en-US" sz="650"/>
            <a:t>...65535</a:t>
          </a:r>
        </a:p>
        <a:p>
          <a:pPr algn="ctr"/>
          <a:r>
            <a:rPr lang="en-US" sz="650"/>
            <a:t>PLLDIG_PLLCAL3[MFDEN]</a:t>
          </a:r>
        </a:p>
      </xdr:txBody>
    </xdr:sp>
    <xdr:clientData/>
  </xdr:twoCellAnchor>
  <xdr:twoCellAnchor>
    <xdr:from>
      <xdr:col>19</xdr:col>
      <xdr:colOff>193656</xdr:colOff>
      <xdr:row>7</xdr:row>
      <xdr:rowOff>185213</xdr:rowOff>
    </xdr:from>
    <xdr:to>
      <xdr:col>22</xdr:col>
      <xdr:colOff>453259</xdr:colOff>
      <xdr:row>7</xdr:row>
      <xdr:rowOff>185213</xdr:rowOff>
    </xdr:to>
    <xdr:cxnSp macro="">
      <xdr:nvCxnSpPr>
        <xdr:cNvPr id="20" name="Straight Arrow Connector 19">
          <a:extLst>
            <a:ext uri="{FF2B5EF4-FFF2-40B4-BE49-F238E27FC236}">
              <a16:creationId xmlns:a16="http://schemas.microsoft.com/office/drawing/2014/main" id="{00000000-0008-0000-0800-000014000000}"/>
            </a:ext>
          </a:extLst>
        </xdr:cNvPr>
        <xdr:cNvCxnSpPr/>
      </xdr:nvCxnSpPr>
      <xdr:spPr>
        <a:xfrm>
          <a:off x="11801018" y="1518713"/>
          <a:ext cx="2092344"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440122</xdr:colOff>
      <xdr:row>6</xdr:row>
      <xdr:rowOff>56356</xdr:rowOff>
    </xdr:from>
    <xdr:to>
      <xdr:col>24</xdr:col>
      <xdr:colOff>226646</xdr:colOff>
      <xdr:row>9</xdr:row>
      <xdr:rowOff>198264</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3880225" y="1199356"/>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RFDPHI</a:t>
          </a:r>
        </a:p>
        <a:p>
          <a:pPr algn="ctr"/>
          <a:r>
            <a:rPr lang="en-US" sz="900"/>
            <a:t>PLLDIG_PLLDV[RFDPHI]</a:t>
          </a:r>
        </a:p>
      </xdr:txBody>
    </xdr:sp>
    <xdr:clientData/>
  </xdr:twoCellAnchor>
  <xdr:oneCellAnchor>
    <xdr:from>
      <xdr:col>22</xdr:col>
      <xdr:colOff>553641</xdr:colOff>
      <xdr:row>11</xdr:row>
      <xdr:rowOff>3079</xdr:rowOff>
    </xdr:from>
    <xdr:ext cx="1077310" cy="801413"/>
    <xdr:sp macro="" textlink="">
      <xdr:nvSpPr>
        <xdr:cNvPr id="24" name="TextBox 23">
          <a:extLst>
            <a:ext uri="{FF2B5EF4-FFF2-40B4-BE49-F238E27FC236}">
              <a16:creationId xmlns:a16="http://schemas.microsoft.com/office/drawing/2014/main" id="{00000000-0008-0000-0800-000018000000}"/>
            </a:ext>
          </a:extLst>
        </xdr:cNvPr>
        <xdr:cNvSpPr txBox="1"/>
      </xdr:nvSpPr>
      <xdr:spPr>
        <a:xfrm>
          <a:off x="13912454" y="2164063"/>
          <a:ext cx="1077310" cy="8014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2</a:t>
          </a:r>
          <a:endParaRPr lang="en-US" sz="800"/>
        </a:p>
        <a:p>
          <a:r>
            <a:rPr lang="en-US" sz="800"/>
            <a:t>1 - Divide by 4</a:t>
          </a:r>
        </a:p>
        <a:p>
          <a:r>
            <a:rPr lang="en-US" sz="800"/>
            <a:t>2 - Divide by 8</a:t>
          </a:r>
        </a:p>
        <a:p>
          <a:r>
            <a:rPr lang="en-US" sz="800"/>
            <a:t>3 -</a:t>
          </a:r>
          <a:r>
            <a:rPr lang="en-US" sz="800" baseline="0"/>
            <a:t> Divide by 16</a:t>
          </a:r>
        </a:p>
        <a:p>
          <a:r>
            <a:rPr lang="en-US" sz="800" baseline="0"/>
            <a:t>4 - Divide by 32</a:t>
          </a:r>
          <a:endParaRPr lang="en-US" sz="800"/>
        </a:p>
      </xdr:txBody>
    </xdr:sp>
    <xdr:clientData/>
  </xdr:oneCellAnchor>
  <xdr:twoCellAnchor>
    <xdr:from>
      <xdr:col>24</xdr:col>
      <xdr:colOff>247521</xdr:colOff>
      <xdr:row>8</xdr:row>
      <xdr:rowOff>106183</xdr:rowOff>
    </xdr:from>
    <xdr:to>
      <xdr:col>27</xdr:col>
      <xdr:colOff>0</xdr:colOff>
      <xdr:row>8</xdr:row>
      <xdr:rowOff>106183</xdr:rowOff>
    </xdr:to>
    <xdr:cxnSp macro="">
      <xdr:nvCxnSpPr>
        <xdr:cNvPr id="25" name="Straight Arrow Connector 24">
          <a:extLst>
            <a:ext uri="{FF2B5EF4-FFF2-40B4-BE49-F238E27FC236}">
              <a16:creationId xmlns:a16="http://schemas.microsoft.com/office/drawing/2014/main" id="{00000000-0008-0000-0800-000019000000}"/>
            </a:ext>
          </a:extLst>
        </xdr:cNvPr>
        <xdr:cNvCxnSpPr/>
      </xdr:nvCxnSpPr>
      <xdr:spPr>
        <a:xfrm>
          <a:off x="14842752" y="1637510"/>
          <a:ext cx="1576883"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27</xdr:col>
      <xdr:colOff>575785</xdr:colOff>
      <xdr:row>7</xdr:row>
      <xdr:rowOff>91207</xdr:rowOff>
    </xdr:from>
    <xdr:ext cx="1057275" cy="419101"/>
    <xdr:sp macro="" textlink="">
      <xdr:nvSpPr>
        <xdr:cNvPr id="27" name="TextBox 26">
          <a:extLst>
            <a:ext uri="{FF2B5EF4-FFF2-40B4-BE49-F238E27FC236}">
              <a16:creationId xmlns:a16="http://schemas.microsoft.com/office/drawing/2014/main" id="{00000000-0008-0000-0800-00001B000000}"/>
            </a:ext>
          </a:extLst>
        </xdr:cNvPr>
        <xdr:cNvSpPr txBox="1"/>
      </xdr:nvSpPr>
      <xdr:spPr>
        <a:xfrm>
          <a:off x="16995420" y="142470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l"/>
          <a:r>
            <a:rPr lang="en-US" sz="1000" b="1"/>
            <a:t>FMPLL PHI0</a:t>
          </a:r>
        </a:p>
      </xdr:txBody>
    </xdr:sp>
    <xdr:clientData/>
  </xdr:oneCellAnchor>
  <xdr:oneCellAnchor>
    <xdr:from>
      <xdr:col>27</xdr:col>
      <xdr:colOff>557593</xdr:colOff>
      <xdr:row>16</xdr:row>
      <xdr:rowOff>114704</xdr:rowOff>
    </xdr:from>
    <xdr:ext cx="1057275" cy="419101"/>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16977228" y="3250627"/>
          <a:ext cx="1057275" cy="4191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r>
            <a:rPr lang="en-US" sz="1000" b="1"/>
            <a:t>FMPLL PHI1</a:t>
          </a:r>
        </a:p>
      </xdr:txBody>
    </xdr:sp>
    <xdr:clientData/>
  </xdr:oneCellAnchor>
  <xdr:twoCellAnchor>
    <xdr:from>
      <xdr:col>24</xdr:col>
      <xdr:colOff>243052</xdr:colOff>
      <xdr:row>17</xdr:row>
      <xdr:rowOff>101686</xdr:rowOff>
    </xdr:from>
    <xdr:to>
      <xdr:col>26</xdr:col>
      <xdr:colOff>593481</xdr:colOff>
      <xdr:row>17</xdr:row>
      <xdr:rowOff>101686</xdr:rowOff>
    </xdr:to>
    <xdr:cxnSp macro="">
      <xdr:nvCxnSpPr>
        <xdr:cNvPr id="29" name="Straight Arrow Connector 28">
          <a:extLst>
            <a:ext uri="{FF2B5EF4-FFF2-40B4-BE49-F238E27FC236}">
              <a16:creationId xmlns:a16="http://schemas.microsoft.com/office/drawing/2014/main" id="{00000000-0008-0000-0800-00001D000000}"/>
            </a:ext>
          </a:extLst>
        </xdr:cNvPr>
        <xdr:cNvCxnSpPr/>
      </xdr:nvCxnSpPr>
      <xdr:spPr>
        <a:xfrm>
          <a:off x="14838283" y="3450090"/>
          <a:ext cx="1566698"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428298</xdr:colOff>
      <xdr:row>15</xdr:row>
      <xdr:rowOff>51100</xdr:rowOff>
    </xdr:from>
    <xdr:to>
      <xdr:col>24</xdr:col>
      <xdr:colOff>214822</xdr:colOff>
      <xdr:row>18</xdr:row>
      <xdr:rowOff>193009</xdr:rowOff>
    </xdr:to>
    <xdr:sp macro="" textlink="">
      <xdr:nvSpPr>
        <xdr:cNvPr id="30" name="Rectangle 29">
          <a:extLst>
            <a:ext uri="{FF2B5EF4-FFF2-40B4-BE49-F238E27FC236}">
              <a16:creationId xmlns:a16="http://schemas.microsoft.com/office/drawing/2014/main" id="{00000000-0008-0000-0800-00001E000000}"/>
            </a:ext>
          </a:extLst>
        </xdr:cNvPr>
        <xdr:cNvSpPr/>
      </xdr:nvSpPr>
      <xdr:spPr>
        <a:xfrm>
          <a:off x="13868401" y="2980859"/>
          <a:ext cx="1008352" cy="73968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RFDPHI1</a:t>
          </a:r>
        </a:p>
        <a:p>
          <a:pPr algn="ctr"/>
          <a:r>
            <a:rPr lang="en-US" sz="900"/>
            <a:t>PLLDIG_PLLDV[RFDPHI1]</a:t>
          </a:r>
        </a:p>
      </xdr:txBody>
    </xdr:sp>
    <xdr:clientData/>
  </xdr:twoCellAnchor>
  <xdr:oneCellAnchor>
    <xdr:from>
      <xdr:col>22</xdr:col>
      <xdr:colOff>559677</xdr:colOff>
      <xdr:row>19</xdr:row>
      <xdr:rowOff>191814</xdr:rowOff>
    </xdr:from>
    <xdr:ext cx="1077310" cy="801413"/>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13999780" y="3929555"/>
          <a:ext cx="1077310" cy="8014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2</a:t>
          </a:r>
          <a:endParaRPr lang="en-US" sz="800"/>
        </a:p>
        <a:p>
          <a:r>
            <a:rPr lang="en-US" sz="800"/>
            <a:t>1 - Divide by 4</a:t>
          </a:r>
        </a:p>
        <a:p>
          <a:r>
            <a:rPr lang="en-US" sz="800"/>
            <a:t>2 - Divide by 8</a:t>
          </a:r>
        </a:p>
        <a:p>
          <a:r>
            <a:rPr lang="en-US" sz="800"/>
            <a:t>3 -</a:t>
          </a:r>
          <a:r>
            <a:rPr lang="en-US" sz="800" baseline="0"/>
            <a:t> Divide by 16</a:t>
          </a:r>
        </a:p>
        <a:p>
          <a:r>
            <a:rPr lang="en-US" sz="800" baseline="0"/>
            <a:t>4 - Divide by 32</a:t>
          </a:r>
          <a:endParaRPr lang="en-US" sz="800"/>
        </a:p>
      </xdr:txBody>
    </xdr:sp>
    <xdr:clientData/>
  </xdr:oneCellAnchor>
  <xdr:twoCellAnchor>
    <xdr:from>
      <xdr:col>21</xdr:col>
      <xdr:colOff>72258</xdr:colOff>
      <xdr:row>17</xdr:row>
      <xdr:rowOff>22302</xdr:rowOff>
    </xdr:from>
    <xdr:to>
      <xdr:col>22</xdr:col>
      <xdr:colOff>421728</xdr:colOff>
      <xdr:row>17</xdr:row>
      <xdr:rowOff>22302</xdr:rowOff>
    </xdr:to>
    <xdr:cxnSp macro="">
      <xdr:nvCxnSpPr>
        <xdr:cNvPr id="33" name="Straight Arrow Connector 32">
          <a:extLst>
            <a:ext uri="{FF2B5EF4-FFF2-40B4-BE49-F238E27FC236}">
              <a16:creationId xmlns:a16="http://schemas.microsoft.com/office/drawing/2014/main" id="{00000000-0008-0000-0800-000021000000}"/>
            </a:ext>
          </a:extLst>
        </xdr:cNvPr>
        <xdr:cNvCxnSpPr/>
      </xdr:nvCxnSpPr>
      <xdr:spPr>
        <a:xfrm>
          <a:off x="12901448" y="3339630"/>
          <a:ext cx="960383" cy="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73572</xdr:colOff>
      <xdr:row>8</xdr:row>
      <xdr:rowOff>0</xdr:rowOff>
    </xdr:from>
    <xdr:to>
      <xdr:col>21</xdr:col>
      <xdr:colOff>73572</xdr:colOff>
      <xdr:row>17</xdr:row>
      <xdr:rowOff>23617</xdr:rowOff>
    </xdr:to>
    <xdr:cxnSp macro="">
      <xdr:nvCxnSpPr>
        <xdr:cNvPr id="35" name="Straight Arrow Connector 34">
          <a:extLst>
            <a:ext uri="{FF2B5EF4-FFF2-40B4-BE49-F238E27FC236}">
              <a16:creationId xmlns:a16="http://schemas.microsoft.com/office/drawing/2014/main" id="{00000000-0008-0000-0800-000023000000}"/>
            </a:ext>
          </a:extLst>
        </xdr:cNvPr>
        <xdr:cNvCxnSpPr/>
      </xdr:nvCxnSpPr>
      <xdr:spPr>
        <a:xfrm flipV="1">
          <a:off x="12902762" y="1530569"/>
          <a:ext cx="0" cy="1810376"/>
        </a:xfrm>
        <a:prstGeom prst="straightConnector1">
          <a:avLst/>
        </a:prstGeom>
        <a:ln w="19050">
          <a:tailEnd type="non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341586</xdr:colOff>
      <xdr:row>19</xdr:row>
      <xdr:rowOff>98535</xdr:rowOff>
    </xdr:from>
    <xdr:ext cx="3339365" cy="409244"/>
    <xdr:sp macro="" textlink="">
      <xdr:nvSpPr>
        <xdr:cNvPr id="26" name="TextBox 25">
          <a:extLst>
            <a:ext uri="{FF2B5EF4-FFF2-40B4-BE49-F238E27FC236}">
              <a16:creationId xmlns:a16="http://schemas.microsoft.com/office/drawing/2014/main" id="{00000000-0008-0000-0800-00001A000000}"/>
            </a:ext>
          </a:extLst>
        </xdr:cNvPr>
        <xdr:cNvSpPr txBox="1"/>
      </xdr:nvSpPr>
      <xdr:spPr>
        <a:xfrm>
          <a:off x="341586" y="3836276"/>
          <a:ext cx="3339365" cy="4092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Fractional</a:t>
          </a:r>
          <a:r>
            <a:rPr lang="en-US" sz="1400" b="1" baseline="0"/>
            <a:t> Divider Examples</a:t>
          </a:r>
          <a:endParaRPr lang="en-US" sz="1400" b="1"/>
        </a:p>
      </xdr:txBody>
    </xdr:sp>
    <xdr:clientData/>
  </xdr:oneCellAnchor>
  <xdr:twoCellAnchor>
    <xdr:from>
      <xdr:col>0</xdr:col>
      <xdr:colOff>610913</xdr:colOff>
      <xdr:row>21</xdr:row>
      <xdr:rowOff>6569</xdr:rowOff>
    </xdr:from>
    <xdr:to>
      <xdr:col>6</xdr:col>
      <xdr:colOff>578068</xdr:colOff>
      <xdr:row>24</xdr:row>
      <xdr:rowOff>177362</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610913" y="4151586"/>
          <a:ext cx="3632638" cy="7422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MFN = 0, Denominator</a:t>
          </a:r>
          <a:r>
            <a:rPr lang="en-US" sz="1100" baseline="0"/>
            <a:t> (min) = 1, Denom (max) = 65535</a:t>
          </a:r>
        </a:p>
        <a:p>
          <a:r>
            <a:rPr lang="en-US" sz="1100" baseline="0"/>
            <a:t>If MFN = 1, Denom (min) = 1, Denom (max) = 65535</a:t>
          </a:r>
        </a:p>
        <a:p>
          <a:r>
            <a:rPr lang="en-US" sz="1100" baseline="0"/>
            <a:t>If MFN = 2, Denom (min) = 2, Denom (max) = 65535</a:t>
          </a:r>
        </a:p>
        <a:p>
          <a:r>
            <a:rPr lang="en-US" sz="1100" baseline="0"/>
            <a:t>If MFN = 3594, Denom (min) = 3594, Denom (max) = 65535</a:t>
          </a:r>
          <a:endParaRPr lang="en-US" sz="1100"/>
        </a:p>
      </xdr:txBody>
    </xdr:sp>
    <xdr:clientData/>
  </xdr:twoCellAnchor>
  <xdr:twoCellAnchor>
    <xdr:from>
      <xdr:col>3</xdr:col>
      <xdr:colOff>410766</xdr:colOff>
      <xdr:row>12</xdr:row>
      <xdr:rowOff>11905</xdr:rowOff>
    </xdr:from>
    <xdr:to>
      <xdr:col>5</xdr:col>
      <xdr:colOff>199917</xdr:colOff>
      <xdr:row>15</xdr:row>
      <xdr:rowOff>181280</xdr:rowOff>
    </xdr:to>
    <xdr:sp macro="" textlink="">
      <xdr:nvSpPr>
        <xdr:cNvPr id="31" name="Rectangle 30">
          <a:hlinkClick xmlns:r="http://schemas.openxmlformats.org/officeDocument/2006/relationships" r:id="rId3"/>
          <a:extLst>
            <a:ext uri="{FF2B5EF4-FFF2-40B4-BE49-F238E27FC236}">
              <a16:creationId xmlns:a16="http://schemas.microsoft.com/office/drawing/2014/main" id="{00000000-0008-0000-0800-00001F000000}"/>
            </a:ext>
          </a:extLst>
        </xdr:cNvPr>
        <xdr:cNvSpPr/>
      </xdr:nvSpPr>
      <xdr:spPr>
        <a:xfrm>
          <a:off x="2232422" y="2375296"/>
          <a:ext cx="1003589" cy="740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FMPLL</a:t>
          </a:r>
          <a:r>
            <a:rPr lang="en-US" sz="1100" baseline="0"/>
            <a:t> Enable</a:t>
          </a:r>
        </a:p>
        <a:p>
          <a:pPr algn="ctr"/>
          <a:r>
            <a:rPr lang="en-US" sz="900" baseline="0"/>
            <a:t>Click me for more info</a:t>
          </a:r>
          <a:endParaRPr lang="en-US" sz="900"/>
        </a:p>
      </xdr:txBody>
    </xdr:sp>
    <xdr:clientData/>
  </xdr:twoCellAnchor>
  <xdr:oneCellAnchor>
    <xdr:from>
      <xdr:col>3</xdr:col>
      <xdr:colOff>541735</xdr:colOff>
      <xdr:row>17</xdr:row>
      <xdr:rowOff>5954</xdr:rowOff>
    </xdr:from>
    <xdr:ext cx="696515" cy="345282"/>
    <xdr:sp macro="" textlink="">
      <xdr:nvSpPr>
        <xdr:cNvPr id="34" name="TextBox 33">
          <a:extLst>
            <a:ext uri="{FF2B5EF4-FFF2-40B4-BE49-F238E27FC236}">
              <a16:creationId xmlns:a16="http://schemas.microsoft.com/office/drawing/2014/main" id="{00000000-0008-0000-0800-000022000000}"/>
            </a:ext>
          </a:extLst>
        </xdr:cNvPr>
        <xdr:cNvSpPr txBox="1"/>
      </xdr:nvSpPr>
      <xdr:spPr>
        <a:xfrm>
          <a:off x="2363391" y="3351610"/>
          <a:ext cx="696515" cy="3452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PLL</a:t>
          </a:r>
          <a:r>
            <a:rPr lang="en-US" sz="800" baseline="0"/>
            <a:t> Off</a:t>
          </a:r>
          <a:endParaRPr lang="en-US" sz="800"/>
        </a:p>
        <a:p>
          <a:r>
            <a:rPr lang="en-US" sz="800"/>
            <a:t>1 - PLL On</a:t>
          </a:r>
        </a:p>
      </xdr:txBody>
    </xdr:sp>
    <xdr:clientData/>
  </xdr:oneCellAnchor>
  <xdr:twoCellAnchor>
    <xdr:from>
      <xdr:col>4</xdr:col>
      <xdr:colOff>314325</xdr:colOff>
      <xdr:row>8</xdr:row>
      <xdr:rowOff>101203</xdr:rowOff>
    </xdr:from>
    <xdr:to>
      <xdr:col>4</xdr:col>
      <xdr:colOff>314325</xdr:colOff>
      <xdr:row>11</xdr:row>
      <xdr:rowOff>197645</xdr:rowOff>
    </xdr:to>
    <xdr:cxnSp macro="">
      <xdr:nvCxnSpPr>
        <xdr:cNvPr id="36" name="Straight Arrow Connector 35">
          <a:extLst>
            <a:ext uri="{FF2B5EF4-FFF2-40B4-BE49-F238E27FC236}">
              <a16:creationId xmlns:a16="http://schemas.microsoft.com/office/drawing/2014/main" id="{00000000-0008-0000-0800-000024000000}"/>
            </a:ext>
          </a:extLst>
        </xdr:cNvPr>
        <xdr:cNvCxnSpPr/>
      </xdr:nvCxnSpPr>
      <xdr:spPr>
        <a:xfrm flipV="1">
          <a:off x="2743200" y="1637109"/>
          <a:ext cx="0" cy="721520"/>
        </a:xfrm>
        <a:prstGeom prst="straightConnector1">
          <a:avLst/>
        </a:prstGeom>
        <a:ln w="19050">
          <a:tailEnd type="arrow"/>
        </a:ln>
      </xdr:spPr>
      <xdr:style>
        <a:lnRef idx="1">
          <a:schemeClr val="dk1"/>
        </a:lnRef>
        <a:fillRef idx="0">
          <a:schemeClr val="dk1"/>
        </a:fillRef>
        <a:effectRef idx="0">
          <a:schemeClr val="dk1"/>
        </a:effectRef>
        <a:fontRef idx="minor">
          <a:schemeClr val="tx1"/>
        </a:fontRef>
      </xdr:style>
    </xdr:cxnSp>
    <xdr:clientData/>
  </xdr:twoCellAnchor>
  <xdr:oneCellAnchor>
    <xdr:from>
      <xdr:col>6</xdr:col>
      <xdr:colOff>586153</xdr:colOff>
      <xdr:row>11</xdr:row>
      <xdr:rowOff>21980</xdr:rowOff>
    </xdr:from>
    <xdr:ext cx="1260231" cy="1186963"/>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4234961" y="2190749"/>
          <a:ext cx="1260231" cy="11869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800"/>
            <a:t>0 - Divide</a:t>
          </a:r>
          <a:r>
            <a:rPr lang="en-US" sz="800" baseline="0"/>
            <a:t> by 1</a:t>
          </a:r>
          <a:endParaRPr lang="en-US" sz="800"/>
        </a:p>
        <a:p>
          <a:r>
            <a:rPr lang="en-US" sz="800"/>
            <a:t>1 - Divide</a:t>
          </a:r>
          <a:r>
            <a:rPr lang="en-US" sz="800" baseline="0"/>
            <a:t> by 1, too</a:t>
          </a:r>
        </a:p>
        <a:p>
          <a:r>
            <a:rPr lang="en-US" sz="800" baseline="0"/>
            <a:t>2 - Divide by 2</a:t>
          </a:r>
        </a:p>
        <a:p>
          <a:r>
            <a:rPr lang="en-US" sz="800" baseline="0"/>
            <a:t>3 - Divide by 3</a:t>
          </a:r>
        </a:p>
        <a:p>
          <a:r>
            <a:rPr lang="en-US" sz="800" baseline="0"/>
            <a:t>4 - Divide by 4</a:t>
          </a:r>
        </a:p>
        <a:p>
          <a:r>
            <a:rPr lang="en-US" sz="800" baseline="0"/>
            <a:t>5 - Divide by 5</a:t>
          </a:r>
        </a:p>
        <a:p>
          <a:r>
            <a:rPr lang="en-US" sz="800" baseline="0"/>
            <a:t>6 - Divide by 6</a:t>
          </a:r>
        </a:p>
        <a:p>
          <a:r>
            <a:rPr lang="en-US" sz="800" baseline="0"/>
            <a:t>7 - Reserved</a:t>
          </a:r>
        </a:p>
        <a:p>
          <a:endParaRPr lang="en-US" sz="800"/>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2</xdr:col>
      <xdr:colOff>500060</xdr:colOff>
      <xdr:row>0</xdr:row>
      <xdr:rowOff>846829</xdr:rowOff>
    </xdr:from>
    <xdr:to>
      <xdr:col>12</xdr:col>
      <xdr:colOff>476250</xdr:colOff>
      <xdr:row>7</xdr:row>
      <xdr:rowOff>166687</xdr:rowOff>
    </xdr:to>
    <xdr:grpSp>
      <xdr:nvGrpSpPr>
        <xdr:cNvPr id="5" name="Group 4">
          <a:extLst>
            <a:ext uri="{FF2B5EF4-FFF2-40B4-BE49-F238E27FC236}">
              <a16:creationId xmlns:a16="http://schemas.microsoft.com/office/drawing/2014/main" id="{00000000-0008-0000-0900-000005000000}"/>
            </a:ext>
          </a:extLst>
        </xdr:cNvPr>
        <xdr:cNvGrpSpPr/>
      </xdr:nvGrpSpPr>
      <xdr:grpSpPr>
        <a:xfrm>
          <a:off x="1714498" y="846829"/>
          <a:ext cx="6072190" cy="1510608"/>
          <a:chOff x="1690686" y="1585016"/>
          <a:chExt cx="5929315" cy="1546328"/>
        </a:xfrm>
      </xdr:grpSpPr>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864" t="8955" r="1587" b="13433"/>
          <a:stretch/>
        </xdr:blipFill>
        <xdr:spPr bwMode="auto">
          <a:xfrm>
            <a:off x="1690686" y="2333625"/>
            <a:ext cx="5921531" cy="79771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90687" y="1585016"/>
            <a:ext cx="5929314" cy="76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0</xdr:colOff>
      <xdr:row>3</xdr:row>
      <xdr:rowOff>59531</xdr:rowOff>
    </xdr:from>
    <xdr:to>
      <xdr:col>12</xdr:col>
      <xdr:colOff>0</xdr:colOff>
      <xdr:row>12</xdr:row>
      <xdr:rowOff>10422</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1774031" y="1357312"/>
          <a:ext cx="5464969" cy="1915423"/>
          <a:chOff x="1690686" y="1585016"/>
          <a:chExt cx="5929315" cy="1546328"/>
        </a:xfrm>
      </xdr:grpSpPr>
      <xdr:pic>
        <xdr:nvPicPr>
          <xdr:cNvPr id="4" name="Picture 3">
            <a:extLst>
              <a:ext uri="{FF2B5EF4-FFF2-40B4-BE49-F238E27FC236}">
                <a16:creationId xmlns:a16="http://schemas.microsoft.com/office/drawing/2014/main" id="{00000000-0008-0000-0A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9864" t="8955" r="1587" b="13433"/>
          <a:stretch/>
        </xdr:blipFill>
        <xdr:spPr bwMode="auto">
          <a:xfrm>
            <a:off x="1690686" y="2333625"/>
            <a:ext cx="5921531" cy="79771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90687" y="1585016"/>
            <a:ext cx="5929314" cy="76766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542925</xdr:colOff>
      <xdr:row>0</xdr:row>
      <xdr:rowOff>123825</xdr:rowOff>
    </xdr:from>
    <xdr:ext cx="5791200" cy="895348"/>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971675" y="123825"/>
          <a:ext cx="5791200" cy="895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2800" b="1"/>
            <a:t>MPC574xG Summary</a:t>
          </a:r>
        </a:p>
      </xdr:txBody>
    </xdr:sp>
    <xdr:clientData/>
  </xdr:oneCellAnchor>
  <xdr:oneCellAnchor>
    <xdr:from>
      <xdr:col>0</xdr:col>
      <xdr:colOff>514350</xdr:colOff>
      <xdr:row>3</xdr:row>
      <xdr:rowOff>76199</xdr:rowOff>
    </xdr:from>
    <xdr:ext cx="2990850" cy="457201"/>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14350" y="647699"/>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Register Summary</a:t>
          </a:r>
        </a:p>
      </xdr:txBody>
    </xdr:sp>
    <xdr:clientData/>
  </xdr:oneCellAnchor>
  <xdr:oneCellAnchor>
    <xdr:from>
      <xdr:col>6</xdr:col>
      <xdr:colOff>1343025</xdr:colOff>
      <xdr:row>3</xdr:row>
      <xdr:rowOff>114300</xdr:rowOff>
    </xdr:from>
    <xdr:ext cx="2990850" cy="457201"/>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7886700" y="685800"/>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Clock Summary</a:t>
          </a:r>
        </a:p>
      </xdr:txBody>
    </xdr:sp>
    <xdr:clientData/>
  </xdr:oneCellAnchor>
  <xdr:oneCellAnchor>
    <xdr:from>
      <xdr:col>11</xdr:col>
      <xdr:colOff>171450</xdr:colOff>
      <xdr:row>3</xdr:row>
      <xdr:rowOff>57150</xdr:rowOff>
    </xdr:from>
    <xdr:ext cx="2990850" cy="457201"/>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13258800" y="628650"/>
          <a:ext cx="2990850" cy="457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ctr">
          <a:noAutofit/>
        </a:bodyPr>
        <a:lstStyle/>
        <a:p>
          <a:pPr algn="ctr"/>
          <a:r>
            <a:rPr lang="en-US" sz="1400" b="1"/>
            <a:t>Sample Initialization Code</a:t>
          </a:r>
        </a:p>
      </xdr:txBody>
    </xdr:sp>
    <xdr:clientData/>
  </xdr:oneCellAnchor>
  <mc:AlternateContent xmlns:mc="http://schemas.openxmlformats.org/markup-compatibility/2006">
    <mc:Choice xmlns:a14="http://schemas.microsoft.com/office/drawing/2010/main" Requires="a14">
      <xdr:twoCellAnchor>
        <xdr:from>
          <xdr:col>15</xdr:col>
          <xdr:colOff>518160</xdr:colOff>
          <xdr:row>3</xdr:row>
          <xdr:rowOff>60960</xdr:rowOff>
        </xdr:from>
        <xdr:to>
          <xdr:col>17</xdr:col>
          <xdr:colOff>579120</xdr:colOff>
          <xdr:row>5</xdr:row>
          <xdr:rowOff>60960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327660</xdr:colOff>
          <xdr:row>54</xdr:row>
          <xdr:rowOff>175260</xdr:rowOff>
        </xdr:from>
        <xdr:to>
          <xdr:col>17</xdr:col>
          <xdr:colOff>533400</xdr:colOff>
          <xdr:row>57</xdr:row>
          <xdr:rowOff>45720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Code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w="19050">
          <a:tailEnd type="arrow"/>
        </a:ln>
      </a:spPr>
      <a:bodyPr/>
      <a:lstStyle/>
      <a:style>
        <a:lnRef idx="1">
          <a:schemeClr val="dk1"/>
        </a:lnRef>
        <a:fillRef idx="0">
          <a:schemeClr val="dk1"/>
        </a:fillRef>
        <a:effectRef idx="0">
          <a:schemeClr val="dk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61"/>
  <sheetViews>
    <sheetView topLeftCell="A4" zoomScale="115" zoomScaleNormal="115" workbookViewId="0">
      <selection activeCell="C30" sqref="C30"/>
    </sheetView>
  </sheetViews>
  <sheetFormatPr defaultRowHeight="14.4" x14ac:dyDescent="0.3"/>
  <cols>
    <col min="24" max="24" width="4.33203125" bestFit="1" customWidth="1"/>
    <col min="25" max="25" width="10.6640625" bestFit="1" customWidth="1"/>
    <col min="26" max="26" width="28.33203125" customWidth="1"/>
    <col min="27" max="27" width="70.88671875" bestFit="1" customWidth="1"/>
  </cols>
  <sheetData>
    <row r="1" spans="1:27" ht="22.2" thickTop="1" thickBot="1" x14ac:dyDescent="0.35">
      <c r="A1" s="54"/>
      <c r="B1" s="54"/>
      <c r="C1" s="54"/>
      <c r="X1" s="61" t="s">
        <v>51</v>
      </c>
      <c r="Y1" s="61" t="s">
        <v>52</v>
      </c>
      <c r="Z1" s="61" t="s">
        <v>53</v>
      </c>
      <c r="AA1" s="61" t="s">
        <v>54</v>
      </c>
    </row>
    <row r="2" spans="1:27" ht="22.2" thickTop="1" thickBot="1" x14ac:dyDescent="0.35">
      <c r="A2" s="54"/>
      <c r="B2" s="54"/>
      <c r="C2" s="54"/>
      <c r="X2" s="37">
        <v>0</v>
      </c>
      <c r="Y2" s="62">
        <v>42682</v>
      </c>
      <c r="Z2" s="37" t="s">
        <v>55</v>
      </c>
      <c r="AA2" s="70" t="s">
        <v>56</v>
      </c>
    </row>
    <row r="3" spans="1:27" ht="15.6" thickTop="1" thickBot="1" x14ac:dyDescent="0.35">
      <c r="A3" s="55"/>
      <c r="B3" s="55"/>
      <c r="C3" s="33"/>
      <c r="X3" s="37">
        <v>1</v>
      </c>
      <c r="Y3" s="62">
        <v>42739</v>
      </c>
      <c r="Z3" s="37" t="s">
        <v>55</v>
      </c>
      <c r="AA3" s="70" t="s">
        <v>59</v>
      </c>
    </row>
    <row r="4" spans="1:27" ht="15.6" thickTop="1" thickBot="1" x14ac:dyDescent="0.35">
      <c r="A4" s="55"/>
      <c r="B4" s="55"/>
      <c r="C4" s="33"/>
      <c r="X4" s="37">
        <v>2</v>
      </c>
      <c r="Y4" s="62">
        <v>42758</v>
      </c>
      <c r="Z4" s="37" t="s">
        <v>55</v>
      </c>
      <c r="AA4" s="70" t="s">
        <v>61</v>
      </c>
    </row>
    <row r="5" spans="1:27" ht="15.6" thickTop="1" thickBot="1" x14ac:dyDescent="0.35">
      <c r="A5" s="55"/>
      <c r="B5" s="55"/>
      <c r="C5" s="33"/>
      <c r="D5" s="25"/>
      <c r="O5" s="5"/>
      <c r="P5" t="s">
        <v>42</v>
      </c>
      <c r="X5" s="37">
        <v>3</v>
      </c>
      <c r="Y5" s="62">
        <v>42857</v>
      </c>
      <c r="Z5" s="37" t="s">
        <v>55</v>
      </c>
      <c r="AA5" s="70" t="s">
        <v>1555</v>
      </c>
    </row>
    <row r="6" spans="1:27" ht="17.25" customHeight="1" thickTop="1" thickBot="1" x14ac:dyDescent="0.35">
      <c r="O6" s="7"/>
      <c r="P6" t="s">
        <v>13</v>
      </c>
      <c r="X6" s="37">
        <v>4</v>
      </c>
      <c r="Y6" s="62">
        <v>42871</v>
      </c>
      <c r="Z6" s="37" t="s">
        <v>1556</v>
      </c>
      <c r="AA6" s="70" t="s">
        <v>1557</v>
      </c>
    </row>
    <row r="7" spans="1:27" ht="15.6" thickTop="1" thickBot="1" x14ac:dyDescent="0.35">
      <c r="G7" s="36">
        <f>D16/(D8+1)</f>
        <v>16</v>
      </c>
      <c r="X7" s="37">
        <v>5</v>
      </c>
      <c r="Y7" s="62">
        <v>42894</v>
      </c>
      <c r="Z7" s="37" t="s">
        <v>55</v>
      </c>
      <c r="AA7" s="70" t="s">
        <v>1740</v>
      </c>
    </row>
    <row r="8" spans="1:27" ht="15.6" thickTop="1" thickBot="1" x14ac:dyDescent="0.35">
      <c r="D8" s="63">
        <v>0</v>
      </c>
      <c r="V8" s="36">
        <f>IF(OR(S31="DRUN",S31="RUN0",S31="RUN1",S31="RUN2",S31="RUN3",S31="STOP"),IF(G15=0,D16,IF(G15=1,F33,IF(G15=2,K17,0))),IF(S31="STANDBY",0,IF(OR(S31="RESET",S31="SAFE"),D16,U41)))</f>
        <v>160</v>
      </c>
      <c r="X8" s="37">
        <v>6</v>
      </c>
      <c r="Y8" s="62">
        <v>42979</v>
      </c>
      <c r="Z8" s="37" t="s">
        <v>55</v>
      </c>
      <c r="AA8" s="70" t="s">
        <v>1741</v>
      </c>
    </row>
    <row r="9" spans="1:27" ht="15.6" thickTop="1" thickBot="1" x14ac:dyDescent="0.35"/>
    <row r="10" spans="1:27" ht="15.6" thickTop="1" thickBot="1" x14ac:dyDescent="0.35">
      <c r="V10" s="36">
        <f>IF(OR(S31="DRUN",S31="RUN0",S31="RUN1",S31="RUN2",S31="RUN3",S31="STOP"),IF(G15=0,D16,IF(G15=1,F33,IF(G15=2,K17,0)))/(P11+1),IF(S31="STANDBY",0,IF(OR(S31="RESET",S31="SAFE"),D16,U41)))</f>
        <v>160</v>
      </c>
    </row>
    <row r="11" spans="1:27" ht="15.6" thickTop="1" thickBot="1" x14ac:dyDescent="0.35">
      <c r="P11" s="63">
        <v>0</v>
      </c>
    </row>
    <row r="12" spans="1:27" ht="15" thickTop="1" x14ac:dyDescent="0.3"/>
    <row r="13" spans="1:27" ht="15" thickBot="1" x14ac:dyDescent="0.35"/>
    <row r="14" spans="1:27" ht="15.6" thickTop="1" thickBot="1" x14ac:dyDescent="0.35">
      <c r="V14" s="36">
        <f>IF(OR(S31="DRUN",S31="RUN0",S31="RUN1",S31="RUN2",S31="RUN3",S31="STOP"),IF(G15=0,D16,IF(G15=1,F33,IF(G15=2,K17,0)))/(P15+1),IF(S31="STANDBY",0,IF(OR(S31="RESET",S31="SAFE"),D16,U41)))</f>
        <v>80</v>
      </c>
    </row>
    <row r="15" spans="1:27" ht="15.6" thickTop="1" thickBot="1" x14ac:dyDescent="0.35">
      <c r="G15" s="63">
        <v>2</v>
      </c>
      <c r="P15" s="63">
        <v>1</v>
      </c>
    </row>
    <row r="16" spans="1:27" ht="15.6" thickTop="1" thickBot="1" x14ac:dyDescent="0.35">
      <c r="D16" s="35">
        <f>IF(OR(S31="RESET",S31="SAFE",S31="DRUN",S31="RUN0",S31="RUN1",S31="RUN2",S31="RUN3",S31="STOP",S31="STANDBY"),'Clock Source Control'!M6,IF(S31="LPU_RUN",'Clock Source Control'!$M$12,IF(S31="LPU_SLEEP",'Clock Source Control'!$M$12,IF(S31="LPU_STOP",'Clock Source Control'!$M$29,IF(S31="LPU_STANDBY",'Clock Source Control'!$M$38,IF(S31="STOP",'Clock Source Control'!M19,IF(S31="STANDBY",'Clock Source Control'!M47,0)))))))</f>
        <v>16</v>
      </c>
    </row>
    <row r="17" spans="3:22" ht="15.6" thickTop="1" thickBot="1" x14ac:dyDescent="0.35">
      <c r="G17" s="34"/>
      <c r="K17" s="36">
        <f>IF(S31="DRUN",'Clock Source Control'!$BT$6,IF(S31="RUN0",'Clock Source Control'!$BT$16,IF(S31="RUN1",'Clock Source Control'!$BT$26,IF(S31="RUN2",'Clock Source Control'!$BT$37,IF(S31="RUN3",'Clock Source Control'!$BT$49,0)))))</f>
        <v>160</v>
      </c>
    </row>
    <row r="18" spans="3:22" ht="15.6" thickTop="1" thickBot="1" x14ac:dyDescent="0.35">
      <c r="K18" s="38"/>
      <c r="V18" s="36">
        <f>IF(OR(S31="DRUN",S31="RUN0",S31="RUN1",S31="RUN2",S31="RUN3",S31="STOP"),IF(G15=0,D16,IF(G15=1,F33,IF(G15=2,K17,0)))/(P19+1),IF(S31="STANDBY",0,IF(OR(S31="RESET",S31="SAFE"),D16,U41)))</f>
        <v>80</v>
      </c>
    </row>
    <row r="19" spans="3:22" ht="15.6" thickTop="1" thickBot="1" x14ac:dyDescent="0.35">
      <c r="C19" s="34"/>
      <c r="P19" s="63">
        <v>1</v>
      </c>
    </row>
    <row r="20" spans="3:22" ht="15.6" thickTop="1" thickBot="1" x14ac:dyDescent="0.35"/>
    <row r="21" spans="3:22" ht="15.6" thickTop="1" thickBot="1" x14ac:dyDescent="0.35">
      <c r="I21" s="35">
        <f>FMPLL!D9</f>
        <v>40</v>
      </c>
      <c r="V21" s="36">
        <f>IF(OR(S31="DRUN",S31="RUN0",S31="RUN1",S31="RUN2",S31="RUN3",S31="STOP"),IF(G15=0,D16,IF(G15=1,F33,IF(G15=2,K17,0)))/(P22+1),IF(S31="STANDBY",0,IF(OR(S31="RESET",S31="SAFE"),D16,U41)))</f>
        <v>40</v>
      </c>
    </row>
    <row r="22" spans="3:22" ht="15.6" thickTop="1" thickBot="1" x14ac:dyDescent="0.35">
      <c r="I22" s="66"/>
      <c r="P22" s="63">
        <v>3</v>
      </c>
    </row>
    <row r="23" spans="3:22" ht="15.6" thickTop="1" thickBot="1" x14ac:dyDescent="0.35"/>
    <row r="24" spans="3:22" ht="15.6" thickTop="1" thickBot="1" x14ac:dyDescent="0.35">
      <c r="G24" s="63">
        <v>1</v>
      </c>
      <c r="J24" s="9"/>
    </row>
    <row r="25" spans="3:22" ht="15.6" thickTop="1" thickBot="1" x14ac:dyDescent="0.35">
      <c r="V25" s="36">
        <f>IF(OR(S31="DRUN",S31="RUN0",S31="RUN1",S31="RUN2",S31="RUN3",S31="STOP"),IF(G15=0,D16,IF(G15=1,F33,IF(G15=2,K17,0)))/4,IF(S31="STANDBY",0,IF(OR(S31="RESET",S31="SAFE"),D16,U41)))</f>
        <v>40</v>
      </c>
    </row>
    <row r="26" spans="3:22" ht="15.6" thickTop="1" thickBot="1" x14ac:dyDescent="0.35"/>
    <row r="27" spans="3:22" ht="15.6" thickTop="1" thickBot="1" x14ac:dyDescent="0.35">
      <c r="V27" s="36">
        <f>IF(OR(S31="DRUN",S31="RUN0",S31="RUN1",S31="RUN2",S31="RUN3",S31="STOP"),IF(G15=0,D16,IF(G15=1,F33,IF(G15=2,K17,0)))/2,IF(S31="STANDBY",0,IF(OR(S31="RESET",S31="SAFE"),D16,U41)))</f>
        <v>80</v>
      </c>
    </row>
    <row r="28" spans="3:22" ht="15.6" thickTop="1" thickBot="1" x14ac:dyDescent="0.35"/>
    <row r="29" spans="3:22" ht="15.6" thickTop="1" thickBot="1" x14ac:dyDescent="0.35">
      <c r="C29" s="63">
        <v>40</v>
      </c>
      <c r="V29" s="36">
        <f>IF(OR(S31="DRUN",S31="RUN0",S31="RUN1",S31="RUN2",S31="RUN3",S31="STOP"),IF(G15=0,D16,IF(G15=1,F33,IF(G15=2,K17,0)))/8,IF(S31="STANDBY",0,IF(OR(S31="RESET",S31="SAFE"),D16,U41)))</f>
        <v>20</v>
      </c>
    </row>
    <row r="30" spans="3:22" ht="15.6" thickTop="1" thickBot="1" x14ac:dyDescent="0.35"/>
    <row r="31" spans="3:22" ht="15.6" thickTop="1" thickBot="1" x14ac:dyDescent="0.35">
      <c r="S31" s="64" t="s">
        <v>1562</v>
      </c>
    </row>
    <row r="32" spans="3:22" ht="15.6" thickTop="1" thickBot="1" x14ac:dyDescent="0.35"/>
    <row r="33" spans="6:21" ht="15.6" thickTop="1" thickBot="1" x14ac:dyDescent="0.35">
      <c r="F33" s="35">
        <f>IF(S31="DRUN",'Clock Source Control'!AB5,IF(S31="LPU_RUN",'Clock Source Control'!AB12,IF(S31="LPU_SLEEP",'Clock Source Control'!AB12,IF(S31="LPU_STOP",'Clock Source Control'!AB20,IF(S31="LPU_STANDBY",'Clock Source Control'!AB30,IF(S31="STOP",'Clock Source Control'!AB75,IF(S31="RUN0",'Clock Source Control'!AB39,IF(S31="RUN1",'Clock Source Control'!AB48,IF(S31="RUN2",'Clock Source Control'!AB57,IF(S31="RUN3",'Clock Source Control'!AB65,IF(S31="STANDBY",'Clock Source Control'!AB85,0)))))))))))</f>
        <v>40</v>
      </c>
      <c r="P33" s="36">
        <f>IF(S31="DRUN",'Clock Source Control'!$BT$9,IF(S31="RUN0",'Clock Source Control'!$BT$19,IF(S31="RUN1",'Clock Source Control'!$BT$29,IF(S31="RUN2",'Clock Source Control'!$BT$40,IF(S31="RUN3",'Clock Source Control'!$BT$52,0)))))</f>
        <v>80</v>
      </c>
    </row>
    <row r="34" spans="6:21" ht="15" thickTop="1" x14ac:dyDescent="0.3"/>
    <row r="37" spans="6:21" ht="15" thickBot="1" x14ac:dyDescent="0.35"/>
    <row r="38" spans="6:21" ht="15.6" thickTop="1" thickBot="1" x14ac:dyDescent="0.35">
      <c r="J38" s="36">
        <f>C29/(G39+1)</f>
        <v>40</v>
      </c>
    </row>
    <row r="39" spans="6:21" ht="15.6" thickTop="1" thickBot="1" x14ac:dyDescent="0.35">
      <c r="G39" s="63">
        <v>0</v>
      </c>
      <c r="N39" s="35">
        <f>G7</f>
        <v>16</v>
      </c>
    </row>
    <row r="40" spans="6:21" ht="15.6" thickTop="1" thickBot="1" x14ac:dyDescent="0.35"/>
    <row r="41" spans="6:21" ht="15.6" thickTop="1" thickBot="1" x14ac:dyDescent="0.35">
      <c r="U41" s="36">
        <f>IF(S43=0,N39,N42)</f>
        <v>40</v>
      </c>
    </row>
    <row r="42" spans="6:21" ht="15.6" thickTop="1" thickBot="1" x14ac:dyDescent="0.35">
      <c r="N42" s="35">
        <f>J38</f>
        <v>40</v>
      </c>
    </row>
    <row r="43" spans="6:21" ht="15.6" thickTop="1" thickBot="1" x14ac:dyDescent="0.35">
      <c r="S43" s="63">
        <v>1</v>
      </c>
    </row>
    <row r="44" spans="6:21" ht="15" thickTop="1" x14ac:dyDescent="0.3"/>
    <row r="45" spans="6:21" ht="15" thickBot="1" x14ac:dyDescent="0.35"/>
    <row r="46" spans="6:21" ht="15.6" thickTop="1" thickBot="1" x14ac:dyDescent="0.35">
      <c r="L46" s="36">
        <f>IF(S31="DRUN",'Clock Source Control'!AO35,IF(S31="LPU_RUN",'Clock Source Control'!AO6,IF(S31="LPU_SLEEP",'Clock Source Control'!AO6,IF(S31="LPU_STOP",'Clock Source Control'!AO16,IF(S31="LPU_STANDBY",'Clock Source Control'!AO25,IF(S31="RUN0",'Clock Source Control'!AO44,IF(S31="RUN1",'Clock Source Control'!AO52,IF(S31="RUN2",'Clock Source Control'!AO62,IF(S31="RUN3",'Clock Source Control'!AO71,IF(S31="STOP",'Clock Source Control'!AO80,IF(S31="STANDBY",'Clock Source Control'!AO90,IF(S31="RESET",'Clock Source Control'!$AG$3,0))))))))))))</f>
        <v>0.128</v>
      </c>
    </row>
    <row r="47" spans="6:21" ht="15.6" thickTop="1" thickBot="1" x14ac:dyDescent="0.35"/>
    <row r="48" spans="6:21" ht="15.6" thickTop="1" thickBot="1" x14ac:dyDescent="0.35">
      <c r="L48" s="36">
        <f>L46/(J49+1)</f>
        <v>0.128</v>
      </c>
    </row>
    <row r="49" spans="3:12" ht="15.6" thickTop="1" thickBot="1" x14ac:dyDescent="0.35">
      <c r="J49" s="63">
        <v>0</v>
      </c>
    </row>
    <row r="50" spans="3:12" ht="15" thickTop="1" x14ac:dyDescent="0.3"/>
    <row r="56" spans="3:12" ht="15" thickBot="1" x14ac:dyDescent="0.35"/>
    <row r="57" spans="3:12" ht="15.6" thickTop="1" thickBot="1" x14ac:dyDescent="0.35">
      <c r="L57" s="36">
        <f>IF(S31="DRUN",'Clock Source Control'!BC34,IF(S31="LPU_RUN",'Clock Source Control'!BC6,IF(S31="LPU_SLEEP",'Clock Source Control'!BC6,IF(S31="LPU_STOP",'Clock Source Control'!BC16,IF(S31="LPU_STANDBY",'Clock Source Control'!BC25,IF(S31="RUN0",'Clock Source Control'!BC43,IF(S31="RUN1",'Clock Source Control'!BC53,IF(S31="RUN2",'Clock Source Control'!BC62,IF(S31="RUN3",'Clock Source Control'!BC71,IF(S31="STOP",'Clock Source Control'!BC81,IF(S31="STANDBY",'Clock Source Control'!BC91,0)))))))))))</f>
        <v>3.2000000000000001E-2</v>
      </c>
    </row>
    <row r="58" spans="3:12" ht="15.6" thickTop="1" thickBot="1" x14ac:dyDescent="0.35"/>
    <row r="59" spans="3:12" ht="15.6" thickTop="1" thickBot="1" x14ac:dyDescent="0.35">
      <c r="L59" s="36">
        <f>L57/(I60+1)</f>
        <v>3.2000000000000001E-2</v>
      </c>
    </row>
    <row r="60" spans="3:12" ht="15.6" thickTop="1" thickBot="1" x14ac:dyDescent="0.35">
      <c r="C60" s="35">
        <v>3.2000000000000001E-2</v>
      </c>
      <c r="I60" s="63">
        <v>0</v>
      </c>
    </row>
    <row r="61" spans="3:12" ht="15" thickTop="1" x14ac:dyDescent="0.3"/>
  </sheetData>
  <conditionalFormatting sqref="K17 P33">
    <cfRule type="expression" dxfId="143" priority="1">
      <formula>NOT(OR($S$31="DRUN",S31="RUN0",S31="RUN1",S31="RUN2",S31="RUN3"))</formula>
    </cfRule>
  </conditionalFormatting>
  <dataValidations count="23">
    <dataValidation type="list" allowBlank="1" showInputMessage="1" showErrorMessage="1" sqref="C5" xr:uid="{00000000-0002-0000-0000-000000000000}">
      <formula1>"1,2,3,4,5,6"</formula1>
    </dataValidation>
    <dataValidation type="list" allowBlank="1" showInputMessage="1" showErrorMessage="1" sqref="G24 S43" xr:uid="{00000000-0002-0000-0000-000001000000}">
      <formula1>"0,1"</formula1>
    </dataValidation>
    <dataValidation type="list" allowBlank="1" showInputMessage="1" showErrorMessage="1" sqref="G15" xr:uid="{00000000-0002-0000-0000-000002000000}">
      <formula1>"0,1,2"</formula1>
    </dataValidation>
    <dataValidation type="whole" allowBlank="1" showInputMessage="1" showErrorMessage="1" errorTitle="Invalid FS80 Divider" error="FS80 divide value can be any integer from 0 to 7." promptTitle="FS80 Divider" prompt="MC_CGM_SC_DC5[DIV]. Note that this is the bitfield value so the actual divider would be DIV+1." sqref="P19" xr:uid="{00000000-0002-0000-0000-000003000000}">
      <formula1>0</formula1>
      <formula2>7</formula2>
    </dataValidation>
    <dataValidation type="whole" allowBlank="1" showInputMessage="1" showErrorMessage="1" errorTitle="Invalid S40 Divider" error="S40 divide value can be any integer from 0 to 15." promptTitle="S40 Divider" prompt="MC_CGM_SC_DC2[DIV]. Note that this is the bitfield value so the actual divider would be DIV+1." sqref="P22" xr:uid="{00000000-0002-0000-0000-000004000000}">
      <formula1>0</formula1>
      <formula2>15</formula2>
    </dataValidation>
    <dataValidation type="list" allowBlank="1" showInputMessage="1" showErrorMessage="1" promptTitle="SIRC Divided" prompt="SIRC_CTL[SIRCDIV]" sqref="J49" xr:uid="{00000000-0002-0000-0000-000005000000}">
      <formula1>"0,1,2,31"</formula1>
    </dataValidation>
    <dataValidation type="whole" allowBlank="1" showInputMessage="1" showErrorMessage="1" errorTitle="Invalid SXOSC Dividers" error="SXOSC divider input can be any integer from 0 to 31." promptTitle="SXOSC Dividers" prompt="SXOSC_CTL[OSCDIV]. Note that this is the bitfield value so the actual divider would be DIV+1." sqref="I60" xr:uid="{00000000-0002-0000-0000-000006000000}">
      <formula1>0</formula1>
      <formula2>31</formula2>
    </dataValidation>
    <dataValidation type="list" allowBlank="1" showInputMessage="1" showErrorMessage="1" promptTitle="Power Mode Effect" prompt="All system clocks change to LPU_SYS_CLK in LPU modes. &quot;Run&quot; encompasses DRUN and all RUNn modes." sqref="S31" xr:uid="{00000000-0002-0000-0000-000007000000}">
      <formula1>"RESET,SAFE,DRUN,RUN0,RUN1,RUN2,RUN3,STOP,STANDBY,LPU_RUN,LPU_SLEEP,LPU_STOP,LPU_STANDBY"</formula1>
    </dataValidation>
    <dataValidation type="decimal" allowBlank="1" showInputMessage="1" showErrorMessage="1" errorTitle="Invalid FXOSC Frequency" error="FXOSC can be any value between 8 MHz and 40 MHz." promptTitle="FXOSC Frequency Range" prompt="Implementation dependent. MPC5748G supports FXOSC of any value between 8 MHz and 40 MHz." sqref="C29" xr:uid="{00000000-0002-0000-0000-000008000000}">
      <formula1>8</formula1>
      <formula2>40</formula2>
    </dataValidation>
    <dataValidation type="decimal" operator="equal" allowBlank="1" showInputMessage="1" showErrorMessage="1" errorTitle="Invalid SXOSC Frequency" error="External to chip, so a user can technically install any frequency oscillator, but only 32 kHz supported." promptTitle="SXOSC Frequency" prompt="External to chip, so a user can technically install any frequency oscillator, but only 32 kHz supported." sqref="C60" xr:uid="{00000000-0002-0000-0000-000009000000}">
      <formula1>0.032</formula1>
    </dataValidation>
    <dataValidation operator="equal" allowBlank="1" showInputMessage="1" showErrorMessage="1" sqref="L46" xr:uid="{00000000-0002-0000-0000-00000A000000}"/>
    <dataValidation type="whole" allowBlank="1" showInputMessage="1" showErrorMessage="1" errorTitle="Invalid FXOSC Divider" error="FXOSC divider input can be any integer from 0 to 31." promptTitle="FXOSC Dividers" prompt="FXOSC_CTL[OSCDIV]. Note that this is the bitfield value so the actual divider would be DIV+1." sqref="G39" xr:uid="{00000000-0002-0000-0000-00000B000000}">
      <formula1>0</formula1>
      <formula2>31</formula2>
    </dataValidation>
    <dataValidation type="whole" allowBlank="1" showInputMessage="1" showErrorMessage="1" errorTitle="Invalid S160 Divider" error="S160 divide value can be any integer from 0 to 7." promptTitle="S160 Dividers" prompt="MC_CGM_SC_DC0[DIV]. Note that this is the bitfield value so the actual divider would be DIV+1." sqref="P11" xr:uid="{00000000-0002-0000-0000-00000C000000}">
      <formula1>0</formula1>
      <formula2>7</formula2>
    </dataValidation>
    <dataValidation type="whole" allowBlank="1" showInputMessage="1" showErrorMessage="1" errorTitle="Invalid S80 Divider" error="S80 divide value can be any integer from 0 to 7." promptTitle="S80 Dividers" prompt="MC_CGM_SC_DC1[DIV]. Note that this is the bitfield value so the actual divider would be DIV+1." sqref="P15" xr:uid="{00000000-0002-0000-0000-00000D000000}">
      <formula1>0</formula1>
      <formula2>7</formula2>
    </dataValidation>
    <dataValidation allowBlank="1" showInputMessage="1" showErrorMessage="1" promptTitle="F160 Limitation" prompt="F160 supports up to 160 MHz." sqref="V8" xr:uid="{00000000-0002-0000-0000-00000E000000}"/>
    <dataValidation allowBlank="1" showInputMessage="1" showErrorMessage="1" promptTitle="S160 Limits" prompt="S160 supports up to 160 MHz." sqref="V10" xr:uid="{00000000-0002-0000-0000-00000F000000}"/>
    <dataValidation allowBlank="1" showInputMessage="1" showErrorMessage="1" promptTitle="S80 Limits" prompt="S80 supports up to 80 MHz." sqref="V14" xr:uid="{00000000-0002-0000-0000-000010000000}"/>
    <dataValidation allowBlank="1" showInputMessage="1" showErrorMessage="1" promptTitle="FS80 Limits" prompt="FS80 supports up to 80 MHz." sqref="V18" xr:uid="{00000000-0002-0000-0000-000011000000}"/>
    <dataValidation allowBlank="1" showInputMessage="1" showErrorMessage="1" promptTitle="S40 Limits" prompt="S40 supports up to 40 MHz." sqref="V21" xr:uid="{00000000-0002-0000-0000-000012000000}"/>
    <dataValidation allowBlank="1" showInputMessage="1" showErrorMessage="1" promptTitle="F40 Limits" prompt="F40 supports up to 40 MHz." sqref="V25" xr:uid="{00000000-0002-0000-0000-000013000000}"/>
    <dataValidation allowBlank="1" showInputMessage="1" showErrorMessage="1" promptTitle="F80 Limits" prompt="F80 supports up to 80 MHz." sqref="V27" xr:uid="{00000000-0002-0000-0000-000014000000}"/>
    <dataValidation allowBlank="1" showInputMessage="1" showErrorMessage="1" promptTitle="F20 Limits" prompt="F20 supports up to 20 MHz." sqref="V29" xr:uid="{00000000-0002-0000-0000-000015000000}"/>
    <dataValidation type="list" allowBlank="1" showInputMessage="1" showErrorMessage="1" promptTitle="FIRC Divided" prompt="FIRC_CTL[FIRCDIV]" sqref="D8" xr:uid="{00000000-0002-0000-0000-000016000000}">
      <formula1>"0,1,2,31"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Button_Reset">
                <anchor moveWithCells="1" sizeWithCells="1">
                  <from>
                    <xdr:col>0</xdr:col>
                    <xdr:colOff>518160</xdr:colOff>
                    <xdr:row>1</xdr:row>
                    <xdr:rowOff>76200</xdr:rowOff>
                  </from>
                  <to>
                    <xdr:col>2</xdr:col>
                    <xdr:colOff>480060</xdr:colOff>
                    <xdr:row>2</xdr:row>
                    <xdr:rowOff>38100</xdr:rowOff>
                  </to>
                </anchor>
              </controlPr>
            </control>
          </mc:Choice>
        </mc:AlternateContent>
        <mc:AlternateContent xmlns:mc="http://schemas.openxmlformats.org/markup-compatibility/2006">
          <mc:Choice Requires="x14">
            <control shapeId="1033" r:id="rId5" name="Button 9">
              <controlPr defaultSize="0" print="0" autoFill="0" autoPict="0" macro="[0]!Button_Max">
                <anchor moveWithCells="1" sizeWithCells="1">
                  <from>
                    <xdr:col>0</xdr:col>
                    <xdr:colOff>525780</xdr:colOff>
                    <xdr:row>3</xdr:row>
                    <xdr:rowOff>45720</xdr:rowOff>
                  </from>
                  <to>
                    <xdr:col>2</xdr:col>
                    <xdr:colOff>480060</xdr:colOff>
                    <xdr:row>4</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 id="{B4CF8CAE-33CE-4743-A70D-F1327A05B85D}">
            <xm:f>$V$8 &gt; Limits!$B$18</xm:f>
            <x14:dxf>
              <fill>
                <patternFill>
                  <bgColor rgb="FFFF0000"/>
                </patternFill>
              </fill>
            </x14:dxf>
          </x14:cfRule>
          <xm:sqref>V8</xm:sqref>
        </x14:conditionalFormatting>
        <x14:conditionalFormatting xmlns:xm="http://schemas.microsoft.com/office/excel/2006/main">
          <x14:cfRule type="expression" priority="13" id="{55CC94AE-2EDF-44A9-856F-4AFA28DF95B3}">
            <xm:f>$V$14&gt;Limits!$B$20</xm:f>
            <x14:dxf>
              <fill>
                <patternFill>
                  <bgColor rgb="FFFF0000"/>
                </patternFill>
              </fill>
            </x14:dxf>
          </x14:cfRule>
          <xm:sqref>V14</xm:sqref>
        </x14:conditionalFormatting>
        <x14:conditionalFormatting xmlns:xm="http://schemas.microsoft.com/office/excel/2006/main">
          <x14:cfRule type="expression" priority="12" id="{52B4735E-51FB-45FC-8AE9-FE77CDFBCE67}">
            <xm:f>$V$18&gt;Limits!$B$21</xm:f>
            <x14:dxf>
              <fill>
                <patternFill>
                  <bgColor rgb="FFFF0000"/>
                </patternFill>
              </fill>
            </x14:dxf>
          </x14:cfRule>
          <xm:sqref>V18</xm:sqref>
        </x14:conditionalFormatting>
        <x14:conditionalFormatting xmlns:xm="http://schemas.microsoft.com/office/excel/2006/main">
          <x14:cfRule type="expression" priority="11" id="{75F1E727-E250-401F-AAC6-17B9E54F6152}">
            <xm:f>$V$21&gt;Limits!$B$22</xm:f>
            <x14:dxf>
              <fill>
                <patternFill>
                  <bgColor rgb="FFFF0000"/>
                </patternFill>
              </fill>
            </x14:dxf>
          </x14:cfRule>
          <xm:sqref>V21</xm:sqref>
        </x14:conditionalFormatting>
        <x14:conditionalFormatting xmlns:xm="http://schemas.microsoft.com/office/excel/2006/main">
          <x14:cfRule type="expression" priority="10" id="{ADB42214-14E1-47F8-BD6B-ACFD7C12732E}">
            <xm:f>$V$25&gt;Limits!$B$23</xm:f>
            <x14:dxf>
              <fill>
                <patternFill>
                  <bgColor rgb="FFFF0000"/>
                </patternFill>
              </fill>
            </x14:dxf>
          </x14:cfRule>
          <xm:sqref>V25</xm:sqref>
        </x14:conditionalFormatting>
        <x14:conditionalFormatting xmlns:xm="http://schemas.microsoft.com/office/excel/2006/main">
          <x14:cfRule type="expression" priority="9" id="{05F4FCF3-1149-4440-B4DD-428447EA4359}">
            <xm:f>$V$27&gt;Limits!$B$24</xm:f>
            <x14:dxf>
              <fill>
                <patternFill>
                  <bgColor rgb="FFFF0000"/>
                </patternFill>
              </fill>
            </x14:dxf>
          </x14:cfRule>
          <xm:sqref>V27</xm:sqref>
        </x14:conditionalFormatting>
        <x14:conditionalFormatting xmlns:xm="http://schemas.microsoft.com/office/excel/2006/main">
          <x14:cfRule type="expression" priority="8" id="{5FAB4D28-D7F4-4AB3-B7F0-3B8EC296CAAA}">
            <xm:f>$V$29&gt;Limits!$B$25</xm:f>
            <x14:dxf>
              <fill>
                <patternFill>
                  <bgColor rgb="FFFF0000"/>
                </patternFill>
              </fill>
            </x14:dxf>
          </x14:cfRule>
          <xm:sqref>V29</xm:sqref>
        </x14:conditionalFormatting>
        <x14:conditionalFormatting xmlns:xm="http://schemas.microsoft.com/office/excel/2006/main">
          <x14:cfRule type="expression" priority="3" id="{5EB1B495-3293-4090-9B1B-26F3571FB765}">
            <xm:f>FMPLL!$E$17=0</xm:f>
            <x14:dxf>
              <fill>
                <patternFill patternType="solid">
                  <bgColor auto="1"/>
                </patternFill>
              </fill>
            </x14:dxf>
          </x14:cfRule>
          <x14:cfRule type="expression" priority="4" id="{3251C4B5-E3BD-4C04-A19D-30DF16009BB7}">
            <xm:f>OR($K$17*2*POWER(2,FMPLL!$X$11) &lt; Limits!$B$5, $K$17*2*POWER(2,FMPLL!$X$11) &gt;Limits!$B$6)</xm:f>
            <x14:dxf>
              <fill>
                <patternFill patternType="lightDown">
                  <bgColor rgb="FFFF0000"/>
                </patternFill>
              </fill>
            </x14:dxf>
          </x14:cfRule>
          <x14:cfRule type="expression" priority="7" id="{8447FA24-7DA8-49F0-BF09-40C52188C01C}">
            <xm:f>$K$17&gt;Limits!$B$8</xm:f>
            <x14:dxf>
              <fill>
                <patternFill>
                  <bgColor rgb="FFFF0000"/>
                </patternFill>
              </fill>
            </x14:dxf>
          </x14:cfRule>
          <xm:sqref>K17</xm:sqref>
        </x14:conditionalFormatting>
        <x14:conditionalFormatting xmlns:xm="http://schemas.microsoft.com/office/excel/2006/main">
          <x14:cfRule type="expression" priority="2" id="{3C816EA1-B6F5-4A12-A615-319ECFF59A7F}">
            <xm:f>FMPLL!$E$17=0</xm:f>
            <x14:dxf>
              <fill>
                <patternFill patternType="solid">
                  <bgColor auto="1"/>
                </patternFill>
              </fill>
            </x14:dxf>
          </x14:cfRule>
          <x14:cfRule type="expression" priority="5" id="{145B44C0-B5B6-437F-8FE2-63E5258B830A}">
            <xm:f>OR($P$33*2*POWER(2,FMPLL!$X$20) &lt; Limits!$B$5, $P$33*2*POWER(2,FMPLL!$X$20) &gt;Limits!$B$6)</xm:f>
            <x14:dxf>
              <fill>
                <patternFill patternType="lightDown">
                  <bgColor rgb="FFFF0000"/>
                </patternFill>
              </fill>
            </x14:dxf>
          </x14:cfRule>
          <x14:cfRule type="expression" priority="6" id="{C253F406-6089-48E8-A522-2710150ACB43}">
            <xm:f>$P$33&gt;Limits!$B$10</xm:f>
            <x14:dxf>
              <fill>
                <patternFill>
                  <bgColor rgb="FFFF0000"/>
                </patternFill>
              </fill>
            </x14:dxf>
          </x14:cfRule>
          <xm:sqref>P33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T96"/>
  <sheetViews>
    <sheetView topLeftCell="BD1" zoomScaleNormal="100" workbookViewId="0">
      <selection activeCell="BO11" sqref="BO11"/>
    </sheetView>
  </sheetViews>
  <sheetFormatPr defaultRowHeight="14.4" x14ac:dyDescent="0.3"/>
  <sheetData>
    <row r="2" spans="1:72" ht="15" thickBot="1" x14ac:dyDescent="0.35">
      <c r="A2" s="15"/>
    </row>
    <row r="3" spans="1:72" ht="15.6" thickTop="1" thickBot="1" x14ac:dyDescent="0.35">
      <c r="E3" s="35">
        <v>16</v>
      </c>
      <c r="S3" s="35">
        <f>Tree!C29</f>
        <v>40</v>
      </c>
      <c r="AG3" s="35">
        <v>0.128</v>
      </c>
      <c r="AT3" s="35">
        <f>Tree!$C$60</f>
        <v>3.2000000000000001E-2</v>
      </c>
      <c r="BH3" s="35">
        <f>FMPLL!AB9</f>
        <v>160</v>
      </c>
      <c r="BK3" s="35">
        <f>FMPLL!AB18</f>
        <v>80</v>
      </c>
    </row>
    <row r="4" spans="1:72" ht="15.6" thickTop="1" thickBot="1" x14ac:dyDescent="0.35"/>
    <row r="5" spans="1:72" ht="15.6" thickTop="1" thickBot="1" x14ac:dyDescent="0.35">
      <c r="AB5" s="35">
        <f>IF(W7=1,S3,0)</f>
        <v>40</v>
      </c>
    </row>
    <row r="6" spans="1:72" ht="15.6" thickTop="1" thickBot="1" x14ac:dyDescent="0.35">
      <c r="M6" s="35">
        <f>E3</f>
        <v>16</v>
      </c>
      <c r="AO6" s="35">
        <f>IF(AK10=1,AG3,0)</f>
        <v>0.128</v>
      </c>
      <c r="BC6" s="35">
        <f>IF(AX10=1,AT3,0)</f>
        <v>3.2000000000000001E-2</v>
      </c>
      <c r="BT6" s="35">
        <f>IF(BO11=0,0,BH3)</f>
        <v>160</v>
      </c>
    </row>
    <row r="7" spans="1:72" ht="15.6" thickTop="1" thickBot="1" x14ac:dyDescent="0.35">
      <c r="W7" s="63">
        <v>1</v>
      </c>
    </row>
    <row r="8" spans="1:72" ht="15.6" thickTop="1" thickBot="1" x14ac:dyDescent="0.35"/>
    <row r="9" spans="1:72" ht="15.6" thickTop="1" thickBot="1" x14ac:dyDescent="0.35">
      <c r="BT9" s="35">
        <f>IF(BO11=0,0,BK3)</f>
        <v>80</v>
      </c>
    </row>
    <row r="10" spans="1:72" ht="15.6" thickTop="1" thickBot="1" x14ac:dyDescent="0.35">
      <c r="AK10" s="63">
        <v>1</v>
      </c>
      <c r="AX10" s="63">
        <v>1</v>
      </c>
    </row>
    <row r="11" spans="1:72" ht="15.6" thickTop="1" thickBot="1" x14ac:dyDescent="0.35">
      <c r="BO11" s="63">
        <v>1</v>
      </c>
    </row>
    <row r="12" spans="1:72" ht="15.6" thickTop="1" thickBot="1" x14ac:dyDescent="0.35">
      <c r="M12" s="35">
        <f>E3</f>
        <v>16</v>
      </c>
      <c r="AB12" s="35">
        <f>IF(W15=1,S3,0)</f>
        <v>40</v>
      </c>
    </row>
    <row r="13" spans="1:72" ht="15" thickTop="1" x14ac:dyDescent="0.3"/>
    <row r="14" spans="1:72" ht="15" thickBot="1" x14ac:dyDescent="0.35"/>
    <row r="15" spans="1:72" ht="15.6" thickTop="1" thickBot="1" x14ac:dyDescent="0.35">
      <c r="W15" s="63">
        <v>1</v>
      </c>
    </row>
    <row r="16" spans="1:72" ht="15.6" thickTop="1" thickBot="1" x14ac:dyDescent="0.35">
      <c r="AO16" s="35">
        <f>IF(AK20=1,AG3,0)</f>
        <v>0.128</v>
      </c>
      <c r="BC16" s="35">
        <f>IF(AX19=1,AT3,0)</f>
        <v>3.2000000000000001E-2</v>
      </c>
      <c r="BT16" s="35">
        <f>IF(BO21=0,0,BH3)</f>
        <v>160</v>
      </c>
    </row>
    <row r="17" spans="9:72" ht="15" thickTop="1" x14ac:dyDescent="0.3"/>
    <row r="18" spans="9:72" ht="15" thickBot="1" x14ac:dyDescent="0.35"/>
    <row r="19" spans="9:72" ht="15.6" thickTop="1" thickBot="1" x14ac:dyDescent="0.35">
      <c r="M19" s="35">
        <f>IF(I22=1,E3,0)</f>
        <v>16</v>
      </c>
      <c r="AX19" s="63">
        <v>1</v>
      </c>
      <c r="BT19" s="35">
        <f>IF(BO21=0,0,BK3)</f>
        <v>80</v>
      </c>
    </row>
    <row r="20" spans="9:72" ht="15.6" thickTop="1" thickBot="1" x14ac:dyDescent="0.35">
      <c r="AB20" s="35">
        <f>IF(W23=1,S3,0)</f>
        <v>40</v>
      </c>
      <c r="AK20" s="63">
        <v>1</v>
      </c>
    </row>
    <row r="21" spans="9:72" ht="15.6" thickTop="1" thickBot="1" x14ac:dyDescent="0.35">
      <c r="BO21" s="63">
        <v>1</v>
      </c>
    </row>
    <row r="22" spans="9:72" ht="15.6" thickTop="1" thickBot="1" x14ac:dyDescent="0.35">
      <c r="I22" s="63">
        <v>1</v>
      </c>
    </row>
    <row r="23" spans="9:72" ht="15.6" thickTop="1" thickBot="1" x14ac:dyDescent="0.35">
      <c r="W23" s="63">
        <v>1</v>
      </c>
    </row>
    <row r="24" spans="9:72" ht="15.6" thickTop="1" thickBot="1" x14ac:dyDescent="0.35"/>
    <row r="25" spans="9:72" ht="15.6" thickTop="1" thickBot="1" x14ac:dyDescent="0.35">
      <c r="AO25" s="35">
        <f>IF(AK29=1,AG3,0)</f>
        <v>0.128</v>
      </c>
      <c r="BC25" s="35">
        <f>IF(AX28=1,AT3,0)</f>
        <v>3.2000000000000001E-2</v>
      </c>
    </row>
    <row r="26" spans="9:72" ht="15.6" thickTop="1" thickBot="1" x14ac:dyDescent="0.35">
      <c r="BT26" s="35">
        <f>IF(BO31=0,0,BH3)</f>
        <v>160</v>
      </c>
    </row>
    <row r="27" spans="9:72" ht="15.6" thickTop="1" thickBot="1" x14ac:dyDescent="0.35"/>
    <row r="28" spans="9:72" ht="15.6" thickTop="1" thickBot="1" x14ac:dyDescent="0.35">
      <c r="AX28" s="63">
        <v>1</v>
      </c>
    </row>
    <row r="29" spans="9:72" ht="15.6" thickTop="1" thickBot="1" x14ac:dyDescent="0.35">
      <c r="M29" s="35">
        <f>IF(I32=1,E3,0)</f>
        <v>16</v>
      </c>
      <c r="AK29" s="63">
        <v>1</v>
      </c>
      <c r="BT29" s="35">
        <f>IF(BO31=0,0,BK3)</f>
        <v>80</v>
      </c>
    </row>
    <row r="30" spans="9:72" ht="15.6" thickTop="1" thickBot="1" x14ac:dyDescent="0.35">
      <c r="AB30" s="35">
        <f>IF(W33=1,S3,0)</f>
        <v>40</v>
      </c>
    </row>
    <row r="31" spans="9:72" ht="15.6" thickTop="1" thickBot="1" x14ac:dyDescent="0.35">
      <c r="BO31" s="63">
        <v>1</v>
      </c>
    </row>
    <row r="32" spans="9:72" ht="15.6" thickTop="1" thickBot="1" x14ac:dyDescent="0.35">
      <c r="I32" s="63">
        <v>1</v>
      </c>
    </row>
    <row r="33" spans="9:72" ht="15.6" thickTop="1" thickBot="1" x14ac:dyDescent="0.35">
      <c r="W33" s="63">
        <v>1</v>
      </c>
    </row>
    <row r="34" spans="9:72" ht="15.6" thickTop="1" thickBot="1" x14ac:dyDescent="0.35">
      <c r="BC34" s="35">
        <f>IF(AX38=1,AT3,0)</f>
        <v>3.2000000000000001E-2</v>
      </c>
    </row>
    <row r="35" spans="9:72" ht="15.6" thickTop="1" thickBot="1" x14ac:dyDescent="0.35">
      <c r="AO35" s="35">
        <f>IF(AK39=1,AG3,0)</f>
        <v>0.128</v>
      </c>
    </row>
    <row r="36" spans="9:72" ht="15.6" thickTop="1" thickBot="1" x14ac:dyDescent="0.35"/>
    <row r="37" spans="9:72" ht="15.6" thickTop="1" thickBot="1" x14ac:dyDescent="0.35">
      <c r="BT37" s="35">
        <f>IF(BO42=0,0,BH3)</f>
        <v>160</v>
      </c>
    </row>
    <row r="38" spans="9:72" ht="15.6" thickTop="1" thickBot="1" x14ac:dyDescent="0.35">
      <c r="M38" s="35">
        <f>IF(I41=1,E3,0)</f>
        <v>16</v>
      </c>
      <c r="AX38" s="63">
        <v>1</v>
      </c>
    </row>
    <row r="39" spans="9:72" ht="15.6" thickTop="1" thickBot="1" x14ac:dyDescent="0.35">
      <c r="AB39" s="35">
        <f>IF(W42=0,0,S3)</f>
        <v>40</v>
      </c>
      <c r="AK39" s="63">
        <v>1</v>
      </c>
    </row>
    <row r="40" spans="9:72" ht="15.6" thickTop="1" thickBot="1" x14ac:dyDescent="0.35">
      <c r="BT40" s="35">
        <f>IF(BO42=0,0,BK3)</f>
        <v>80</v>
      </c>
    </row>
    <row r="41" spans="9:72" ht="15.6" thickTop="1" thickBot="1" x14ac:dyDescent="0.35">
      <c r="I41" s="63">
        <v>1</v>
      </c>
    </row>
    <row r="42" spans="9:72" ht="15.6" thickTop="1" thickBot="1" x14ac:dyDescent="0.35">
      <c r="W42" s="63">
        <v>1</v>
      </c>
      <c r="BO42" s="63">
        <v>1</v>
      </c>
    </row>
    <row r="43" spans="9:72" ht="15.6" thickTop="1" thickBot="1" x14ac:dyDescent="0.35">
      <c r="BC43" s="35">
        <f>IF(AX47=0,0,AT3)</f>
        <v>3.2000000000000001E-2</v>
      </c>
    </row>
    <row r="44" spans="9:72" ht="15.6" thickTop="1" thickBot="1" x14ac:dyDescent="0.35">
      <c r="AO44" s="35">
        <f>IF(AK48=0,0,AG3)</f>
        <v>0.128</v>
      </c>
    </row>
    <row r="45" spans="9:72" ht="15" thickTop="1" x14ac:dyDescent="0.3"/>
    <row r="46" spans="9:72" ht="15" thickBot="1" x14ac:dyDescent="0.35"/>
    <row r="47" spans="9:72" ht="15.6" thickTop="1" thickBot="1" x14ac:dyDescent="0.35">
      <c r="M47" s="35">
        <f>IF(I51=0,0,E3)</f>
        <v>16</v>
      </c>
      <c r="AX47" s="63">
        <v>1</v>
      </c>
    </row>
    <row r="48" spans="9:72" ht="15.6" thickTop="1" thickBot="1" x14ac:dyDescent="0.35">
      <c r="AB48" s="35">
        <f>IF(W51=0,0,S3)</f>
        <v>40</v>
      </c>
      <c r="AK48" s="63">
        <v>1</v>
      </c>
    </row>
    <row r="49" spans="9:72" ht="15.6" thickTop="1" thickBot="1" x14ac:dyDescent="0.35">
      <c r="BT49" s="35">
        <f>IF(BO54=0,0,BH3)</f>
        <v>160</v>
      </c>
    </row>
    <row r="50" spans="9:72" ht="15.6" thickTop="1" thickBot="1" x14ac:dyDescent="0.35"/>
    <row r="51" spans="9:72" ht="15.6" thickTop="1" thickBot="1" x14ac:dyDescent="0.35">
      <c r="I51" s="63">
        <v>1</v>
      </c>
      <c r="W51" s="63">
        <v>1</v>
      </c>
    </row>
    <row r="52" spans="9:72" ht="15.6" thickTop="1" thickBot="1" x14ac:dyDescent="0.35">
      <c r="AO52" s="35">
        <f>IF(AK57=0,0,AG3)</f>
        <v>0.128</v>
      </c>
      <c r="BT52" s="35">
        <f>IF(BO54=0,0,BK3)</f>
        <v>80</v>
      </c>
    </row>
    <row r="53" spans="9:72" ht="15.6" thickTop="1" thickBot="1" x14ac:dyDescent="0.35">
      <c r="BC53" s="35">
        <f>IF(AX57=0,0,AT3)</f>
        <v>3.2000000000000001E-2</v>
      </c>
    </row>
    <row r="54" spans="9:72" ht="15.6" thickTop="1" thickBot="1" x14ac:dyDescent="0.35">
      <c r="BO54" s="63">
        <v>1</v>
      </c>
    </row>
    <row r="55" spans="9:72" ht="15" thickTop="1" x14ac:dyDescent="0.3"/>
    <row r="56" spans="9:72" ht="15" thickBot="1" x14ac:dyDescent="0.35"/>
    <row r="57" spans="9:72" ht="15.6" thickTop="1" thickBot="1" x14ac:dyDescent="0.35">
      <c r="AB57" s="35">
        <f>IF(W60=0,0,S3)</f>
        <v>40</v>
      </c>
      <c r="AK57" s="63">
        <v>1</v>
      </c>
      <c r="AX57" s="63">
        <v>1</v>
      </c>
    </row>
    <row r="58" spans="9:72" ht="15" thickTop="1" x14ac:dyDescent="0.3"/>
    <row r="59" spans="9:72" ht="15" thickBot="1" x14ac:dyDescent="0.35"/>
    <row r="60" spans="9:72" ht="15.6" thickTop="1" thickBot="1" x14ac:dyDescent="0.35">
      <c r="W60" s="63">
        <v>1</v>
      </c>
    </row>
    <row r="61" spans="9:72" ht="15.6" thickTop="1" thickBot="1" x14ac:dyDescent="0.35"/>
    <row r="62" spans="9:72" ht="15.6" thickTop="1" thickBot="1" x14ac:dyDescent="0.35">
      <c r="AO62" s="35">
        <f>IF(AK66=0,0,AG3)</f>
        <v>0.128</v>
      </c>
      <c r="BC62" s="35">
        <f>IF(AX66=0,0,AT3)</f>
        <v>3.2000000000000001E-2</v>
      </c>
    </row>
    <row r="63" spans="9:72" ht="15" thickTop="1" x14ac:dyDescent="0.3"/>
    <row r="64" spans="9:72" ht="15" thickBot="1" x14ac:dyDescent="0.35"/>
    <row r="65" spans="23:55" ht="15.6" thickTop="1" thickBot="1" x14ac:dyDescent="0.35">
      <c r="AB65" s="35">
        <f>IF(W69=0,0,S3)</f>
        <v>40</v>
      </c>
    </row>
    <row r="66" spans="23:55" ht="15.6" thickTop="1" thickBot="1" x14ac:dyDescent="0.35">
      <c r="AK66" s="63">
        <v>1</v>
      </c>
      <c r="AX66" s="63">
        <v>1</v>
      </c>
    </row>
    <row r="67" spans="23:55" ht="15" thickTop="1" x14ac:dyDescent="0.3"/>
    <row r="68" spans="23:55" ht="15" thickBot="1" x14ac:dyDescent="0.35"/>
    <row r="69" spans="23:55" ht="15.6" thickTop="1" thickBot="1" x14ac:dyDescent="0.35">
      <c r="W69" s="63">
        <v>1</v>
      </c>
    </row>
    <row r="70" spans="23:55" ht="15.6" thickTop="1" thickBot="1" x14ac:dyDescent="0.35"/>
    <row r="71" spans="23:55" ht="15.6" thickTop="1" thickBot="1" x14ac:dyDescent="0.35">
      <c r="AO71" s="35">
        <f>IF(AK75=0,0,AG3)</f>
        <v>0.128</v>
      </c>
      <c r="BC71" s="35">
        <f>IF(AX75=0,0,AT3)</f>
        <v>3.2000000000000001E-2</v>
      </c>
    </row>
    <row r="72" spans="23:55" ht="15" thickTop="1" x14ac:dyDescent="0.3"/>
    <row r="74" spans="23:55" ht="15" thickBot="1" x14ac:dyDescent="0.35"/>
    <row r="75" spans="23:55" ht="15.6" thickTop="1" thickBot="1" x14ac:dyDescent="0.35">
      <c r="AB75" s="35">
        <f>IF(W79=0,0,S3)</f>
        <v>40</v>
      </c>
      <c r="AK75" s="63">
        <v>1</v>
      </c>
      <c r="AX75" s="63">
        <v>1</v>
      </c>
    </row>
    <row r="76" spans="23:55" ht="15" thickTop="1" x14ac:dyDescent="0.3"/>
    <row r="78" spans="23:55" ht="15" thickBot="1" x14ac:dyDescent="0.35"/>
    <row r="79" spans="23:55" ht="15.6" thickTop="1" thickBot="1" x14ac:dyDescent="0.35">
      <c r="W79" s="63">
        <v>1</v>
      </c>
    </row>
    <row r="80" spans="23:55" ht="15.6" thickTop="1" thickBot="1" x14ac:dyDescent="0.35">
      <c r="AO80" s="35">
        <f>IF(AK84=0,0,AG3)</f>
        <v>0.128</v>
      </c>
    </row>
    <row r="81" spans="23:55" ht="15.6" thickTop="1" thickBot="1" x14ac:dyDescent="0.35">
      <c r="BC81" s="35">
        <f>IF(AX85=0,0,AT3)</f>
        <v>3.2000000000000001E-2</v>
      </c>
    </row>
    <row r="82" spans="23:55" ht="15" thickTop="1" x14ac:dyDescent="0.3"/>
    <row r="83" spans="23:55" ht="15" thickBot="1" x14ac:dyDescent="0.35"/>
    <row r="84" spans="23:55" ht="15.6" thickTop="1" thickBot="1" x14ac:dyDescent="0.35">
      <c r="AK84" s="63">
        <v>1</v>
      </c>
    </row>
    <row r="85" spans="23:55" ht="15.6" thickTop="1" thickBot="1" x14ac:dyDescent="0.35">
      <c r="AB85" s="35">
        <f>IF(W89=0,0,S3)</f>
        <v>40</v>
      </c>
      <c r="AX85" s="63">
        <v>1</v>
      </c>
    </row>
    <row r="86" spans="23:55" ht="15" thickTop="1" x14ac:dyDescent="0.3"/>
    <row r="88" spans="23:55" ht="15" thickBot="1" x14ac:dyDescent="0.35"/>
    <row r="89" spans="23:55" ht="15.6" thickTop="1" thickBot="1" x14ac:dyDescent="0.35">
      <c r="W89" s="63">
        <v>1</v>
      </c>
    </row>
    <row r="90" spans="23:55" ht="15.6" thickTop="1" thickBot="1" x14ac:dyDescent="0.35">
      <c r="AO90" s="35">
        <f>IF(AK94=0,0,AG3)</f>
        <v>0.128</v>
      </c>
    </row>
    <row r="91" spans="23:55" ht="15.6" thickTop="1" thickBot="1" x14ac:dyDescent="0.35">
      <c r="BC91" s="35">
        <f>IF(AX95=0,0,AT3)</f>
        <v>3.2000000000000001E-2</v>
      </c>
    </row>
    <row r="92" spans="23:55" ht="15" thickTop="1" x14ac:dyDescent="0.3"/>
    <row r="93" spans="23:55" ht="15" thickBot="1" x14ac:dyDescent="0.35"/>
    <row r="94" spans="23:55" ht="15.6" thickTop="1" thickBot="1" x14ac:dyDescent="0.35">
      <c r="AK94" s="63">
        <v>1</v>
      </c>
    </row>
    <row r="95" spans="23:55" ht="15.6" thickTop="1" thickBot="1" x14ac:dyDescent="0.35">
      <c r="AX95" s="63">
        <v>1</v>
      </c>
    </row>
    <row r="96" spans="23:55" ht="15" thickTop="1" x14ac:dyDescent="0.3"/>
  </sheetData>
  <dataConsolidate/>
  <dataValidations count="3">
    <dataValidation type="whole" operator="equal" allowBlank="1" showInputMessage="1" showErrorMessage="1" sqref="E3" xr:uid="{00000000-0002-0000-0100-000000000000}">
      <formula1>16</formula1>
    </dataValidation>
    <dataValidation type="list" allowBlank="1" showInputMessage="1" showErrorMessage="1" sqref="I32 I41 W15 W23 W33 AK10 AK20 AK29 AX10 AX19 AX28 W7 AX38 AK39 I22 I51 W42 W51 W60 W69 W79 W89 AK48 AK57 AK66 AK75 AK84 AK94 AX47 AX57 AX66 AX85 AX95 BO11 AX75 BO21 BO31 BO42 BO54" xr:uid="{00000000-0002-0000-0100-000001000000}">
      <formula1>"0,1"</formula1>
    </dataValidation>
    <dataValidation type="decimal" operator="equal" allowBlank="1" showInputMessage="1" showErrorMessage="1" sqref="AG3" xr:uid="{00000000-0002-0000-0100-000002000000}">
      <formula1>0.128</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4:AY211"/>
  <sheetViews>
    <sheetView topLeftCell="A52" zoomScale="130" zoomScaleNormal="130" workbookViewId="0">
      <selection activeCell="F59" sqref="F59"/>
    </sheetView>
  </sheetViews>
  <sheetFormatPr defaultRowHeight="14.4" x14ac:dyDescent="0.3"/>
  <sheetData>
    <row r="4" spans="3:34" x14ac:dyDescent="0.3">
      <c r="E4" s="7"/>
      <c r="F4" t="s">
        <v>13</v>
      </c>
      <c r="AF4" s="7"/>
      <c r="AG4" t="s">
        <v>13</v>
      </c>
    </row>
    <row r="6" spans="3:34" ht="15" thickBot="1" x14ac:dyDescent="0.35"/>
    <row r="7" spans="3:34" ht="15.6" thickTop="1" thickBot="1" x14ac:dyDescent="0.35">
      <c r="K7" s="35">
        <f>IF(OR(Tree!$S$31="DRUN",Tree!$S$31="RUN0",Tree!$S$31="RUN1",Tree!$S$31="RUN2",Tree!$S$31="RUN3",Tree!$S$31="SAFE",Tree!$S$31="RESET",Tree!$S$31="STOP"),Tree!$F$33,0)</f>
        <v>40</v>
      </c>
      <c r="M7" s="35">
        <f>IF(OR(Tree!$S$31="DRUN",Tree!$S$31="RUN0",Tree!$S$31="RUN1",Tree!$S$31="RUN2",Tree!$S$31="RUN3",Tree!$S$31="SAFE",Tree!$S$31="RESET",Tree!$S$31="STOP"),Tree!$V$18,0)</f>
        <v>80</v>
      </c>
      <c r="O7" s="35">
        <f>IF(OR(Tree!$S$31="DRUN",Tree!$S$31="RUN0",Tree!$S$31="RUN1",Tree!$S$31="RUN2",Tree!$S$31="RUN3",Tree!$S$31="SAFE",Tree!$S$31="RESET",Tree!$S$31="STOP"),Tree!$V$8,0)</f>
        <v>160</v>
      </c>
      <c r="P7" s="35">
        <f>IF(OR(Tree!$S$31="DRUN",Tree!$S$31="RUN0",Tree!$S$31="RUN1",Tree!$S$31="RUN2",Tree!$S$31="RUN3",Tree!$S$31="SAFE",Tree!$S$31="RESET",Tree!$S$31="STOP"),Tree!$V$14,0)</f>
        <v>80</v>
      </c>
      <c r="R7" s="35">
        <f>IF(OR(Tree!$S$31="DRUN",Tree!$S$31="RUN0",Tree!$S$31="RUN1",Tree!$S$31="RUN2",Tree!$S$31="RUN3",Tree!$S$31="SAFE",Tree!$S$31="RESET",Tree!$S$31="STOP"),Tree!$V$25,0)</f>
        <v>40</v>
      </c>
      <c r="T7" s="35">
        <f>IF(OR(Tree!$S$31="DRUN",Tree!$S$31="RUN0",Tree!$S$31="RUN1",Tree!$S$31="RUN2",Tree!$S$31="RUN3",Tree!$S$31="SAFE",Tree!$S$31="RESET",Tree!$S$31="STOP"),Tree!$V$27,0)</f>
        <v>80</v>
      </c>
      <c r="V7" s="35">
        <f>IF(OR(Tree!$S$31="DRUN",Tree!$S$31="RUN0",Tree!$S$31="RUN1",Tree!$S$31="RUN2",Tree!$S$31="RUN3",Tree!$S$31="SAFE",Tree!$S$31="RESET",Tree!$S$31="STOP"),Tree!$V$29,0)</f>
        <v>20</v>
      </c>
      <c r="X7" s="35">
        <f>IF(OR(Tree!$S$31="DRUN",Tree!$S$31="RUN0",Tree!$S$31="RUN1",Tree!$S$31="RUN2",Tree!$S$31="RUN3",Tree!$S$31="SAFE",Tree!$S$31="RESET",Tree!$S$31="STOP"),Tree!$V$21,0)</f>
        <v>40</v>
      </c>
      <c r="Z7" s="35">
        <f>IF(OR(Tree!$S$31="DRUN",Tree!$S$31="RUN0",Tree!$S$31="RUN1",Tree!$S$31="RUN2",Tree!$S$31="RUN3",Tree!$S$31="SAFE",Tree!$S$31="RESET",Tree!$S$31="STOP"),Tree!D16,0)</f>
        <v>16</v>
      </c>
      <c r="AB7" s="35">
        <f>IF(OR(Tree!$S$31="DRUN",Tree!$S$31="RUN0",Tree!$S$31="RUN1",Tree!$S$31="RUN2",Tree!$S$31="RUN3",Tree!$S$31="SAFE",Tree!$S$31="RESET",Tree!$S$31="STOP"),Tree!L57,0)</f>
        <v>3.2000000000000001E-2</v>
      </c>
      <c r="AD7" s="35">
        <f>IF(OR(Tree!$S$31="DRUN",Tree!$S$31="RUN0",Tree!$S$31="RUN1",Tree!$S$31="RUN2",Tree!$S$31="RUN3",Tree!$S$31="SAFE",Tree!$S$31="RESET",Tree!$S$31="STOP"),Tree!$L$46,0)</f>
        <v>0.128</v>
      </c>
      <c r="AF7" s="35">
        <f>IF(OR(Tree!$S$31="DRUN",Tree!$S$31="RUN0",Tree!$S$31="RUN1",Tree!$S$31="RUN2",Tree!$S$31="RUN3",Tree!$S$31="SAFE",Tree!$S$31="RESET",Tree!$S$31="STOP"),Tree!$L$48,0)</f>
        <v>0.128</v>
      </c>
      <c r="AH7" s="35">
        <f>IF(OR(Tree!$S$31="DRUN",Tree!$S$31="RUN0",Tree!$S$31="RUN1",Tree!$S$31="RUN2",Tree!$S$31="RUN3",Tree!$S$31="SAFE",Tree!$S$31="RESET",Tree!$S$31="STOP"),Tree!V10,0)</f>
        <v>160</v>
      </c>
    </row>
    <row r="8" spans="3:34" ht="15.6" thickTop="1" thickBot="1" x14ac:dyDescent="0.35">
      <c r="D8" s="35">
        <f>IF(F10="RESET",0,M7)</f>
        <v>80</v>
      </c>
      <c r="M8" s="38"/>
    </row>
    <row r="9" spans="3:34" ht="15.6" thickTop="1" thickBot="1" x14ac:dyDescent="0.35"/>
    <row r="10" spans="3:34" ht="15.6" thickTop="1" thickBot="1" x14ac:dyDescent="0.35">
      <c r="C10" s="33"/>
      <c r="F10" s="35" t="str">
        <f>Tree!$S$31</f>
        <v>DRUN</v>
      </c>
    </row>
    <row r="11" spans="3:34" ht="15.6" thickTop="1" thickBot="1" x14ac:dyDescent="0.35">
      <c r="D11" s="35">
        <f>IF(F14="RESET",0,H12)</f>
        <v>40</v>
      </c>
    </row>
    <row r="12" spans="3:34" ht="15.6" thickTop="1" thickBot="1" x14ac:dyDescent="0.35">
      <c r="H12" s="35">
        <f>IF(OR(Tree!$S$31="DRUN",Tree!$S$31="RUN0",Tree!$S$31="RUN1",Tree!$S$31="RUN2",Tree!$S$31="RUN3",Tree!$S$31="SAFE",Tree!S31="STOP",Tree!S31="STANDBY"),IF(J15=0,K7,R7),0)</f>
        <v>40</v>
      </c>
    </row>
    <row r="13" spans="3:34" ht="15.6" thickTop="1" thickBot="1" x14ac:dyDescent="0.35">
      <c r="C13" s="33"/>
      <c r="E13" s="33"/>
    </row>
    <row r="14" spans="3:34" ht="15.6" thickTop="1" thickBot="1" x14ac:dyDescent="0.35">
      <c r="F14" s="35" t="str">
        <f>Tree!$S$31</f>
        <v>DRUN</v>
      </c>
    </row>
    <row r="15" spans="3:34" ht="15.6" thickTop="1" thickBot="1" x14ac:dyDescent="0.35">
      <c r="J15" s="63">
        <v>1</v>
      </c>
    </row>
    <row r="16" spans="3:34" ht="15.6" thickTop="1" thickBot="1" x14ac:dyDescent="0.35">
      <c r="AB16" s="33"/>
    </row>
    <row r="17" spans="6:46" ht="15.6" thickTop="1" thickBot="1" x14ac:dyDescent="0.35">
      <c r="AP17" s="35">
        <f>IF(AJ20=1,0,IF(AM20=1,M7,M7/2))</f>
        <v>80</v>
      </c>
      <c r="AT17" s="35">
        <f>IF(AR19="RESET",0,AP17)</f>
        <v>80</v>
      </c>
    </row>
    <row r="18" spans="6:46" ht="15.6" thickTop="1" thickBot="1" x14ac:dyDescent="0.35"/>
    <row r="19" spans="6:46" ht="15.6" thickTop="1" thickBot="1" x14ac:dyDescent="0.35">
      <c r="H19" s="33"/>
      <c r="AR19" s="35" t="str">
        <f>Tree!$S$31</f>
        <v>DRUN</v>
      </c>
    </row>
    <row r="20" spans="6:46" ht="15.6" thickTop="1" thickBot="1" x14ac:dyDescent="0.35">
      <c r="AJ20" s="63">
        <v>0</v>
      </c>
      <c r="AM20" s="63">
        <v>1</v>
      </c>
    </row>
    <row r="21" spans="6:46" ht="15.6" thickTop="1" thickBot="1" x14ac:dyDescent="0.35"/>
    <row r="22" spans="6:46" ht="15.6" thickTop="1" thickBot="1" x14ac:dyDescent="0.35">
      <c r="F22" s="35">
        <f>IF(OR(H22="STOP",H22="STANDBY"),0,AH7)</f>
        <v>160</v>
      </c>
      <c r="H22" s="35" t="str">
        <f>Tree!S31</f>
        <v>DRUN</v>
      </c>
    </row>
    <row r="23" spans="6:46" ht="15.6" thickTop="1" thickBot="1" x14ac:dyDescent="0.35">
      <c r="AM23" s="35">
        <f>IF(AK25="RESET",0,M7)</f>
        <v>80</v>
      </c>
    </row>
    <row r="24" spans="6:46" ht="15.6" thickTop="1" thickBot="1" x14ac:dyDescent="0.35"/>
    <row r="25" spans="6:46" ht="15.6" thickTop="1" thickBot="1" x14ac:dyDescent="0.35">
      <c r="AK25" s="35" t="str">
        <f>Tree!$S$31</f>
        <v>DRUN</v>
      </c>
    </row>
    <row r="26" spans="6:46" ht="15" thickTop="1" x14ac:dyDescent="0.3"/>
    <row r="28" spans="6:46" x14ac:dyDescent="0.3">
      <c r="F28" s="33"/>
    </row>
    <row r="30" spans="6:46" ht="15" thickBot="1" x14ac:dyDescent="0.35"/>
    <row r="31" spans="6:46" ht="15.6" thickTop="1" thickBot="1" x14ac:dyDescent="0.35">
      <c r="F31" s="35">
        <f>IF(OR(Tree!$S$31="DRUN",Tree!$S$31="RUN0",Tree!$S$31="RUN1",Tree!$S$31="RUN2",Tree!$S$31="RUN3",Tree!$S$31="SAFE"),IF(H33=0,K7,M7),0)</f>
        <v>80</v>
      </c>
      <c r="AM31" s="35">
        <f>AH7/2</f>
        <v>80</v>
      </c>
    </row>
    <row r="32" spans="6:46" ht="15.6" thickTop="1" thickBot="1" x14ac:dyDescent="0.35"/>
    <row r="33" spans="6:39" ht="15.6" thickTop="1" thickBot="1" x14ac:dyDescent="0.35">
      <c r="H33" s="63">
        <v>1</v>
      </c>
    </row>
    <row r="34" spans="6:39" ht="15.6" thickTop="1" thickBot="1" x14ac:dyDescent="0.35">
      <c r="AM34" s="35">
        <f>IF(AJ38=0,16/AL35,K7/AL35)</f>
        <v>40</v>
      </c>
    </row>
    <row r="35" spans="6:39" ht="15.6" thickTop="1" thickBot="1" x14ac:dyDescent="0.35">
      <c r="F35" s="33"/>
      <c r="AL35" s="63">
        <v>1</v>
      </c>
    </row>
    <row r="36" spans="6:39" ht="15.6" thickTop="1" thickBot="1" x14ac:dyDescent="0.35">
      <c r="F36" s="35">
        <f>IF(H38="RESET",0,R7)</f>
        <v>40</v>
      </c>
    </row>
    <row r="37" spans="6:39" ht="15.6" thickTop="1" thickBot="1" x14ac:dyDescent="0.35"/>
    <row r="38" spans="6:39" ht="15.6" thickTop="1" thickBot="1" x14ac:dyDescent="0.35">
      <c r="H38" s="35" t="str">
        <f>Tree!$S$31</f>
        <v>DRUN</v>
      </c>
      <c r="AJ38" s="63">
        <v>1</v>
      </c>
    </row>
    <row r="39" spans="6:39" ht="15.6" thickTop="1" thickBot="1" x14ac:dyDescent="0.35"/>
    <row r="40" spans="6:39" ht="15.6" thickTop="1" thickBot="1" x14ac:dyDescent="0.35">
      <c r="F40" s="35">
        <f>IF(H42="RESET",0,T7)</f>
        <v>80</v>
      </c>
    </row>
    <row r="41" spans="6:39" ht="15.6" thickTop="1" thickBot="1" x14ac:dyDescent="0.35"/>
    <row r="42" spans="6:39" ht="15.6" thickTop="1" thickBot="1" x14ac:dyDescent="0.35">
      <c r="F42" s="33"/>
      <c r="H42" s="35" t="str">
        <f>Tree!$S$31</f>
        <v>DRUN</v>
      </c>
      <c r="M42" s="33"/>
      <c r="R42" s="33"/>
    </row>
    <row r="43" spans="6:39" ht="15" thickTop="1" x14ac:dyDescent="0.3">
      <c r="F43" s="33"/>
    </row>
    <row r="45" spans="6:39" ht="15" thickBot="1" x14ac:dyDescent="0.35"/>
    <row r="46" spans="6:39" ht="15.6" thickTop="1" thickBot="1" x14ac:dyDescent="0.35">
      <c r="F46" s="35">
        <f>IF(H49="RESET",0,R7)</f>
        <v>40</v>
      </c>
    </row>
    <row r="47" spans="6:39" ht="15.6" thickTop="1" thickBot="1" x14ac:dyDescent="0.35"/>
    <row r="48" spans="6:39" ht="15.6" thickTop="1" thickBot="1" x14ac:dyDescent="0.35">
      <c r="F48" s="35">
        <f>IF(H49="RESET",0,P7)</f>
        <v>80</v>
      </c>
    </row>
    <row r="49" spans="3:46" ht="15.6" thickTop="1" thickBot="1" x14ac:dyDescent="0.35">
      <c r="H49" s="35" t="str">
        <f>Tree!$S$31</f>
        <v>DRUN</v>
      </c>
    </row>
    <row r="50" spans="3:46" ht="15.6" thickTop="1" thickBot="1" x14ac:dyDescent="0.35">
      <c r="E50" s="35">
        <f>IF(F54="RESET",0,H52)</f>
        <v>40</v>
      </c>
    </row>
    <row r="51" spans="3:46" ht="15.6" thickTop="1" thickBot="1" x14ac:dyDescent="0.35">
      <c r="D51" s="33"/>
    </row>
    <row r="52" spans="3:46" ht="15.6" thickTop="1" thickBot="1" x14ac:dyDescent="0.35">
      <c r="H52" s="35">
        <f>IF(J55=0,R7,K7)</f>
        <v>40</v>
      </c>
    </row>
    <row r="53" spans="3:46" ht="15.6" thickTop="1" thickBot="1" x14ac:dyDescent="0.35"/>
    <row r="54" spans="3:46" ht="15.6" thickTop="1" thickBot="1" x14ac:dyDescent="0.35">
      <c r="F54" s="35" t="str">
        <f>Tree!$S$31</f>
        <v>DRUN</v>
      </c>
    </row>
    <row r="55" spans="3:46" ht="15.6" thickTop="1" thickBot="1" x14ac:dyDescent="0.35">
      <c r="C55" s="63">
        <v>50</v>
      </c>
      <c r="J55" s="63">
        <v>1</v>
      </c>
    </row>
    <row r="56" spans="3:46" ht="15.6" thickTop="1" thickBot="1" x14ac:dyDescent="0.35"/>
    <row r="57" spans="3:46" ht="15.6" thickTop="1" thickBot="1" x14ac:dyDescent="0.35">
      <c r="AI57" s="35">
        <f>Tree!$K$17</f>
        <v>160</v>
      </c>
      <c r="AK57" s="35">
        <f>Tree!$P$33</f>
        <v>80</v>
      </c>
    </row>
    <row r="58" spans="3:46" ht="15.6" thickTop="1" thickBot="1" x14ac:dyDescent="0.35">
      <c r="F58" s="35">
        <f>IF(H61="RESET",0,R7)</f>
        <v>40</v>
      </c>
    </row>
    <row r="59" spans="3:46" ht="15.6" thickTop="1" thickBot="1" x14ac:dyDescent="0.35">
      <c r="F59" s="35">
        <f>IF(H61="RESET",0,T7)</f>
        <v>80</v>
      </c>
      <c r="AP59" s="35">
        <f>IF(AN69=0,K7,IF(AN69=1,Z7,IF(AN69=2,AI57,IF(AN69=3,AH7,IF(AN69=4,AJ61,IF(AN69=5,AK57,IF(AN69=6,AB7,IF(AN69=7,AD7,IF(AN69=8,AK61,IF(AN69=9,AL61,IF(AN69=10,AK68,IF(AN69=12,X7,IF(AN69=13,R7,IF(AN69=14,T7,IF(AN69=15,M7,0)))))))))))))))</f>
        <v>160</v>
      </c>
    </row>
    <row r="60" spans="3:46" ht="15.6" thickTop="1" thickBot="1" x14ac:dyDescent="0.35">
      <c r="F60" s="35">
        <f>IF(H61="RESET",0,O7)</f>
        <v>160</v>
      </c>
      <c r="AQ60" s="63">
        <v>0</v>
      </c>
    </row>
    <row r="61" spans="3:46" ht="15.6" thickTop="1" thickBot="1" x14ac:dyDescent="0.35">
      <c r="H61" s="35" t="str">
        <f>Tree!$S$31</f>
        <v>DRUN</v>
      </c>
      <c r="AJ61" s="35">
        <f>'LP-Enabled Module Domain Set 0'!F36</f>
        <v>40</v>
      </c>
      <c r="AK61" s="35">
        <f>F22</f>
        <v>160</v>
      </c>
      <c r="AL61" s="35">
        <f>F126</f>
        <v>160</v>
      </c>
    </row>
    <row r="62" spans="3:46" ht="15.6" thickTop="1" thickBot="1" x14ac:dyDescent="0.35">
      <c r="G62" s="63">
        <v>25</v>
      </c>
      <c r="AT62" s="35">
        <f>AP59/(AQ60+1)</f>
        <v>160</v>
      </c>
    </row>
    <row r="63" spans="3:46" ht="15" thickTop="1" x14ac:dyDescent="0.3"/>
    <row r="64" spans="3:46" ht="15" thickBot="1" x14ac:dyDescent="0.35"/>
    <row r="65" spans="3:40" ht="15.6" thickTop="1" thickBot="1" x14ac:dyDescent="0.35">
      <c r="C65" s="63">
        <v>25</v>
      </c>
      <c r="F65" s="63">
        <v>25</v>
      </c>
    </row>
    <row r="66" spans="3:40" ht="15" thickTop="1" x14ac:dyDescent="0.3"/>
    <row r="67" spans="3:40" ht="15" thickBot="1" x14ac:dyDescent="0.35"/>
    <row r="68" spans="3:40" ht="15.6" thickTop="1" thickBot="1" x14ac:dyDescent="0.35">
      <c r="AK68" s="35">
        <f>AM31</f>
        <v>80</v>
      </c>
    </row>
    <row r="69" spans="3:40" ht="15.6" thickTop="1" thickBot="1" x14ac:dyDescent="0.35">
      <c r="H69" s="35">
        <f>IF(J71="RESET",0,X7)</f>
        <v>40</v>
      </c>
      <c r="AN69" s="63">
        <v>2</v>
      </c>
    </row>
    <row r="70" spans="3:40" ht="15.6" thickTop="1" thickBot="1" x14ac:dyDescent="0.35"/>
    <row r="71" spans="3:40" ht="15.6" thickTop="1" thickBot="1" x14ac:dyDescent="0.35">
      <c r="F71" s="41"/>
      <c r="J71" s="35" t="str">
        <f>Tree!$S$31</f>
        <v>DRUN</v>
      </c>
    </row>
    <row r="72" spans="3:40" ht="15" thickTop="1" x14ac:dyDescent="0.3"/>
    <row r="74" spans="3:40" ht="15" thickBot="1" x14ac:dyDescent="0.35">
      <c r="E74" s="41"/>
    </row>
    <row r="75" spans="3:40" ht="15.6" thickTop="1" thickBot="1" x14ac:dyDescent="0.35">
      <c r="J75" s="35">
        <f>Tree!$K$17</f>
        <v>160</v>
      </c>
    </row>
    <row r="76" spans="3:40" ht="15.6" thickTop="1" thickBot="1" x14ac:dyDescent="0.35">
      <c r="D76" s="63">
        <v>40</v>
      </c>
    </row>
    <row r="77" spans="3:40" ht="15.6" thickTop="1" thickBot="1" x14ac:dyDescent="0.35">
      <c r="G77" s="35">
        <f>AO145</f>
        <v>101</v>
      </c>
    </row>
    <row r="78" spans="3:40" ht="15.6" thickTop="1" thickBot="1" x14ac:dyDescent="0.35"/>
    <row r="79" spans="3:40" ht="15.6" thickTop="1" thickBot="1" x14ac:dyDescent="0.35">
      <c r="G79" s="63">
        <v>160</v>
      </c>
      <c r="I79" s="35">
        <f>IF(J81="RESET",0,X7)</f>
        <v>40</v>
      </c>
      <c r="AK79" s="33"/>
    </row>
    <row r="80" spans="3:40" ht="15.6" thickTop="1" thickBot="1" x14ac:dyDescent="0.35"/>
    <row r="81" spans="4:51" ht="15.6" thickTop="1" thickBot="1" x14ac:dyDescent="0.35">
      <c r="J81" s="35" t="str">
        <f>Tree!$S$31</f>
        <v>DRUN</v>
      </c>
    </row>
    <row r="82" spans="4:51" ht="15" thickTop="1" x14ac:dyDescent="0.3"/>
    <row r="83" spans="4:51" x14ac:dyDescent="0.3">
      <c r="AK83" s="33"/>
    </row>
    <row r="84" spans="4:51" ht="15" thickBot="1" x14ac:dyDescent="0.35"/>
    <row r="85" spans="4:51" ht="15.6" thickTop="1" thickBot="1" x14ac:dyDescent="0.35">
      <c r="J85" s="35">
        <f>J75</f>
        <v>160</v>
      </c>
      <c r="AK85" s="33"/>
    </row>
    <row r="86" spans="4:51" ht="15.6" thickTop="1" thickBot="1" x14ac:dyDescent="0.35">
      <c r="D86" s="63">
        <v>40</v>
      </c>
    </row>
    <row r="87" spans="4:51" ht="15.6" thickTop="1" thickBot="1" x14ac:dyDescent="0.35">
      <c r="G87" s="35">
        <f>G77</f>
        <v>101</v>
      </c>
      <c r="AK87" s="33"/>
    </row>
    <row r="88" spans="4:51" ht="15.6" thickTop="1" thickBot="1" x14ac:dyDescent="0.35"/>
    <row r="89" spans="4:51" ht="15.6" thickTop="1" thickBot="1" x14ac:dyDescent="0.35">
      <c r="G89" s="63">
        <v>160</v>
      </c>
      <c r="AK89" s="33"/>
    </row>
    <row r="90" spans="4:51" ht="15.6" thickTop="1" thickBot="1" x14ac:dyDescent="0.35">
      <c r="I90" s="35">
        <f>IF(J92="RESET",0,X7)</f>
        <v>40</v>
      </c>
      <c r="AU90" s="33"/>
    </row>
    <row r="91" spans="4:51" ht="15.6" thickTop="1" thickBot="1" x14ac:dyDescent="0.35">
      <c r="AK91" s="33"/>
      <c r="AP91" s="33"/>
    </row>
    <row r="92" spans="4:51" ht="15.6" thickTop="1" thickBot="1" x14ac:dyDescent="0.35">
      <c r="J92" s="35" t="str">
        <f>Tree!$S$31</f>
        <v>DRUN</v>
      </c>
      <c r="AS92" s="33"/>
      <c r="AW92" s="33"/>
    </row>
    <row r="93" spans="4:51" ht="15" thickTop="1" x14ac:dyDescent="0.3">
      <c r="F93" s="33"/>
      <c r="AY93" s="33"/>
    </row>
    <row r="95" spans="4:51" ht="15" thickBot="1" x14ac:dyDescent="0.35"/>
    <row r="96" spans="4:51" ht="15.6" thickTop="1" thickBot="1" x14ac:dyDescent="0.35">
      <c r="H96" s="33"/>
      <c r="J96" s="35">
        <f>J85</f>
        <v>160</v>
      </c>
    </row>
    <row r="97" spans="4:40" ht="15.6" thickTop="1" thickBot="1" x14ac:dyDescent="0.35">
      <c r="D97" s="63">
        <v>40</v>
      </c>
    </row>
    <row r="98" spans="4:40" ht="15.6" thickTop="1" thickBot="1" x14ac:dyDescent="0.35">
      <c r="G98" s="35">
        <f>G87</f>
        <v>101</v>
      </c>
      <c r="AI98" s="33"/>
      <c r="AJ98" s="33"/>
    </row>
    <row r="99" spans="4:40" ht="15.6" thickTop="1" thickBot="1" x14ac:dyDescent="0.35"/>
    <row r="100" spans="4:40" ht="15.6" thickTop="1" thickBot="1" x14ac:dyDescent="0.35">
      <c r="G100" s="63">
        <v>160</v>
      </c>
    </row>
    <row r="101" spans="4:40" ht="15.6" thickTop="1" thickBot="1" x14ac:dyDescent="0.35"/>
    <row r="102" spans="4:40" ht="15.6" thickTop="1" thickBot="1" x14ac:dyDescent="0.35">
      <c r="G102" s="35">
        <f>IF(H104="RESET",0,X7)</f>
        <v>40</v>
      </c>
    </row>
    <row r="103" spans="4:40" ht="15.6" thickTop="1" thickBot="1" x14ac:dyDescent="0.35"/>
    <row r="104" spans="4:40" ht="15.6" thickTop="1" thickBot="1" x14ac:dyDescent="0.35">
      <c r="H104" s="35" t="str">
        <f>Tree!$S$31</f>
        <v>DRUN</v>
      </c>
    </row>
    <row r="105" spans="4:40" ht="15.6" thickTop="1" thickBot="1" x14ac:dyDescent="0.35">
      <c r="AN105" s="33"/>
    </row>
    <row r="106" spans="4:40" ht="15.6" thickTop="1" thickBot="1" x14ac:dyDescent="0.35">
      <c r="H106" s="35">
        <f>IF(J106="RESET",0,T7)</f>
        <v>80</v>
      </c>
      <c r="J106" s="35" t="str">
        <f>Tree!$S$31</f>
        <v>DRUN</v>
      </c>
    </row>
    <row r="107" spans="4:40" ht="15" thickTop="1" x14ac:dyDescent="0.3"/>
    <row r="108" spans="4:40" ht="15" thickBot="1" x14ac:dyDescent="0.35"/>
    <row r="109" spans="4:40" ht="15.6" thickTop="1" thickBot="1" x14ac:dyDescent="0.35">
      <c r="F109" s="35">
        <f>IF(H110="RESET",0,X7)</f>
        <v>40</v>
      </c>
    </row>
    <row r="110" spans="4:40" ht="15.6" thickTop="1" thickBot="1" x14ac:dyDescent="0.35">
      <c r="H110" s="35" t="str">
        <f>Tree!$S$31</f>
        <v>DRUN</v>
      </c>
    </row>
    <row r="111" spans="4:40" ht="15.6" thickTop="1" thickBot="1" x14ac:dyDescent="0.35"/>
    <row r="112" spans="4:40" ht="15.6" thickTop="1" thickBot="1" x14ac:dyDescent="0.35">
      <c r="H112" s="35">
        <f>IF(J112="RESET",0,R7)</f>
        <v>40</v>
      </c>
      <c r="J112" s="35" t="str">
        <f>Tree!$S$31</f>
        <v>DRUN</v>
      </c>
    </row>
    <row r="113" spans="6:44" ht="15.6" thickTop="1" thickBot="1" x14ac:dyDescent="0.35"/>
    <row r="114" spans="6:44" ht="15.6" thickTop="1" thickBot="1" x14ac:dyDescent="0.35">
      <c r="F114" s="35">
        <f>IF(H115="RESET",0,X7)</f>
        <v>40</v>
      </c>
    </row>
    <row r="115" spans="6:44" ht="15.6" thickTop="1" thickBot="1" x14ac:dyDescent="0.35">
      <c r="H115" s="35" t="str">
        <f>Tree!$S$31</f>
        <v>DRUN</v>
      </c>
    </row>
    <row r="116" spans="6:44" ht="15.6" thickTop="1" thickBot="1" x14ac:dyDescent="0.35"/>
    <row r="117" spans="6:44" ht="15.6" thickTop="1" thickBot="1" x14ac:dyDescent="0.35">
      <c r="H117" s="35">
        <f>IF(J117="RESET",0,R7)</f>
        <v>40</v>
      </c>
      <c r="J117" s="35" t="str">
        <f>Tree!$S$31</f>
        <v>DRUN</v>
      </c>
    </row>
    <row r="118" spans="6:44" ht="15" thickTop="1" x14ac:dyDescent="0.3"/>
    <row r="119" spans="6:44" ht="15" thickBot="1" x14ac:dyDescent="0.35"/>
    <row r="120" spans="6:44" ht="15.6" thickTop="1" thickBot="1" x14ac:dyDescent="0.35">
      <c r="F120" s="35">
        <f>IF(H121="RESET",0,X7)</f>
        <v>40</v>
      </c>
      <c r="AL120" s="35">
        <f>IF(AJ122="RESET",0,X210)</f>
        <v>40</v>
      </c>
    </row>
    <row r="121" spans="6:44" ht="15.6" thickTop="1" thickBot="1" x14ac:dyDescent="0.35">
      <c r="H121" s="35" t="str">
        <f>Tree!$S$31</f>
        <v>DRUN</v>
      </c>
      <c r="AN121" s="33"/>
    </row>
    <row r="122" spans="6:44" ht="15.6" thickTop="1" thickBot="1" x14ac:dyDescent="0.35">
      <c r="AJ122" s="35" t="str">
        <f>Tree!$S$31</f>
        <v>DRUN</v>
      </c>
    </row>
    <row r="123" spans="6:44" ht="15.6" thickTop="1" thickBot="1" x14ac:dyDescent="0.35">
      <c r="F123" s="33"/>
      <c r="H123" s="35">
        <f>IF(J123="RESET",0,T7)</f>
        <v>80</v>
      </c>
      <c r="J123" s="35" t="str">
        <f>Tree!$S$31</f>
        <v>DRUN</v>
      </c>
    </row>
    <row r="124" spans="6:44" ht="15" thickTop="1" x14ac:dyDescent="0.3"/>
    <row r="125" spans="6:44" ht="15" thickBot="1" x14ac:dyDescent="0.35">
      <c r="H125" s="33"/>
      <c r="AM125" s="33"/>
    </row>
    <row r="126" spans="6:44" ht="15.6" thickTop="1" thickBot="1" x14ac:dyDescent="0.35">
      <c r="F126" s="35">
        <f>IF(OR(Tree!S31="STOP",Tree!S31="STANDBY"),0,AH7)</f>
        <v>160</v>
      </c>
      <c r="AK126" s="35">
        <f>IF(AI128="RESET",0,T210)</f>
        <v>80</v>
      </c>
      <c r="AR126" s="63">
        <v>60</v>
      </c>
    </row>
    <row r="127" spans="6:44" ht="15.6" thickTop="1" thickBot="1" x14ac:dyDescent="0.35">
      <c r="H127" s="35" t="str">
        <f>Tree!S31</f>
        <v>DRUN</v>
      </c>
    </row>
    <row r="128" spans="6:44" ht="15.6" thickTop="1" thickBot="1" x14ac:dyDescent="0.35">
      <c r="F128" s="35">
        <f>IF(J130="RESET",0,K7)</f>
        <v>40</v>
      </c>
      <c r="AI128" s="35" t="str">
        <f>Tree!$S$31</f>
        <v>DRUN</v>
      </c>
      <c r="AK128" s="33"/>
      <c r="AM128" s="33"/>
    </row>
    <row r="129" spans="4:45" ht="15.6" thickTop="1" thickBot="1" x14ac:dyDescent="0.35"/>
    <row r="130" spans="4:45" ht="15.6" thickTop="1" thickBot="1" x14ac:dyDescent="0.35">
      <c r="J130" s="35" t="str">
        <f>Tree!$S$31</f>
        <v>DRUN</v>
      </c>
      <c r="AK130" s="35">
        <f>IF(AI132="RESET",0,AB210)</f>
        <v>3.2000000000000001E-2</v>
      </c>
    </row>
    <row r="131" spans="4:45" ht="15.6" thickTop="1" thickBot="1" x14ac:dyDescent="0.35">
      <c r="G131" s="35">
        <f>IF(J133="RESET",0,R7)</f>
        <v>40</v>
      </c>
    </row>
    <row r="132" spans="4:45" ht="15.6" thickTop="1" thickBot="1" x14ac:dyDescent="0.35">
      <c r="AI132" s="35" t="str">
        <f>Tree!$S$31</f>
        <v>DRUN</v>
      </c>
      <c r="AM132" s="35">
        <f>IF(AK134="RESET",0,O210)</f>
        <v>160</v>
      </c>
    </row>
    <row r="133" spans="4:45" ht="15.6" thickTop="1" thickBot="1" x14ac:dyDescent="0.35">
      <c r="D133" s="33"/>
      <c r="J133" s="35" t="str">
        <f>Tree!$S$31</f>
        <v>DRUN</v>
      </c>
    </row>
    <row r="134" spans="4:45" ht="15.6" thickTop="1" thickBot="1" x14ac:dyDescent="0.35">
      <c r="AK134" s="35" t="str">
        <f>Tree!$S$31</f>
        <v>DRUN</v>
      </c>
    </row>
    <row r="135" spans="4:45" ht="15.6" thickTop="1" thickBot="1" x14ac:dyDescent="0.35">
      <c r="AS135" s="35">
        <f>IF(OR(Tree!S31="RESET",Tree!S31="SAFE"),X210,IF(Tree!S31="STANDBY",0,IF(AL140=3,X210,0)))</f>
        <v>40</v>
      </c>
    </row>
    <row r="136" spans="4:45" ht="15.6" thickTop="1" thickBot="1" x14ac:dyDescent="0.35"/>
    <row r="137" spans="4:45" ht="15.6" thickTop="1" thickBot="1" x14ac:dyDescent="0.35">
      <c r="AQ137" s="35" t="str">
        <f>Tree!$S$31</f>
        <v>DRUN</v>
      </c>
    </row>
    <row r="138" spans="4:45" ht="15.6" thickTop="1" thickBot="1" x14ac:dyDescent="0.35">
      <c r="F138" s="35">
        <f>IF(H140=0,M7,K7)</f>
        <v>80</v>
      </c>
      <c r="AS138" s="35">
        <f>IF(OR(Tree!S31="RESET",Tree!S31="SAFE"),AH210,IF(Tree!S31="STANDBY",0,IF(AL140=3,AH210,0)))</f>
        <v>160</v>
      </c>
    </row>
    <row r="139" spans="4:45" ht="15.6" thickTop="1" thickBot="1" x14ac:dyDescent="0.35"/>
    <row r="140" spans="4:45" ht="15.6" thickTop="1" thickBot="1" x14ac:dyDescent="0.35">
      <c r="H140" s="63">
        <v>0</v>
      </c>
      <c r="AL140" s="63">
        <v>3</v>
      </c>
    </row>
    <row r="141" spans="4:45" ht="15.6" thickTop="1" thickBot="1" x14ac:dyDescent="0.35">
      <c r="AQ141" s="35" t="str">
        <f>Tree!$S$31</f>
        <v>DRUN</v>
      </c>
    </row>
    <row r="142" spans="4:45" ht="15" thickTop="1" x14ac:dyDescent="0.3"/>
    <row r="143" spans="4:45" ht="15" thickBot="1" x14ac:dyDescent="0.35"/>
    <row r="144" spans="4:45" ht="15.6" thickTop="1" thickBot="1" x14ac:dyDescent="0.35">
      <c r="AK144" s="35">
        <f>IF(AI147="RESET",0,T210)</f>
        <v>80</v>
      </c>
    </row>
    <row r="145" spans="35:41" ht="15.6" thickTop="1" thickBot="1" x14ac:dyDescent="0.35">
      <c r="AO145" s="63">
        <v>101</v>
      </c>
    </row>
    <row r="146" spans="35:41" ht="15.6" thickTop="1" thickBot="1" x14ac:dyDescent="0.35">
      <c r="AK146" s="35">
        <f>IF(AI147="RESET",0,R210)</f>
        <v>40</v>
      </c>
    </row>
    <row r="147" spans="35:41" ht="15.6" thickTop="1" thickBot="1" x14ac:dyDescent="0.35">
      <c r="AI147" s="35" t="str">
        <f>Tree!$S$31</f>
        <v>DRUN</v>
      </c>
    </row>
    <row r="148" spans="35:41" ht="15.6" thickTop="1" thickBot="1" x14ac:dyDescent="0.35"/>
    <row r="149" spans="35:41" ht="15.6" thickTop="1" thickBot="1" x14ac:dyDescent="0.35">
      <c r="AK149" s="35">
        <f>IF(AI151="RESET",0,O210)</f>
        <v>160</v>
      </c>
    </row>
    <row r="150" spans="35:41" ht="15.6" thickTop="1" thickBot="1" x14ac:dyDescent="0.35"/>
    <row r="151" spans="35:41" ht="15.6" thickTop="1" thickBot="1" x14ac:dyDescent="0.35">
      <c r="AI151" s="35" t="str">
        <f>Tree!$S$31</f>
        <v>DRUN</v>
      </c>
    </row>
    <row r="152" spans="35:41" ht="15" thickTop="1" x14ac:dyDescent="0.3"/>
    <row r="169" spans="37:40" ht="15" thickBot="1" x14ac:dyDescent="0.35"/>
    <row r="170" spans="37:40" ht="15.6" thickTop="1" thickBot="1" x14ac:dyDescent="0.35">
      <c r="AM170" s="35">
        <f>IF(AK173="RESET",0,R210)</f>
        <v>40</v>
      </c>
    </row>
    <row r="171" spans="37:40" ht="15" thickTop="1" x14ac:dyDescent="0.3"/>
    <row r="172" spans="37:40" ht="15" thickBot="1" x14ac:dyDescent="0.35"/>
    <row r="173" spans="37:40" ht="15.6" thickTop="1" thickBot="1" x14ac:dyDescent="0.35">
      <c r="AK173" s="35" t="str">
        <f>Tree!$S$31</f>
        <v>DRUN</v>
      </c>
    </row>
    <row r="174" spans="37:40" ht="15" thickTop="1" x14ac:dyDescent="0.3"/>
    <row r="175" spans="37:40" ht="15" thickBot="1" x14ac:dyDescent="0.35"/>
    <row r="176" spans="37:40" ht="15.6" thickTop="1" thickBot="1" x14ac:dyDescent="0.35">
      <c r="AN176" s="35">
        <f>IF(AK178="RESET",0,X210)</f>
        <v>40</v>
      </c>
    </row>
    <row r="177" spans="6:39" ht="15.6" thickTop="1" thickBot="1" x14ac:dyDescent="0.35">
      <c r="F177" s="35">
        <f>IF(I178="RESET",0,X210)</f>
        <v>40</v>
      </c>
    </row>
    <row r="178" spans="6:39" ht="15.6" thickTop="1" thickBot="1" x14ac:dyDescent="0.35">
      <c r="I178" s="35" t="str">
        <f>Tree!$S$31</f>
        <v>DRUN</v>
      </c>
      <c r="AK178" s="35" t="str">
        <f>Tree!$S$31</f>
        <v>DRUN</v>
      </c>
    </row>
    <row r="179" spans="6:39" ht="15" thickTop="1" x14ac:dyDescent="0.3"/>
    <row r="184" spans="6:39" ht="15" thickBot="1" x14ac:dyDescent="0.35"/>
    <row r="185" spans="6:39" ht="15.6" thickTop="1" thickBot="1" x14ac:dyDescent="0.35">
      <c r="AM185" s="35">
        <f>IF(AK188="RESET",0,M210)</f>
        <v>80</v>
      </c>
    </row>
    <row r="186" spans="6:39" ht="15" thickTop="1" x14ac:dyDescent="0.3"/>
    <row r="187" spans="6:39" ht="15" thickBot="1" x14ac:dyDescent="0.35"/>
    <row r="188" spans="6:39" ht="15.6" thickTop="1" thickBot="1" x14ac:dyDescent="0.35">
      <c r="AK188" s="35" t="str">
        <f>Tree!$S$31</f>
        <v>DRUN</v>
      </c>
    </row>
    <row r="189" spans="6:39" ht="15" thickTop="1" x14ac:dyDescent="0.3"/>
    <row r="190" spans="6:39" ht="15" thickBot="1" x14ac:dyDescent="0.35"/>
    <row r="191" spans="6:39" ht="15.6" thickTop="1" thickBot="1" x14ac:dyDescent="0.35">
      <c r="F191" s="35">
        <f>IF(H193="RESET",0,X210)</f>
        <v>40</v>
      </c>
    </row>
    <row r="192" spans="6:39" ht="15.6" thickTop="1" thickBot="1" x14ac:dyDescent="0.35"/>
    <row r="193" spans="6:39" ht="15.6" thickTop="1" thickBot="1" x14ac:dyDescent="0.35">
      <c r="H193" s="35" t="str">
        <f>Tree!$S$31</f>
        <v>DRUN</v>
      </c>
    </row>
    <row r="194" spans="6:39" ht="15.6" thickTop="1" thickBot="1" x14ac:dyDescent="0.35"/>
    <row r="195" spans="6:39" ht="15.6" thickTop="1" thickBot="1" x14ac:dyDescent="0.35">
      <c r="AM195" s="35">
        <f>IF(AK198="RESET",0,T210)</f>
        <v>80</v>
      </c>
    </row>
    <row r="196" spans="6:39" ht="15" thickTop="1" x14ac:dyDescent="0.3"/>
    <row r="197" spans="6:39" ht="15" thickBot="1" x14ac:dyDescent="0.35"/>
    <row r="198" spans="6:39" ht="15.6" thickTop="1" thickBot="1" x14ac:dyDescent="0.35">
      <c r="AK198" s="35" t="str">
        <f>Tree!$S$31</f>
        <v>DRUN</v>
      </c>
    </row>
    <row r="199" spans="6:39" ht="15" thickTop="1" x14ac:dyDescent="0.3"/>
    <row r="208" spans="6:39" x14ac:dyDescent="0.3">
      <c r="F208" s="33"/>
    </row>
    <row r="209" spans="8:34" ht="15" thickBot="1" x14ac:dyDescent="0.35">
      <c r="H209" s="33"/>
    </row>
    <row r="210" spans="8:34" ht="15.6" thickTop="1" thickBot="1" x14ac:dyDescent="0.35">
      <c r="K210" s="35">
        <f>K7</f>
        <v>40</v>
      </c>
      <c r="M210" s="35">
        <f>M7</f>
        <v>80</v>
      </c>
      <c r="O210" s="35">
        <f>O7</f>
        <v>160</v>
      </c>
      <c r="P210" s="35">
        <f>P7</f>
        <v>80</v>
      </c>
      <c r="R210" s="35">
        <f>R7</f>
        <v>40</v>
      </c>
      <c r="T210" s="35">
        <f>T7</f>
        <v>80</v>
      </c>
      <c r="V210" s="35">
        <f>V7</f>
        <v>20</v>
      </c>
      <c r="X210" s="35">
        <f>X7</f>
        <v>40</v>
      </c>
      <c r="Z210" s="35">
        <f>Z7</f>
        <v>16</v>
      </c>
      <c r="AB210" s="35">
        <f>AB7</f>
        <v>3.2000000000000001E-2</v>
      </c>
      <c r="AD210" s="35">
        <f>AD7</f>
        <v>0.128</v>
      </c>
      <c r="AF210" s="35">
        <f>AF7</f>
        <v>0.128</v>
      </c>
      <c r="AH210" s="35">
        <f>AH7</f>
        <v>160</v>
      </c>
    </row>
    <row r="211" spans="8:34" ht="15" thickTop="1" x14ac:dyDescent="0.3"/>
  </sheetData>
  <conditionalFormatting sqref="AP17">
    <cfRule type="expression" dxfId="129" priority="2">
      <formula>$AJ$20=1</formula>
    </cfRule>
  </conditionalFormatting>
  <dataValidations count="22">
    <dataValidation type="list" allowBlank="1" showInputMessage="1" showErrorMessage="1" sqref="AM20 H19 H33 J55 AB16 J15 H140 AJ38 E13 AJ20" xr:uid="{00000000-0002-0000-0200-000000000000}">
      <formula1>"0,1"</formula1>
    </dataValidation>
    <dataValidation type="whole" allowBlank="1" showInputMessage="1" showErrorMessage="1" errorTitle="Invalid HSM Divider" error="HSM divider can be any integer from 1 to 64." promptTitle="HSM Divider" prompt="Only supported on HSM-available part numbers. Majority of users do not need to use HSM." sqref="AL35" xr:uid="{00000000-0002-0000-0200-000001000000}">
      <formula1>1</formula1>
      <formula2>64</formula2>
    </dataValidation>
    <dataValidation type="whole" allowBlank="1" showInputMessage="1" showErrorMessage="1" errorTitle="Invalid CLKOUT0 Divider" error="CLKOUT0 divide value can be any integer from 0 to 31." promptTitle="CLKOUT0 Divider" prompt="MC_CGM_AC6_DC0[DIV].  Note that this is the bitfield value so the actual divider would be DIV+1." sqref="AQ60" xr:uid="{00000000-0002-0000-0200-000002000000}">
      <formula1>0</formula1>
      <formula2>31</formula2>
    </dataValidation>
    <dataValidation type="list" allowBlank="1" showInputMessage="1" showErrorMessage="1" sqref="AN69" xr:uid="{00000000-0002-0000-0200-000003000000}">
      <formula1>"0,1,2,3,4,5,6,7,8,9,10,12,13,14,15"</formula1>
    </dataValidation>
    <dataValidation type="whole" operator="equal" allowBlank="1" showInputMessage="1" showErrorMessage="1" sqref="Z210" xr:uid="{00000000-0002-0000-0200-000004000000}">
      <formula1>16</formula1>
    </dataValidation>
    <dataValidation type="decimal" operator="lessThanOrEqual" allowBlank="1" showInputMessage="1" showErrorMessage="1" errorTitle="Invalid MCLK" error="MCLK must not exceed 160 MHz." promptTitle="MCLK Range" prompt="MCLK must not exceed 160 MHz." sqref="G100 G89 G98" xr:uid="{00000000-0002-0000-0200-000005000000}">
      <formula1>160</formula1>
    </dataValidation>
    <dataValidation type="decimal" operator="lessThanOrEqual" allowBlank="1" showInputMessage="1" showErrorMessage="1" errorTitle="Invalid BCLK" error="BCLK must not be greater than value of S40." promptTitle="BCLK Range" prompt="BCLK must not be greater than value of S40." sqref="D97" xr:uid="{00000000-0002-0000-0200-000006000000}">
      <formula1>X7</formula1>
    </dataValidation>
    <dataValidation type="decimal" operator="lessThanOrEqual" allowBlank="1" showInputMessage="1" showErrorMessage="1" errorTitle="Invalid BCLK" error="BCLK must not be greater than value of S40." promptTitle="BCLK Range" prompt="BCLK must not be greater than value of S40." sqref="D86" xr:uid="{00000000-0002-0000-0200-000007000000}">
      <formula1>X7</formula1>
    </dataValidation>
    <dataValidation type="decimal" operator="lessThanOrEqual" allowBlank="1" showInputMessage="1" showErrorMessage="1" errorTitle="Invalid BCLK" error="BCLK must not be greater than value of S40." promptTitle="BCLK Range" prompt="BCLK must not be greater than value of S40." sqref="D76" xr:uid="{00000000-0002-0000-0200-000008000000}">
      <formula1>X7</formula1>
    </dataValidation>
    <dataValidation type="decimal" operator="greaterThan" allowBlank="1" showInputMessage="1" showErrorMessage="1" errorTitle="Invalid MLB Clock" error="MLB Clock must be at least 100 MHz." promptTitle="MLB Clock Range" prompt="MLB Clock must be at least 100 MHz." sqref="AO145" xr:uid="{00000000-0002-0000-0200-000009000000}">
      <formula1>100</formula1>
    </dataValidation>
    <dataValidation type="whole" operator="equal" allowBlank="1" showInputMessage="1" showErrorMessage="1" errorTitle="Invalid USB Clock" error="USB Clock must be 60 MHz. Externally generated by USB component." promptTitle="USB Clock" prompt="USB Clock must be 60 MHz. Externally generated by USB component." sqref="AR126" xr:uid="{00000000-0002-0000-0200-00000A000000}">
      <formula1>60</formula1>
    </dataValidation>
    <dataValidation type="list" allowBlank="1" showInputMessage="1" showErrorMessage="1" errorTitle="Invalid Frequency" error="ENET supports 2.5 MHz for 10 Mbps and 25 MHz for 100 Mbps operation." promptTitle="ENET Frequencies" prompt="ENET supports 2.5 MHz for 10 Mbps and 25 MHz for 100 Mbps operation." sqref="C65 G62" xr:uid="{00000000-0002-0000-0200-00000B000000}">
      <formula1>"2.5,25"</formula1>
    </dataValidation>
    <dataValidation type="list" allowBlank="1" showInputMessage="1" showErrorMessage="1" errorTitle="Invalid Transmitter Frequency" error="TXD_CLK must be 2.5 MHz for 10 Mbps communication, 25 MHz for 100 Mbps, and 50 MHz for RMII operation." promptTitle="MII/RMII Frequency" prompt="TXD_CLK must be 2.5 MHz for 10 Mbps communication, 25 MHz for 100 Mbps, and 50 MHz for RMII operation." sqref="C55" xr:uid="{00000000-0002-0000-0200-00000C000000}">
      <formula1>"2.5,25,50"</formula1>
    </dataValidation>
    <dataValidation type="list" allowBlank="1" showInputMessage="1" showErrorMessage="1" errorTitle="Invalid ENET Frequency" error="ENET supports 2.5 MHz for 10 Mbps and 25 MHz for 100 Mbps operation." promptTitle="ENET Frequencies" prompt="ENET supports 2.5 MHz for 10 Mbps and 25 MHz for 100 Mbps operation." sqref="F65" xr:uid="{00000000-0002-0000-0200-00000D000000}">
      <formula1>"2.5,25"</formula1>
    </dataValidation>
    <dataValidation type="decimal" operator="lessThanOrEqual" allowBlank="1" showInputMessage="1" showErrorMessage="1" errorTitle="Invalid MLB" error="MCLK must be less than 160 MHz." promptTitle="MCLK Range" prompt="MCLK must be less than 160 MHz." sqref="G79" xr:uid="{00000000-0002-0000-0200-00000E000000}">
      <formula1>160</formula1>
    </dataValidation>
    <dataValidation allowBlank="1" showInputMessage="1" showErrorMessage="1" promptTitle="ADC" prompt="ADC must be at least 1 MHz." sqref="AP17" xr:uid="{00000000-0002-0000-0200-00000F000000}"/>
    <dataValidation allowBlank="1" showInputMessage="1" showErrorMessage="1" promptTitle="What is this?" prompt="Z4a is clock gated in STOP mode but all peripherals are operational." sqref="H22" xr:uid="{00000000-0002-0000-0200-000010000000}"/>
    <dataValidation allowBlank="1" showInputMessage="1" showErrorMessage="1" promptTitle="What is this?" prompt="Z4b is clock gated in STOP mode but all peripherals are operational." sqref="H127" xr:uid="{00000000-0002-0000-0200-000011000000}"/>
    <dataValidation allowBlank="1" showInputMessage="1" showErrorMessage="1" promptTitle="CLKOUT0" prompt="CLKOUT0 clock is available in Run and STOP modes, but CLKOUT0 pin is available in all modes including STANDBY and LPU modes." sqref="AT62" xr:uid="{00000000-0002-0000-0200-000012000000}"/>
    <dataValidation allowBlank="1" showErrorMessage="1" sqref="AI98:AJ98 AK91 AK89 AK87 AK85 AK83 AK79 AP91 AS92 AU90 AW92 AY93" xr:uid="{00000000-0002-0000-0200-000013000000}"/>
    <dataValidation allowBlank="1" showErrorMessage="1" promptTitle="What is this?" prompt="Z4a is clock gated in STOP mode but all peripherals are operational." sqref="F54 H49 H42 H38 F14 F10 H61 J71 J81 J92 H104 J106 H110 J112 H115 J117 H121 J123 J130 J133 I178 AR19 AK25 AJ122 AI128 AI132 AK134 AI147 AI151 AK173 AK178 AK188 AK198 AQ137 AQ141 H193" xr:uid="{00000000-0002-0000-0200-000014000000}"/>
    <dataValidation type="list" allowBlank="1" showInputMessage="1" showErrorMessage="1" promptTitle="What is this?" prompt="Flash can be in RUN mode or powered down. Selectable in DRUN, RUNn, and STOP modes.  Flash always in RUN mode when MCU RESET and SAFE modes. Flash always powered down in STANDBY mode." sqref="AL140" xr:uid="{00000000-0002-0000-0200-000015000000}">
      <formula1>"1,3"</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1" id="{716E29FF-7FA0-472A-BA3F-0DE3172A5572}">
            <xm:f>$M$7 &gt; Limits!$B$21</xm:f>
            <x14:dxf>
              <fill>
                <patternFill>
                  <bgColor rgb="FFFF0000"/>
                </patternFill>
              </fill>
            </x14:dxf>
          </x14:cfRule>
          <xm:sqref>M7</xm:sqref>
        </x14:conditionalFormatting>
        <x14:conditionalFormatting xmlns:xm="http://schemas.microsoft.com/office/excel/2006/main">
          <x14:cfRule type="expression" priority="30" id="{8BC09564-6E99-4B9D-BD34-BC1D27852535}">
            <xm:f>$O$7 &gt; Limits!$B$18</xm:f>
            <x14:dxf>
              <fill>
                <patternFill>
                  <bgColor rgb="FFFF0000"/>
                </patternFill>
              </fill>
            </x14:dxf>
          </x14:cfRule>
          <xm:sqref>O7</xm:sqref>
        </x14:conditionalFormatting>
        <x14:conditionalFormatting xmlns:xm="http://schemas.microsoft.com/office/excel/2006/main">
          <x14:cfRule type="expression" priority="29" id="{A24F9641-3F94-42C7-8CF7-5ED2D5B79039}">
            <xm:f>$P$7 &gt; Limits!$B$20</xm:f>
            <x14:dxf>
              <fill>
                <patternFill>
                  <bgColor rgb="FFFF0000"/>
                </patternFill>
              </fill>
            </x14:dxf>
          </x14:cfRule>
          <xm:sqref>P7</xm:sqref>
        </x14:conditionalFormatting>
        <x14:conditionalFormatting xmlns:xm="http://schemas.microsoft.com/office/excel/2006/main">
          <x14:cfRule type="expression" priority="28" id="{197778AE-E599-4CE0-9918-91D742902C55}">
            <xm:f>$R$7 &gt; Limits!$B$23</xm:f>
            <x14:dxf>
              <fill>
                <patternFill>
                  <bgColor rgb="FFFF0000"/>
                </patternFill>
              </fill>
            </x14:dxf>
          </x14:cfRule>
          <xm:sqref>R7</xm:sqref>
        </x14:conditionalFormatting>
        <x14:conditionalFormatting xmlns:xm="http://schemas.microsoft.com/office/excel/2006/main">
          <x14:cfRule type="expression" priority="27" id="{805920A2-ED6D-488B-9064-71426886E94A}">
            <xm:f>$T$7&gt;Limits!$B$24</xm:f>
            <x14:dxf>
              <fill>
                <patternFill>
                  <bgColor rgb="FFFF0000"/>
                </patternFill>
              </fill>
            </x14:dxf>
          </x14:cfRule>
          <xm:sqref>T7</xm:sqref>
        </x14:conditionalFormatting>
        <x14:conditionalFormatting xmlns:xm="http://schemas.microsoft.com/office/excel/2006/main">
          <x14:cfRule type="expression" priority="26" id="{C231A34F-89B9-4917-AE5E-B13F4B4AFD93}">
            <xm:f>$V$7&gt;Limits!$B$25</xm:f>
            <x14:dxf>
              <fill>
                <patternFill>
                  <bgColor rgb="FFFF0000"/>
                </patternFill>
              </fill>
            </x14:dxf>
          </x14:cfRule>
          <xm:sqref>V7</xm:sqref>
        </x14:conditionalFormatting>
        <x14:conditionalFormatting xmlns:xm="http://schemas.microsoft.com/office/excel/2006/main">
          <x14:cfRule type="expression" priority="25" id="{2C1C0C3D-C036-4ED3-A631-741379EB710E}">
            <xm:f>$X$7 &gt; Limits!$B$22</xm:f>
            <x14:dxf>
              <fill>
                <patternFill>
                  <bgColor rgb="FFFF0000"/>
                </patternFill>
              </fill>
            </x14:dxf>
          </x14:cfRule>
          <xm:sqref>X7</xm:sqref>
        </x14:conditionalFormatting>
        <x14:conditionalFormatting xmlns:xm="http://schemas.microsoft.com/office/excel/2006/main">
          <x14:cfRule type="expression" priority="24" id="{DDF2594F-BF33-4183-8027-25F06DA81FB1}">
            <xm:f>$AH$7&gt;Limits!$B$19</xm:f>
            <x14:dxf>
              <fill>
                <patternFill>
                  <bgColor rgb="FFFF0000"/>
                </patternFill>
              </fill>
            </x14:dxf>
          </x14:cfRule>
          <xm:sqref>AH7</xm:sqref>
        </x14:conditionalFormatting>
        <x14:conditionalFormatting xmlns:xm="http://schemas.microsoft.com/office/excel/2006/main">
          <x14:cfRule type="expression" priority="23" id="{6F74BAD8-0EA0-491F-BE75-C9F18611534C}">
            <xm:f>$M$210&gt;Limits!$B$21</xm:f>
            <x14:dxf>
              <fill>
                <patternFill>
                  <bgColor rgb="FFFF0000"/>
                </patternFill>
              </fill>
            </x14:dxf>
          </x14:cfRule>
          <xm:sqref>M210</xm:sqref>
        </x14:conditionalFormatting>
        <x14:conditionalFormatting xmlns:xm="http://schemas.microsoft.com/office/excel/2006/main">
          <x14:cfRule type="expression" priority="22" id="{6910D626-B910-4915-AB12-70A22E324EFC}">
            <xm:f>$O$210&gt;Limits!$B$18</xm:f>
            <x14:dxf>
              <fill>
                <patternFill>
                  <bgColor rgb="FFFF0000"/>
                </patternFill>
              </fill>
            </x14:dxf>
          </x14:cfRule>
          <xm:sqref>O210</xm:sqref>
        </x14:conditionalFormatting>
        <x14:conditionalFormatting xmlns:xm="http://schemas.microsoft.com/office/excel/2006/main">
          <x14:cfRule type="expression" priority="21" id="{358967AF-C0A8-44AC-A4F2-C3D429E1BFC7}">
            <xm:f>$P$210&gt;Limits!$B$20</xm:f>
            <x14:dxf>
              <fill>
                <patternFill>
                  <bgColor rgb="FFFF0000"/>
                </patternFill>
              </fill>
            </x14:dxf>
          </x14:cfRule>
          <xm:sqref>P210</xm:sqref>
        </x14:conditionalFormatting>
        <x14:conditionalFormatting xmlns:xm="http://schemas.microsoft.com/office/excel/2006/main">
          <x14:cfRule type="expression" priority="20" id="{EBB9E496-7A5A-4CC7-ABFC-E53087B565A0}">
            <xm:f>$R$210&gt;Limits!$B$23</xm:f>
            <x14:dxf>
              <fill>
                <patternFill>
                  <bgColor rgb="FFFF0000"/>
                </patternFill>
              </fill>
            </x14:dxf>
          </x14:cfRule>
          <xm:sqref>R210</xm:sqref>
        </x14:conditionalFormatting>
        <x14:conditionalFormatting xmlns:xm="http://schemas.microsoft.com/office/excel/2006/main">
          <x14:cfRule type="expression" priority="19" id="{0F0B84E8-3AD4-4C62-AF8D-1C149C5EE856}">
            <xm:f>$T$210&gt;Limits!$B$24</xm:f>
            <x14:dxf>
              <fill>
                <patternFill>
                  <bgColor rgb="FFFF0000"/>
                </patternFill>
              </fill>
            </x14:dxf>
          </x14:cfRule>
          <xm:sqref>T210</xm:sqref>
        </x14:conditionalFormatting>
        <x14:conditionalFormatting xmlns:xm="http://schemas.microsoft.com/office/excel/2006/main">
          <x14:cfRule type="expression" priority="18" id="{9D4E6595-95AC-450D-BC6D-DFAA69575C49}">
            <xm:f>$V$210&gt;Limits!$B$25</xm:f>
            <x14:dxf>
              <fill>
                <patternFill>
                  <bgColor rgb="FFFF0000"/>
                </patternFill>
              </fill>
            </x14:dxf>
          </x14:cfRule>
          <xm:sqref>V210</xm:sqref>
        </x14:conditionalFormatting>
        <x14:conditionalFormatting xmlns:xm="http://schemas.microsoft.com/office/excel/2006/main">
          <x14:cfRule type="expression" priority="17" id="{E5F7B136-66EF-4A37-8385-9B34AA46D81D}">
            <xm:f>$X$210&gt;Limits!$B$22</xm:f>
            <x14:dxf>
              <fill>
                <patternFill>
                  <bgColor rgb="FFFF0000"/>
                </patternFill>
              </fill>
            </x14:dxf>
          </x14:cfRule>
          <xm:sqref>X210</xm:sqref>
        </x14:conditionalFormatting>
        <x14:conditionalFormatting xmlns:xm="http://schemas.microsoft.com/office/excel/2006/main">
          <x14:cfRule type="expression" priority="16" id="{3886DD4B-F17F-420F-B809-686A5235A746}">
            <xm:f>$AH$210&gt;Limits!$B$19</xm:f>
            <x14:dxf>
              <fill>
                <patternFill>
                  <bgColor rgb="FFFF0000"/>
                </patternFill>
              </fill>
            </x14:dxf>
          </x14:cfRule>
          <xm:sqref>AH210</xm:sqref>
        </x14:conditionalFormatting>
        <x14:conditionalFormatting xmlns:xm="http://schemas.microsoft.com/office/excel/2006/main">
          <x14:cfRule type="expression" priority="15" id="{4A6F9A5E-D15F-4D7B-81E6-8E9A14BB13FA}">
            <xm:f>$H$12&gt;Limits!$B$23</xm:f>
            <x14:dxf>
              <fill>
                <patternFill>
                  <bgColor rgb="FFFF0000"/>
                </patternFill>
              </fill>
            </x14:dxf>
          </x14:cfRule>
          <xm:sqref>H12</xm:sqref>
        </x14:conditionalFormatting>
        <x14:conditionalFormatting xmlns:xm="http://schemas.microsoft.com/office/excel/2006/main">
          <x14:cfRule type="expression" priority="14" id="{AE7ED276-236A-453A-8AD3-4F99FB93FD06}">
            <xm:f>$F$22&gt;Limits!$B$19</xm:f>
            <x14:dxf>
              <fill>
                <patternFill>
                  <bgColor rgb="FFFF0000"/>
                </patternFill>
              </fill>
            </x14:dxf>
          </x14:cfRule>
          <xm:sqref>F22</xm:sqref>
        </x14:conditionalFormatting>
        <x14:conditionalFormatting xmlns:xm="http://schemas.microsoft.com/office/excel/2006/main">
          <x14:cfRule type="expression" priority="13" id="{10E34224-A70A-4D67-AF0F-33F93FE98443}">
            <xm:f>$F$31&gt;Limits!$B$21</xm:f>
            <x14:dxf>
              <fill>
                <patternFill>
                  <bgColor rgb="FFFF0000"/>
                </patternFill>
              </fill>
            </x14:dxf>
          </x14:cfRule>
          <xm:sqref>F31</xm:sqref>
        </x14:conditionalFormatting>
        <x14:conditionalFormatting xmlns:xm="http://schemas.microsoft.com/office/excel/2006/main">
          <x14:cfRule type="expression" priority="12" id="{663FA19B-3313-4495-A706-ABEEC3F15197}">
            <xm:f>$H$52 &gt; Limits!$B$27</xm:f>
            <x14:dxf>
              <fill>
                <patternFill>
                  <bgColor rgb="FFFF0000"/>
                </patternFill>
              </fill>
            </x14:dxf>
          </x14:cfRule>
          <xm:sqref>H52</xm:sqref>
        </x14:conditionalFormatting>
        <x14:conditionalFormatting xmlns:xm="http://schemas.microsoft.com/office/excel/2006/main">
          <x14:cfRule type="expression" priority="7" id="{E964A20B-AEBE-4C1C-945E-9B81175DB859}">
            <xm:f>$J$85&gt;Limits!$B$8</xm:f>
            <x14:dxf>
              <fill>
                <patternFill>
                  <bgColor rgb="FFFF0000"/>
                </patternFill>
              </fill>
            </x14:dxf>
          </x14:cfRule>
          <xm:sqref>J85</xm:sqref>
        </x14:conditionalFormatting>
        <x14:conditionalFormatting xmlns:xm="http://schemas.microsoft.com/office/excel/2006/main">
          <x14:cfRule type="expression" priority="6" id="{08DFE162-87A0-498E-835A-1DF06FB20DC6}">
            <xm:f>$J$96&gt;Limits!$B$8</xm:f>
            <x14:dxf>
              <fill>
                <patternFill>
                  <bgColor rgb="FFFF0000"/>
                </patternFill>
              </fill>
            </x14:dxf>
          </x14:cfRule>
          <xm:sqref>J96</xm:sqref>
        </x14:conditionalFormatting>
        <x14:conditionalFormatting xmlns:xm="http://schemas.microsoft.com/office/excel/2006/main">
          <x14:cfRule type="expression" priority="5" id="{9BE966F6-5348-4607-93A2-3B1156A2A18D}">
            <xm:f>$AM$125&gt;Limits!$B$28</xm:f>
            <x14:dxf>
              <fill>
                <patternFill>
                  <bgColor rgb="FFFF0000"/>
                </patternFill>
              </fill>
            </x14:dxf>
          </x14:cfRule>
          <xm:sqref>AM125</xm:sqref>
        </x14:conditionalFormatting>
        <x14:conditionalFormatting xmlns:xm="http://schemas.microsoft.com/office/excel/2006/main">
          <x14:cfRule type="expression" priority="4" id="{ADCF9BE8-CEC1-4FC6-A5C7-3EBD99ACF215}">
            <xm:f>$AM$128&gt;Limits!$B$28</xm:f>
            <x14:dxf>
              <fill>
                <patternFill>
                  <bgColor rgb="FFFF0000"/>
                </patternFill>
              </fill>
            </x14:dxf>
          </x14:cfRule>
          <xm:sqref>AM128</xm:sqref>
        </x14:conditionalFormatting>
        <x14:conditionalFormatting xmlns:xm="http://schemas.microsoft.com/office/excel/2006/main">
          <x14:cfRule type="expression" priority="1" id="{D7E5D45A-22FD-4EE4-B0AC-BC84C59F9788}">
            <xm:f>OR(Tree!S31="LPU_RUN",Tree!S31="LPU_SLEEP",Tree!S31="LPU_STOP",Tree!S31="LPU_STANDBY",Tree!S31="STOP",Tree!S31="RESET",Tree!S31="STANDBY")</xm:f>
            <x14:dxf>
              <fill>
                <patternFill patternType="none">
                  <bgColor auto="1"/>
                </patternFill>
              </fill>
            </x14:dxf>
          </x14:cfRule>
          <x14:cfRule type="expression" priority="3" id="{3E4ED96D-60BB-4516-A43F-7E84A932690A}">
            <xm:f>$AP$17&lt;Limits!$B$34</xm:f>
            <x14:dxf>
              <fill>
                <patternFill>
                  <bgColor rgb="FFFF0000"/>
                </patternFill>
              </fill>
            </x14:dxf>
          </x14:cfRule>
          <xm:sqref>AP17</xm:sqref>
        </x14:conditionalFormatting>
        <x14:conditionalFormatting xmlns:xm="http://schemas.microsoft.com/office/excel/2006/main">
          <x14:cfRule type="expression" priority="8" id="{1AD3C0F2-317D-4A9C-9AEC-3F1B73502A91}">
            <xm:f>FMPLL!$E$17=0</xm:f>
            <x14:dxf>
              <fill>
                <patternFill patternType="none">
                  <bgColor auto="1"/>
                </patternFill>
              </fill>
            </x14:dxf>
          </x14:cfRule>
          <x14:cfRule type="expression" priority="9" id="{02DE0512-948D-4AEB-A59D-42F45A6AE95F}">
            <xm:f>OR($J$75*2*POWER(2,FMPLL!$X$11) &lt; Limits!$B$5, $J$75*2*POWER(2,FMPLL!$X$11) &gt;Limits!$B$6)</xm:f>
            <x14:dxf>
              <fill>
                <patternFill patternType="lightDown">
                  <bgColor rgb="FFFF0000"/>
                </patternFill>
              </fill>
            </x14:dxf>
          </x14:cfRule>
          <x14:cfRule type="expression" priority="10" id="{2645E328-C745-454F-8DD4-845AAFD5EF0D}">
            <xm:f>$J$75&gt;Limits!$B$8</xm:f>
            <x14:dxf>
              <fill>
                <patternFill>
                  <bgColor rgb="FFFF0000"/>
                </patternFill>
              </fill>
            </x14:dxf>
          </x14:cfRule>
          <xm:sqref>J75 J85 J96 AI57 AK57</xm:sqref>
        </x14:conditionalFormatting>
      </x14:conditionalFormattings>
    </ext>
    <ext xmlns:x14="http://schemas.microsoft.com/office/spreadsheetml/2009/9/main" uri="{CCE6A557-97BC-4b89-ADB6-D9C93CAAB3DF}">
      <x14:dataValidations xmlns:xm="http://schemas.microsoft.com/office/excel/2006/main" count="1">
        <x14:dataValidation type="whole" operator="equal" allowBlank="1" showInputMessage="1" showErrorMessage="1" xr:uid="{00000000-0002-0000-0200-000016000000}">
          <x14:formula1>
            <xm:f>IF(OR(Tree!S31="STOP",Tree!S31="RESET",Tree!S31="SAFE",Tree!S31="DRUN",Tree!S31="RUN0",Tree!S31="RUN1",Tree!S31="RUN2",Tree!S31="RUN3"),16,0)</xm:f>
          </x14:formula1>
          <xm:sqref>Z7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AX111"/>
  <sheetViews>
    <sheetView zoomScale="115" zoomScaleNormal="115" workbookViewId="0">
      <selection activeCell="B15" sqref="B15"/>
    </sheetView>
  </sheetViews>
  <sheetFormatPr defaultRowHeight="14.4" x14ac:dyDescent="0.3"/>
  <sheetData>
    <row r="3" spans="1:24" ht="15" thickBot="1" x14ac:dyDescent="0.35"/>
    <row r="4" spans="1:24" ht="15.6" thickTop="1" thickBot="1" x14ac:dyDescent="0.35">
      <c r="J4" s="35">
        <f>Tree!V18</f>
        <v>80</v>
      </c>
      <c r="L4" s="35">
        <f>Tree!V21</f>
        <v>40</v>
      </c>
      <c r="N4" s="35">
        <f>Tree!L46</f>
        <v>0.128</v>
      </c>
      <c r="P4" s="35">
        <f>Tree!F33</f>
        <v>40</v>
      </c>
      <c r="R4" s="35">
        <f>Tree!D16</f>
        <v>16</v>
      </c>
      <c r="T4" s="35">
        <f>Tree!L57</f>
        <v>3.2000000000000001E-2</v>
      </c>
      <c r="V4" s="35">
        <f>Tree!L48</f>
        <v>0.128</v>
      </c>
      <c r="X4" s="67">
        <f>Tree!V10</f>
        <v>160</v>
      </c>
    </row>
    <row r="5" spans="1:24" ht="15" thickTop="1" x14ac:dyDescent="0.3">
      <c r="X5" s="68"/>
    </row>
    <row r="6" spans="1:24" ht="15" thickBot="1" x14ac:dyDescent="0.35"/>
    <row r="7" spans="1:24" ht="15.6" thickTop="1" thickBot="1" x14ac:dyDescent="0.35">
      <c r="A7" s="7"/>
      <c r="B7" t="s">
        <v>13</v>
      </c>
      <c r="H7" s="35">
        <f>IF(I9="RESET",0,L4)</f>
        <v>40</v>
      </c>
    </row>
    <row r="8" spans="1:24" ht="15.6" thickTop="1" thickBot="1" x14ac:dyDescent="0.35"/>
    <row r="9" spans="1:24" ht="15.6" thickTop="1" thickBot="1" x14ac:dyDescent="0.35">
      <c r="D9" s="35">
        <f>IF(OR(Tree!S31="SAFE",Tree!S31="DRUN",Tree!S31="RUN0",Tree!S31="RUN1",Tree!S31="RUN2",Tree!S31="RUN3",Tree!S31="STOP",Tree!S31="STANDBY"),L4,IF(F12=0,L4,0))</f>
        <v>40</v>
      </c>
      <c r="I9" s="35" t="str">
        <f>Tree!$S$31</f>
        <v>DRUN</v>
      </c>
    </row>
    <row r="10" spans="1:24" ht="15" thickTop="1" x14ac:dyDescent="0.3"/>
    <row r="11" spans="1:24" ht="15" thickBot="1" x14ac:dyDescent="0.35"/>
    <row r="12" spans="1:24" ht="15.6" thickTop="1" thickBot="1" x14ac:dyDescent="0.35">
      <c r="F12" s="63">
        <v>0</v>
      </c>
    </row>
    <row r="13" spans="1:24" ht="15" thickTop="1" x14ac:dyDescent="0.3"/>
    <row r="19" spans="4:27" ht="15" thickBot="1" x14ac:dyDescent="0.35"/>
    <row r="20" spans="4:27" ht="15.6" thickTop="1" thickBot="1" x14ac:dyDescent="0.35">
      <c r="AA20" s="35">
        <f>IF(Y22="RESET",0,L4)</f>
        <v>40</v>
      </c>
    </row>
    <row r="21" spans="4:27" ht="15.6" thickTop="1" thickBot="1" x14ac:dyDescent="0.35">
      <c r="D21" s="35">
        <f>IF(F25=0,J4,P4)</f>
        <v>80</v>
      </c>
    </row>
    <row r="22" spans="4:27" ht="15.6" thickTop="1" thickBot="1" x14ac:dyDescent="0.35">
      <c r="Y22" s="35" t="str">
        <f>Tree!$S$31</f>
        <v>DRUN</v>
      </c>
    </row>
    <row r="23" spans="4:27" ht="15" thickTop="1" x14ac:dyDescent="0.3"/>
    <row r="24" spans="4:27" ht="15" thickBot="1" x14ac:dyDescent="0.35"/>
    <row r="25" spans="4:27" ht="15.6" thickTop="1" thickBot="1" x14ac:dyDescent="0.35">
      <c r="F25" s="63">
        <v>0</v>
      </c>
    </row>
    <row r="26" spans="4:27" ht="15" thickTop="1" x14ac:dyDescent="0.3"/>
    <row r="27" spans="4:27" ht="15" thickBot="1" x14ac:dyDescent="0.35"/>
    <row r="28" spans="4:27" ht="15.6" thickTop="1" thickBot="1" x14ac:dyDescent="0.35">
      <c r="D28" s="35">
        <f>IF(F30="RESET",0,L4)</f>
        <v>40</v>
      </c>
    </row>
    <row r="29" spans="4:27" ht="15.6" thickTop="1" thickBot="1" x14ac:dyDescent="0.35"/>
    <row r="30" spans="4:27" ht="15.6" thickTop="1" thickBot="1" x14ac:dyDescent="0.35">
      <c r="F30" s="35" t="str">
        <f>Tree!$S$31</f>
        <v>DRUN</v>
      </c>
    </row>
    <row r="31" spans="4:27" ht="15.6" thickTop="1" thickBot="1" x14ac:dyDescent="0.35">
      <c r="D31" s="35">
        <f>IF(E38="RESET",0,F36)</f>
        <v>40</v>
      </c>
    </row>
    <row r="32" spans="4:27" ht="15" thickTop="1" x14ac:dyDescent="0.3"/>
    <row r="34" spans="5:8" ht="15" thickBot="1" x14ac:dyDescent="0.35"/>
    <row r="35" spans="5:8" ht="15.6" thickTop="1" thickBot="1" x14ac:dyDescent="0.35">
      <c r="H35" s="63">
        <v>3</v>
      </c>
    </row>
    <row r="36" spans="5:8" ht="15.6" thickTop="1" thickBot="1" x14ac:dyDescent="0.35">
      <c r="F36" s="35">
        <f>IF(H35=0,T4,IF(H35=1,V4,IF(H35=2,R4,IF(H35=3,P4,0))))</f>
        <v>40</v>
      </c>
    </row>
    <row r="37" spans="5:8" ht="15.6" thickTop="1" thickBot="1" x14ac:dyDescent="0.35"/>
    <row r="38" spans="5:8" ht="15.6" thickTop="1" thickBot="1" x14ac:dyDescent="0.35">
      <c r="E38" s="35" t="str">
        <f>Tree!$S$31</f>
        <v>DRUN</v>
      </c>
    </row>
    <row r="39" spans="5:8" ht="15" thickTop="1" x14ac:dyDescent="0.3"/>
    <row r="64" ht="15" thickBot="1" x14ac:dyDescent="0.35"/>
    <row r="65" spans="26:43" ht="15.6" thickTop="1" thickBot="1" x14ac:dyDescent="0.35">
      <c r="Z65" s="35">
        <f>Tree!J38</f>
        <v>40</v>
      </c>
      <c r="AB65" s="35">
        <f>Tree!$G$7</f>
        <v>16</v>
      </c>
      <c r="AD65" s="35">
        <f>Tree!$L$59</f>
        <v>3.2000000000000001E-2</v>
      </c>
      <c r="AF65" s="35">
        <f>'Run mode-only Module Domains'!AJ61</f>
        <v>40</v>
      </c>
      <c r="AH65" s="35">
        <f>IF(OR(Tree!S31="DRUN",Tree!S31="STOP",Tree!S31="STANDBY",Tree!S31="RUN0",Tree!S31="RUN1",Tree!S31="RUN2",Tree!S31="RUN3",Tree!S31="RESET",Tree!S31="SAFE"),'Clock Source Control'!AB5,IF(OR(Tree!S31="LPU_RUN",Tree!S31="LPU_SLEEP"),'Clock Source Control'!AB12,IF(Tree!S31="LPU_STOP",'Clock Source Control'!AB20,IF(Tree!S31="LPU_STANDBY",'Clock Source Control'!AB30,0))))</f>
        <v>40</v>
      </c>
      <c r="AM65" s="35">
        <f>'LP-Enabled Module Domain Set 1'!E6</f>
        <v>80</v>
      </c>
      <c r="AO65" s="35">
        <f>'LP-Enabled Module Domain Set 1'!E10</f>
        <v>40</v>
      </c>
      <c r="AQ65" s="35">
        <f>Tree!$K$17</f>
        <v>160</v>
      </c>
    </row>
    <row r="66" spans="26:43" ht="15" thickTop="1" x14ac:dyDescent="0.3"/>
    <row r="81" spans="37:50" ht="15" thickBot="1" x14ac:dyDescent="0.35"/>
    <row r="82" spans="37:50" ht="15.6" thickTop="1" thickBot="1" x14ac:dyDescent="0.35">
      <c r="AN82" s="35">
        <f>IF(AK91=0,Z65,IF(AK91=1,AB65,IF(AK91=2,T4,IF(AK91=3,N4,IF(AK91=4,AF65,IF(AK91=7,AH65,IF(AK91=8,P4,IF(AK91=9,R4,IF(AK91=10,AD65,IF(AK91=11,V4,IF(AK91=12,AM65,IF(AK91=13,AO65,IF(AK91=14,AQ65,0)))))))))))))</f>
        <v>160</v>
      </c>
      <c r="AS82" s="35">
        <f>IF(AP85=0,0,AN82)</f>
        <v>160</v>
      </c>
    </row>
    <row r="83" spans="37:50" ht="15.6" thickTop="1" thickBot="1" x14ac:dyDescent="0.35">
      <c r="AU83" s="63">
        <v>0</v>
      </c>
      <c r="AX83" s="35">
        <f>AS82/(AU83+1)</f>
        <v>160</v>
      </c>
    </row>
    <row r="84" spans="37:50" ht="15.6" thickTop="1" thickBot="1" x14ac:dyDescent="0.35"/>
    <row r="85" spans="37:50" ht="15.6" thickTop="1" thickBot="1" x14ac:dyDescent="0.35">
      <c r="AP85" s="63">
        <v>1</v>
      </c>
    </row>
    <row r="86" spans="37:50" ht="15" thickTop="1" x14ac:dyDescent="0.3"/>
    <row r="90" spans="37:50" ht="15" thickBot="1" x14ac:dyDescent="0.35"/>
    <row r="91" spans="37:50" ht="15.6" thickTop="1" thickBot="1" x14ac:dyDescent="0.35">
      <c r="AK91" s="63">
        <v>14</v>
      </c>
    </row>
    <row r="92" spans="37:50" ht="15" thickTop="1" x14ac:dyDescent="0.3"/>
    <row r="109" spans="10:24" ht="15" thickBot="1" x14ac:dyDescent="0.35"/>
    <row r="110" spans="10:24" ht="15.6" thickTop="1" thickBot="1" x14ac:dyDescent="0.35">
      <c r="J110" s="35">
        <f>J4</f>
        <v>80</v>
      </c>
      <c r="L110" s="35">
        <f>L4</f>
        <v>40</v>
      </c>
      <c r="N110" s="35">
        <f>N4</f>
        <v>0.128</v>
      </c>
      <c r="P110" s="35">
        <f>P4</f>
        <v>40</v>
      </c>
      <c r="R110" s="35">
        <f>R4</f>
        <v>16</v>
      </c>
      <c r="T110" s="35">
        <f>T4</f>
        <v>3.2000000000000001E-2</v>
      </c>
      <c r="V110" s="35">
        <f>V4</f>
        <v>0.128</v>
      </c>
      <c r="X110" s="35">
        <f>X4</f>
        <v>160</v>
      </c>
    </row>
    <row r="111" spans="10:24" ht="15" thickTop="1" x14ac:dyDescent="0.3"/>
  </sheetData>
  <dataValidations count="6">
    <dataValidation type="list" allowBlank="1" showInputMessage="1" showErrorMessage="1" sqref="F12 F25 AP85" xr:uid="{00000000-0002-0000-0300-000000000000}">
      <formula1>"0,1"</formula1>
    </dataValidation>
    <dataValidation type="list" allowBlank="1" showInputMessage="1" showErrorMessage="1" sqref="H35" xr:uid="{00000000-0002-0000-0300-000001000000}">
      <formula1>"0,1,2,3"</formula1>
    </dataValidation>
    <dataValidation allowBlank="1" showInputMessage="1" showErrorMessage="1" promptTitle="What is this?" prompt="FXOSC_ANA_CLK is the output of the analog fast oscillator.  The FXOSC_ANA_CLK is CMOS clock only." sqref="AH65" xr:uid="{00000000-0002-0000-0300-000002000000}"/>
    <dataValidation type="list" allowBlank="1" showInputMessage="1" showErrorMessage="1" sqref="AK91" xr:uid="{00000000-0002-0000-0300-000003000000}">
      <formula1>"0,1,2,3,4,7,8,9,10,11,12,13,14"</formula1>
    </dataValidation>
    <dataValidation type="whole" allowBlank="1" showInputMessage="1" showErrorMessage="1" errorTitle="CLKOUT1 Divider" error="CLKOUT1 divide value can be any integer between 0 and 2047." promptTitle="CLKOUT1 Divider" prompt="MC_CGM_CLKOUT1_DC[DIV]. Note that this is the bitfield value so the actual divider would be DIV+1." sqref="AU83" xr:uid="{00000000-0002-0000-0300-000004000000}">
      <formula1>0</formula1>
      <formula2>2047</formula2>
    </dataValidation>
    <dataValidation allowBlank="1" showErrorMessage="1" promptTitle="What is this?" prompt="Z4a is clock gated in STOP mode but all peripherals are operational." sqref="I9 F30 E38 Y22" xr:uid="{00000000-0002-0000-0300-000005000000}"/>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E2:AO93"/>
  <sheetViews>
    <sheetView zoomScaleNormal="100" workbookViewId="0">
      <selection activeCell="E6" sqref="E6"/>
    </sheetView>
  </sheetViews>
  <sheetFormatPr defaultRowHeight="14.4" x14ac:dyDescent="0.3"/>
  <sheetData>
    <row r="2" spans="5:40" ht="15" thickBot="1" x14ac:dyDescent="0.35"/>
    <row r="3" spans="5:40" ht="15.6" thickTop="1" thickBot="1" x14ac:dyDescent="0.35">
      <c r="L3" s="7"/>
      <c r="M3" t="s">
        <v>13</v>
      </c>
      <c r="Q3" s="35">
        <f>IF(OR(Tree!S31="STANDBY",Tree!$S$31="LPU_STANDBY",Tree!S31="LPU_STOP"),0,Tree!$F$33)</f>
        <v>40</v>
      </c>
      <c r="S3" s="35">
        <f>IF(OR(Tree!S31="STANDBY",Tree!$S$31="LPU_STANDBY",Tree!S31="LPU_STOP"),0,Tree!$V$18)</f>
        <v>80</v>
      </c>
      <c r="U3" s="35">
        <f>IF(OR(Tree!S31="STANDBY",Tree!$S$31="LPU_STANDBY",Tree!S31="LPU_STOP"),0,Tree!$V$25)</f>
        <v>40</v>
      </c>
      <c r="W3" s="35">
        <f>IF(OR(Tree!S31="STANDBY",Tree!$S$31="LPU_STANDBY",Tree!S31="LPU_STOP"),0,Tree!V29)</f>
        <v>20</v>
      </c>
      <c r="Y3" s="35">
        <f>IF(OR(Tree!S31="STANDBY",Tree!$S$31="LPU_STANDBY",Tree!S31="LPU_STOP"),0,Tree!$V$21)</f>
        <v>40</v>
      </c>
      <c r="AA3" s="35">
        <f>IF(OR(Tree!S31="STANDBY",Tree!S31="LPU_STANDBY",Tree!S31="LPU_STOP"),0,Tree!V14)</f>
        <v>80</v>
      </c>
      <c r="AC3" s="35">
        <f>IF(OR(Tree!S31="LPU_STANDBY",Tree!S31="STANDBY",Tree!S31="LPU_STOP"),0,Tree!V10)</f>
        <v>160</v>
      </c>
    </row>
    <row r="4" spans="5:40" ht="15" thickTop="1" x14ac:dyDescent="0.3"/>
    <row r="5" spans="5:40" ht="15" thickBot="1" x14ac:dyDescent="0.35"/>
    <row r="6" spans="5:40" ht="15.6" thickTop="1" thickBot="1" x14ac:dyDescent="0.35">
      <c r="E6" s="35">
        <f>IF(G8="RESET",0,IF(OR(Tree!S31="SAFE",Tree!S31="DRUN",Tree!S31="RUN0",Tree!S31="RUN1",Tree!S31="RUN2",Tree!S31="RUN3",Tree!S31="STOP",Tree!S31="STANDBY"),IF(N10=0,S3,Q3),IF(L11=0,IF(N10=1,Q3,0),0)))</f>
        <v>80</v>
      </c>
    </row>
    <row r="7" spans="5:40" ht="15.6" thickTop="1" thickBot="1" x14ac:dyDescent="0.35"/>
    <row r="8" spans="5:40" ht="15.6" thickTop="1" thickBot="1" x14ac:dyDescent="0.35">
      <c r="G8" s="35" t="str">
        <f>Tree!$S$31</f>
        <v>DRUN</v>
      </c>
      <c r="AI8" s="35">
        <f>IF(OR(Tree!S31="SAFE",Tree!S31="DRUN",Tree!S31="RUN0",Tree!S31="RUN1",Tree!S31="RUN2",Tree!S31="RUN3",Tree!S31="STOP",Tree!S31="STANDBY"),S3,IF(AG10=0,IF(Tree!S31="LPU_STOP",0,S3),0))</f>
        <v>80</v>
      </c>
      <c r="AN8" s="35">
        <f>IF(AL9="RESET",0,AI8)</f>
        <v>80</v>
      </c>
    </row>
    <row r="9" spans="5:40" ht="15.6" thickTop="1" thickBot="1" x14ac:dyDescent="0.35">
      <c r="AL9" s="35" t="str">
        <f>Tree!$S$31</f>
        <v>DRUN</v>
      </c>
    </row>
    <row r="10" spans="5:40" ht="15.6" thickTop="1" thickBot="1" x14ac:dyDescent="0.35">
      <c r="E10" s="35">
        <f>IF(G11="RESET",0,IF(OR(Tree!S31="SAFE",Tree!S31="DRUN",Tree!S31="RUN0",Tree!S31="RUN1",Tree!S31="RUN2",Tree!S31="RUN3",Tree!S31="STOP",Tree!S31="STANDBY"),IF(N18=0,Q3,U3),IF(Tree!S31="LPU_RUN",IF(L11=0,IF(N18=0,Q3,0),0),0)))</f>
        <v>40</v>
      </c>
      <c r="N10" s="63">
        <v>0</v>
      </c>
      <c r="AG10" s="63">
        <v>0</v>
      </c>
      <c r="AI10" s="33"/>
    </row>
    <row r="11" spans="5:40" ht="15.6" thickTop="1" thickBot="1" x14ac:dyDescent="0.35">
      <c r="G11" s="35" t="str">
        <f>Tree!$S$31</f>
        <v>DRUN</v>
      </c>
      <c r="I11" s="63">
        <v>1</v>
      </c>
      <c r="L11" s="63">
        <v>0</v>
      </c>
    </row>
    <row r="12" spans="5:40" ht="15" thickTop="1" x14ac:dyDescent="0.3"/>
    <row r="15" spans="5:40" ht="15" thickBot="1" x14ac:dyDescent="0.35"/>
    <row r="16" spans="5:40" ht="15.6" thickTop="1" thickBot="1" x14ac:dyDescent="0.35">
      <c r="AI16" s="35">
        <f>IF(OR(Tree!S31="SAFE",Tree!S31="DRUN",Tree!S31="RUN0",Tree!S31="RUN1",Tree!S31="RUN2",Tree!S31="RUN3",Tree!S31="STOP",Tree!S31="STANDBY"),S3,IF(AG20=0,S3,0))</f>
        <v>80</v>
      </c>
      <c r="AN16" s="35">
        <f>IF(AL18="RESET",0,AI16)</f>
        <v>80</v>
      </c>
    </row>
    <row r="17" spans="5:40" ht="15.6" thickTop="1" thickBot="1" x14ac:dyDescent="0.35"/>
    <row r="18" spans="5:40" ht="15.6" thickTop="1" thickBot="1" x14ac:dyDescent="0.35">
      <c r="N18" s="63">
        <v>1</v>
      </c>
      <c r="AL18" s="35" t="str">
        <f>Tree!$S$31</f>
        <v>DRUN</v>
      </c>
    </row>
    <row r="19" spans="5:40" ht="15.6" thickTop="1" thickBot="1" x14ac:dyDescent="0.35"/>
    <row r="20" spans="5:40" ht="15.6" thickTop="1" thickBot="1" x14ac:dyDescent="0.35">
      <c r="AG20" s="63">
        <v>0</v>
      </c>
    </row>
    <row r="21" spans="5:40" ht="15.6" thickTop="1" thickBot="1" x14ac:dyDescent="0.35"/>
    <row r="22" spans="5:40" ht="15.6" thickTop="1" thickBot="1" x14ac:dyDescent="0.35">
      <c r="E22" s="35">
        <f>IF(G24="RESET",0,I22)</f>
        <v>20</v>
      </c>
      <c r="I22" s="35">
        <f>IF(OR(Tree!S31="SAFE",Tree!S31="DRUN",Tree!S31="RUN0",Tree!S31="RUN1",Tree!S31="RUN2",Tree!S31="RUN3",Tree!S31="STOP",Tree!S31="STANDBY"),W3,IF(O27=0,IF(Tree!S31="LPU_STOP",0,W3/2),0))</f>
        <v>20</v>
      </c>
    </row>
    <row r="23" spans="5:40" ht="15.6" thickTop="1" thickBot="1" x14ac:dyDescent="0.35"/>
    <row r="24" spans="5:40" ht="15.6" thickTop="1" thickBot="1" x14ac:dyDescent="0.35">
      <c r="G24" s="35" t="str">
        <f>Tree!$S$31</f>
        <v>DRUN</v>
      </c>
    </row>
    <row r="25" spans="5:40" ht="15.6" thickTop="1" thickBot="1" x14ac:dyDescent="0.35">
      <c r="E25" s="35">
        <f>IF(G27="RESET",0,I25)</f>
        <v>40</v>
      </c>
      <c r="I25" s="35">
        <f>IF(OR(Tree!S31="SAFE",Tree!S31="DRUN",Tree!S31="RUN0",Tree!S31="RUN1",Tree!S31="RUN2",Tree!S31="RUN3",Tree!S31="STOP",Tree!S31="STANDBY"),U3,IF(Tree!S31="LPU_STOP",0,IF(O27=0,U3,0)))</f>
        <v>40</v>
      </c>
      <c r="AI25" s="35">
        <f>IF(OR(Tree!S31="SAFE",Tree!S31="DRUN",Tree!S31="RUN0",Tree!S31="RUN1",Tree!S31="RUN2",Tree!S31="RUN3",Tree!S31="STOP",Tree!S31="STANDBY"),S3,IF(AG29=0,IF(Tree!S31="LPU_STOP",0,S3),0))</f>
        <v>80</v>
      </c>
      <c r="AN25" s="35">
        <f>IF(AL27="RESET",0,AI25)</f>
        <v>80</v>
      </c>
    </row>
    <row r="26" spans="5:40" ht="15.6" thickTop="1" thickBot="1" x14ac:dyDescent="0.35"/>
    <row r="27" spans="5:40" ht="15.6" thickTop="1" thickBot="1" x14ac:dyDescent="0.35">
      <c r="G27" s="35" t="str">
        <f>Tree!$S$31</f>
        <v>DRUN</v>
      </c>
      <c r="N27" s="33"/>
      <c r="O27" s="63">
        <v>0</v>
      </c>
      <c r="AL27" s="35" t="str">
        <f>Tree!$S$31</f>
        <v>DRUN</v>
      </c>
    </row>
    <row r="28" spans="5:40" ht="15.6" thickTop="1" thickBot="1" x14ac:dyDescent="0.35">
      <c r="AI28" s="33"/>
    </row>
    <row r="29" spans="5:40" ht="15.6" thickTop="1" thickBot="1" x14ac:dyDescent="0.35">
      <c r="AG29" s="63">
        <v>0</v>
      </c>
    </row>
    <row r="30" spans="5:40" ht="15.6" thickTop="1" thickBot="1" x14ac:dyDescent="0.35">
      <c r="F30" s="35">
        <f>IF(H32="RESET",0,I30)</f>
        <v>40</v>
      </c>
      <c r="I30" s="35">
        <f>IF(OR(Tree!S31="SAFE",Tree!S31="DRUN",Tree!S31="RUN0",Tree!S31="RUN1",Tree!S31="RUN2",Tree!S31="RUN3",Tree!S31="STOP",Tree!S31="STANDBY"),Y3,IF(M35="LPU_STOP",0,IF(K35=0,Y3,0)))</f>
        <v>40</v>
      </c>
    </row>
    <row r="31" spans="5:40" ht="15.6" thickTop="1" thickBot="1" x14ac:dyDescent="0.35"/>
    <row r="32" spans="5:40" ht="15.6" thickTop="1" thickBot="1" x14ac:dyDescent="0.35">
      <c r="H32" s="35" t="str">
        <f>Tree!$S$31</f>
        <v>DRUN</v>
      </c>
    </row>
    <row r="33" spans="6:41" ht="15.6" thickTop="1" thickBot="1" x14ac:dyDescent="0.35">
      <c r="F33" s="35">
        <f>IF(H35="RESET",0,I33)</f>
        <v>40</v>
      </c>
      <c r="I33" s="35">
        <f>IF(OR(Tree!S31="SAFE",Tree!S31="DRUN",Tree!S31="RUN0",Tree!S31="RUN1",Tree!S31="RUN2",Tree!S31="RUN3",Tree!S31="STOP",Tree!S31="STANDBY"),M34,IF(M35="LPU_STOP",0,IF(K35=0,M34,0)))</f>
        <v>40</v>
      </c>
    </row>
    <row r="34" spans="6:41" ht="15.6" thickTop="1" thickBot="1" x14ac:dyDescent="0.35">
      <c r="M34" s="35">
        <f>IF(O38=0,U3,Q3)</f>
        <v>40</v>
      </c>
    </row>
    <row r="35" spans="6:41" ht="15.6" thickTop="1" thickBot="1" x14ac:dyDescent="0.35">
      <c r="H35" s="35" t="str">
        <f>Tree!$S$31</f>
        <v>DRUN</v>
      </c>
      <c r="K35" s="63">
        <v>0</v>
      </c>
      <c r="M35" s="33"/>
      <c r="AL35" s="35">
        <f>IF(AE39=1,0,IF(OR(Tree!S31="SAFE",Tree!S31="DRUN",Tree!S31="RUN0",Tree!S31="RUN1",Tree!S31="RUN2",Tree!S31="RUN3",Tree!S31="STOP",Tree!S31="STANDBY"),IF(AH39=1,S3,S3/2),IF(AJ39=0,IF(Tree!S31="LPU_STOP",0,IF(AH39=1,S3,S3/2)),0)))</f>
        <v>80</v>
      </c>
      <c r="AO35" s="35">
        <f>IF(AM38="RESET",0,AL35)</f>
        <v>80</v>
      </c>
    </row>
    <row r="36" spans="6:41" ht="15" thickTop="1" x14ac:dyDescent="0.3"/>
    <row r="37" spans="6:41" ht="15" thickBot="1" x14ac:dyDescent="0.35"/>
    <row r="38" spans="6:41" ht="15.6" thickTop="1" thickBot="1" x14ac:dyDescent="0.35">
      <c r="O38" s="63">
        <v>0</v>
      </c>
      <c r="AM38" s="35" t="str">
        <f>Tree!$S$31</f>
        <v>DRUN</v>
      </c>
    </row>
    <row r="39" spans="6:41" ht="15.6" thickTop="1" thickBot="1" x14ac:dyDescent="0.35">
      <c r="AE39" s="63">
        <v>0</v>
      </c>
      <c r="AH39" s="63">
        <v>1</v>
      </c>
      <c r="AJ39" s="63">
        <v>0</v>
      </c>
    </row>
    <row r="40" spans="6:41" ht="15" thickTop="1" x14ac:dyDescent="0.3"/>
    <row r="53" spans="6:8" ht="15" thickBot="1" x14ac:dyDescent="0.35"/>
    <row r="54" spans="6:8" ht="15.6" thickTop="1" thickBot="1" x14ac:dyDescent="0.35">
      <c r="F54" s="35">
        <f>IF(OR(H56="STOP",H56="STANDBY",H56="LPU_SLEEP"),0,AA3)</f>
        <v>80</v>
      </c>
    </row>
    <row r="55" spans="6:8" ht="15.6" thickTop="1" thickBot="1" x14ac:dyDescent="0.35"/>
    <row r="56" spans="6:8" ht="15.6" thickTop="1" thickBot="1" x14ac:dyDescent="0.35">
      <c r="H56" s="35" t="str">
        <f>Tree!S31</f>
        <v>DRUN</v>
      </c>
    </row>
    <row r="57" spans="6:8" ht="15" thickTop="1" x14ac:dyDescent="0.3"/>
    <row r="80" ht="15" thickBot="1" x14ac:dyDescent="0.35"/>
    <row r="81" spans="8:29" ht="15.6" thickTop="1" thickBot="1" x14ac:dyDescent="0.35">
      <c r="H81" s="63"/>
    </row>
    <row r="82" spans="8:29" ht="15" thickTop="1" x14ac:dyDescent="0.3"/>
    <row r="91" spans="8:29" ht="15" thickBot="1" x14ac:dyDescent="0.35"/>
    <row r="92" spans="8:29" ht="15.6" thickTop="1" thickBot="1" x14ac:dyDescent="0.35">
      <c r="Q92" s="35">
        <f>Q3</f>
        <v>40</v>
      </c>
      <c r="S92" s="35">
        <f>S3</f>
        <v>80</v>
      </c>
      <c r="U92" s="35">
        <f>U3</f>
        <v>40</v>
      </c>
      <c r="W92" s="35">
        <f>W3</f>
        <v>20</v>
      </c>
      <c r="Y92" s="35">
        <f>Y3</f>
        <v>40</v>
      </c>
      <c r="AA92" s="35">
        <f>AA3</f>
        <v>80</v>
      </c>
      <c r="AC92" s="35">
        <f>AC3</f>
        <v>160</v>
      </c>
    </row>
    <row r="93" spans="8:29" ht="15" thickTop="1" x14ac:dyDescent="0.3"/>
  </sheetData>
  <conditionalFormatting sqref="I25 I22">
    <cfRule type="expression" dxfId="99" priority="16">
      <formula>OR($I$22&lt;$I$25/3,$I$22&gt;$I$25)</formula>
    </cfRule>
  </conditionalFormatting>
  <conditionalFormatting sqref="AL35">
    <cfRule type="expression" dxfId="98" priority="34">
      <formula>$AE$39=1</formula>
    </cfRule>
  </conditionalFormatting>
  <dataValidations count="9">
    <dataValidation type="list" allowBlank="1" showInputMessage="1" showErrorMessage="1" sqref="AH39 N10 N18 L11 O38 O27 K35 AG10 AG20 AG29 AJ39 AE39" xr:uid="{00000000-0002-0000-0400-000000000000}">
      <formula1>"0,1"</formula1>
    </dataValidation>
    <dataValidation allowBlank="1" showInputMessage="1" showErrorMessage="1" promptTitle="ADC_CLK" prompt="ADC must be at least 1 MHz." sqref="AL35" xr:uid="{00000000-0002-0000-0400-000001000000}"/>
    <dataValidation allowBlank="1" showInputMessage="1" showErrorMessage="1" promptTitle="What is this?" prompt="Z2 and all PD1 peripheral clusters aside from FlexCAN0 pretended network are clock gated in LPU_STOP.  Z2 core is clock gated in STOP mode, while all other PD1 modules are on." sqref="H56" xr:uid="{00000000-0002-0000-0400-000002000000}"/>
    <dataValidation allowBlank="1" showInputMessage="1" showErrorMessage="1" promptTitle="What is this?" prompt="Z2 and all PD1 peripheral clusters aside from FlexCAN0 pretended network are clock gated in LPU_STOP." sqref="AI28" xr:uid="{00000000-0002-0000-0400-000003000000}"/>
    <dataValidation type="list" allowBlank="1" showInputMessage="1" showErrorMessage="1" promptTitle="What is continuous operation?" prompt="This option, when enabled, maintains CAN transactions from RUN to LPU_RUN mode. FXOSC must be selected if continuous operation is used." sqref="I11" xr:uid="{00000000-0002-0000-0400-000004000000}">
      <formula1>"0,1"</formula1>
    </dataValidation>
    <dataValidation allowBlank="1" showErrorMessage="1" sqref="AF9:AF24 AG21:AG24 AG9 AG11:AG19 AH9:AH24 AJ9:AJ24 AI9:AI15 AI17:AI24" xr:uid="{00000000-0002-0000-0400-000005000000}"/>
    <dataValidation allowBlank="1" showErrorMessage="1" promptTitle="What is this?" prompt="Z2 and all PD1 peripheral clusters aside from FlexCAN0 pretended network are clock gated in LPU_STOP." sqref="N27 M35" xr:uid="{00000000-0002-0000-0400-000006000000}"/>
    <dataValidation type="decimal" operator="lessThanOrEqual" allowBlank="1" showInputMessage="1" showErrorMessage="1" errorTitle="Invalid TCK Frequency" error="Must be less than half of S80 and less than 16 MHz." promptTitle="What is this?" prompt="External pins to JTAG._x000a_1) Up to 16 MHz_x000a_2) TCLK &lt;= NPC (aka S80)/2" sqref="H81" xr:uid="{00000000-0002-0000-0400-000007000000}">
      <formula1>IF(AA92&lt;32,AA92/2,16)</formula1>
    </dataValidation>
    <dataValidation allowBlank="1" showErrorMessage="1" promptTitle="What is this?" prompt="Z4a is clock gated in STOP mode but all peripherals are operational." sqref="G8 G11 G24 G27 H32 H35 AL9 AL18 AL27 AM38" xr:uid="{00000000-0002-0000-0400-000008000000}"/>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02FC499F-9FF7-447C-BD74-EE251051C7A4}">
            <xm:f>OR(Tree!S31="LPU_STANDBY",Tree!S31="LPU_STOP",Tree!S31="RESET",Tree!S31="STOP",Tree!S31="STANDBY")</xm:f>
            <x14:dxf>
              <fill>
                <patternFill patternType="none">
                  <bgColor auto="1"/>
                </patternFill>
              </fill>
            </x14:dxf>
          </x14:cfRule>
          <x14:cfRule type="expression" priority="37" id="{5B812B5C-EBDE-4564-8857-D78C68B35079}">
            <xm:f>$AL$35&lt;Limits!$B$34</xm:f>
            <x14:dxf>
              <fill>
                <patternFill>
                  <bgColor rgb="FFFF0000"/>
                </patternFill>
              </fill>
            </x14:dxf>
          </x14:cfRule>
          <xm:sqref>AL35</xm:sqref>
        </x14:conditionalFormatting>
        <x14:conditionalFormatting xmlns:xm="http://schemas.microsoft.com/office/excel/2006/main">
          <x14:cfRule type="expression" priority="12" id="{B70D8443-6938-4A00-8486-14A1867BF800}">
            <xm:f>$S$3&gt;Limits!$B$21</xm:f>
            <x14:dxf>
              <fill>
                <patternFill>
                  <bgColor rgb="FFFF0000"/>
                </patternFill>
              </fill>
            </x14:dxf>
          </x14:cfRule>
          <xm:sqref>S3</xm:sqref>
        </x14:conditionalFormatting>
        <x14:conditionalFormatting xmlns:xm="http://schemas.microsoft.com/office/excel/2006/main">
          <x14:cfRule type="expression" priority="11" id="{A1C12234-C2B4-4A14-8121-A2890890228A}">
            <xm:f>$U$3&gt;Limits!$B$23</xm:f>
            <x14:dxf>
              <fill>
                <patternFill>
                  <bgColor rgb="FFFF0000"/>
                </patternFill>
              </fill>
            </x14:dxf>
          </x14:cfRule>
          <xm:sqref>U3</xm:sqref>
        </x14:conditionalFormatting>
        <x14:conditionalFormatting xmlns:xm="http://schemas.microsoft.com/office/excel/2006/main">
          <x14:cfRule type="expression" priority="10" id="{FA3F47D2-A415-4A75-98BF-7EE86EDA8527}">
            <xm:f>$W$3&gt;Limits!$B$25</xm:f>
            <x14:dxf>
              <fill>
                <patternFill>
                  <bgColor rgb="FFFF0000"/>
                </patternFill>
              </fill>
            </x14:dxf>
          </x14:cfRule>
          <xm:sqref>W3</xm:sqref>
        </x14:conditionalFormatting>
        <x14:conditionalFormatting xmlns:xm="http://schemas.microsoft.com/office/excel/2006/main">
          <x14:cfRule type="expression" priority="9" id="{5A6D07E2-D8D3-4DC9-9A4B-4E7EE09E7899}">
            <xm:f>$Y$3&gt;Limits!$B$22</xm:f>
            <x14:dxf>
              <fill>
                <patternFill>
                  <bgColor rgb="FFFF0000"/>
                </patternFill>
              </fill>
            </x14:dxf>
          </x14:cfRule>
          <xm:sqref>Y3</xm:sqref>
        </x14:conditionalFormatting>
        <x14:conditionalFormatting xmlns:xm="http://schemas.microsoft.com/office/excel/2006/main">
          <x14:cfRule type="expression" priority="8" id="{94A269B2-5DCA-4DA8-89BA-E5857A27EBC5}">
            <xm:f>$AA$3&gt;Limits!$B$20</xm:f>
            <x14:dxf>
              <fill>
                <patternFill>
                  <bgColor rgb="FFFF0000"/>
                </patternFill>
              </fill>
            </x14:dxf>
          </x14:cfRule>
          <xm:sqref>AA3</xm:sqref>
        </x14:conditionalFormatting>
        <x14:conditionalFormatting xmlns:xm="http://schemas.microsoft.com/office/excel/2006/main">
          <x14:cfRule type="expression" priority="7" id="{D9272DB0-E74B-454C-9015-543BB89909CC}">
            <xm:f>$AC$3&gt;Limits!$B$19</xm:f>
            <x14:dxf>
              <fill>
                <patternFill>
                  <bgColor rgb="FFFF0000"/>
                </patternFill>
              </fill>
            </x14:dxf>
          </x14:cfRule>
          <xm:sqref>AC3</xm:sqref>
        </x14:conditionalFormatting>
        <x14:conditionalFormatting xmlns:xm="http://schemas.microsoft.com/office/excel/2006/main">
          <x14:cfRule type="expression" priority="6" id="{159897D6-186C-4238-948B-DA66A414E24C}">
            <xm:f>$S$92&gt;Limits!$B$21</xm:f>
            <x14:dxf>
              <fill>
                <patternFill>
                  <bgColor rgb="FFFF0000"/>
                </patternFill>
              </fill>
            </x14:dxf>
          </x14:cfRule>
          <xm:sqref>S92</xm:sqref>
        </x14:conditionalFormatting>
        <x14:conditionalFormatting xmlns:xm="http://schemas.microsoft.com/office/excel/2006/main">
          <x14:cfRule type="expression" priority="5" id="{ED71D3D6-E998-484C-A134-208990C75508}">
            <xm:f>$U$92&gt;Limits!$B$23</xm:f>
            <x14:dxf>
              <fill>
                <patternFill>
                  <bgColor rgb="FFFF0000"/>
                </patternFill>
              </fill>
            </x14:dxf>
          </x14:cfRule>
          <xm:sqref>U92</xm:sqref>
        </x14:conditionalFormatting>
        <x14:conditionalFormatting xmlns:xm="http://schemas.microsoft.com/office/excel/2006/main">
          <x14:cfRule type="expression" priority="4" id="{ECCFFADF-B992-42D7-A6B6-51C58A15C83E}">
            <xm:f>$W$92&gt;Limits!$B$25</xm:f>
            <x14:dxf>
              <fill>
                <patternFill>
                  <bgColor rgb="FFFF0000"/>
                </patternFill>
              </fill>
            </x14:dxf>
          </x14:cfRule>
          <xm:sqref>W92</xm:sqref>
        </x14:conditionalFormatting>
        <x14:conditionalFormatting xmlns:xm="http://schemas.microsoft.com/office/excel/2006/main">
          <x14:cfRule type="expression" priority="3" id="{69D83CD4-A4C5-4646-AAFC-9AB9187E5CAF}">
            <xm:f>$Y$92&gt;Limits!$B$22</xm:f>
            <x14:dxf>
              <fill>
                <patternFill>
                  <bgColor rgb="FFFF0000"/>
                </patternFill>
              </fill>
            </x14:dxf>
          </x14:cfRule>
          <xm:sqref>Y92</xm:sqref>
        </x14:conditionalFormatting>
        <x14:conditionalFormatting xmlns:xm="http://schemas.microsoft.com/office/excel/2006/main">
          <x14:cfRule type="expression" priority="2" id="{F1A20A07-33B7-4054-B95E-EC2945FA3BE2}">
            <xm:f>$AA$92&gt;Limits!$B$20</xm:f>
            <x14:dxf>
              <fill>
                <patternFill>
                  <bgColor rgb="FFFF0000"/>
                </patternFill>
              </fill>
            </x14:dxf>
          </x14:cfRule>
          <xm:sqref>AA92</xm:sqref>
        </x14:conditionalFormatting>
        <x14:conditionalFormatting xmlns:xm="http://schemas.microsoft.com/office/excel/2006/main">
          <x14:cfRule type="expression" priority="1" id="{D78A7E19-3CD1-4376-8631-89DD8DA3A0A8}">
            <xm:f>$AC$92&gt;Limits!$B$19</xm:f>
            <x14:dxf>
              <fill>
                <patternFill>
                  <bgColor rgb="FFFF0000"/>
                </patternFill>
              </fill>
            </x14:dxf>
          </x14:cfRule>
          <xm:sqref>AC92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3:Q74"/>
  <sheetViews>
    <sheetView topLeftCell="A7" zoomScale="85" zoomScaleNormal="85" workbookViewId="0">
      <selection activeCell="K16" sqref="K16"/>
    </sheetView>
  </sheetViews>
  <sheetFormatPr defaultRowHeight="14.4" x14ac:dyDescent="0.3"/>
  <sheetData>
    <row r="3" spans="2:17" x14ac:dyDescent="0.3">
      <c r="P3" s="7"/>
      <c r="Q3" t="s">
        <v>13</v>
      </c>
    </row>
    <row r="6" spans="2:17" ht="15" thickBot="1" x14ac:dyDescent="0.35"/>
    <row r="7" spans="2:17" ht="15.6" thickTop="1" thickBot="1" x14ac:dyDescent="0.35">
      <c r="B7" s="35">
        <f>'Run mode-only Module Domains'!F58</f>
        <v>40</v>
      </c>
      <c r="C7" s="35">
        <f>'Run mode-only Module Domains'!F59</f>
        <v>80</v>
      </c>
      <c r="E7" s="35">
        <f>'Run mode-only Module Domains'!$C$55</f>
        <v>50</v>
      </c>
    </row>
    <row r="8" spans="2:17" ht="15" thickTop="1" x14ac:dyDescent="0.3"/>
    <row r="15" spans="2:17" ht="15" thickBot="1" x14ac:dyDescent="0.35"/>
    <row r="16" spans="2:17" ht="15.6" thickTop="1" thickBot="1" x14ac:dyDescent="0.35">
      <c r="E16" s="33"/>
      <c r="K16" s="35">
        <f>IF(H18=0,B7,E7)</f>
        <v>50</v>
      </c>
    </row>
    <row r="17" spans="8:9" ht="15.6" thickTop="1" thickBot="1" x14ac:dyDescent="0.35"/>
    <row r="18" spans="8:9" ht="15.6" thickTop="1" thickBot="1" x14ac:dyDescent="0.35">
      <c r="H18" s="63">
        <v>1</v>
      </c>
    </row>
    <row r="19" spans="8:9" ht="15" thickTop="1" x14ac:dyDescent="0.3"/>
    <row r="30" spans="8:9" ht="15" thickBot="1" x14ac:dyDescent="0.35"/>
    <row r="31" spans="8:9" ht="15.6" thickTop="1" thickBot="1" x14ac:dyDescent="0.35">
      <c r="I31" s="35">
        <f>'Run mode-only Module Domains'!$C$65</f>
        <v>25</v>
      </c>
    </row>
    <row r="32" spans="8:9" ht="15.6" thickTop="1" thickBot="1" x14ac:dyDescent="0.35"/>
    <row r="33" spans="2:9" ht="15.6" thickTop="1" thickBot="1" x14ac:dyDescent="0.35">
      <c r="I33" s="35">
        <f>'Run mode-only Module Domains'!F60</f>
        <v>160</v>
      </c>
    </row>
    <row r="34" spans="2:9" ht="15" thickTop="1" x14ac:dyDescent="0.3"/>
    <row r="35" spans="2:9" ht="15" thickBot="1" x14ac:dyDescent="0.35"/>
    <row r="36" spans="2:9" ht="15.6" thickTop="1" thickBot="1" x14ac:dyDescent="0.35">
      <c r="I36" s="35">
        <f>'Run mode-only Module Domains'!$F$65</f>
        <v>25</v>
      </c>
    </row>
    <row r="37" spans="2:9" ht="15.6" thickTop="1" thickBot="1" x14ac:dyDescent="0.35">
      <c r="I37" s="35">
        <f>'Run mode-only Module Domains'!$G$62</f>
        <v>25</v>
      </c>
    </row>
    <row r="38" spans="2:9" ht="15" thickTop="1" x14ac:dyDescent="0.3"/>
    <row r="40" spans="2:9" ht="15" thickBot="1" x14ac:dyDescent="0.35"/>
    <row r="41" spans="2:9" ht="15.6" thickTop="1" thickBot="1" x14ac:dyDescent="0.35">
      <c r="B41" s="35">
        <f>B7</f>
        <v>40</v>
      </c>
      <c r="C41" s="35">
        <f>C7</f>
        <v>80</v>
      </c>
      <c r="E41" s="35">
        <f>E7</f>
        <v>50</v>
      </c>
    </row>
    <row r="42" spans="2:9" ht="15" thickTop="1" x14ac:dyDescent="0.3"/>
    <row r="74" spans="2:5" x14ac:dyDescent="0.3">
      <c r="B74" s="33"/>
      <c r="C74" s="33"/>
      <c r="D74" s="34"/>
      <c r="E74" s="33"/>
    </row>
  </sheetData>
  <dataValidations count="5">
    <dataValidation type="list" allowBlank="1" showInputMessage="1" showErrorMessage="1" sqref="H18" xr:uid="{00000000-0002-0000-0500-000000000000}">
      <formula1>"0,1"</formula1>
    </dataValidation>
    <dataValidation allowBlank="1" showInputMessage="1" showErrorMessage="1" promptTitle="ENET Timer Limits" prompt="ENETx_TIMER is the time stamp.  Its clock period should be of integer value.  Must be less than or equal to 50 MHz." sqref="K16" xr:uid="{00000000-0002-0000-0500-000001000000}"/>
    <dataValidation allowBlank="1" showInputMessage="1" showErrorMessage="1" promptTitle="ENET HCLK" prompt="F80 drives the ENET HCLK. When ENET in use, HCLK must be AT LEAST 50 MHz. This clock domain is filtered through MCU power mode." sqref="C7" xr:uid="{00000000-0002-0000-0500-000002000000}"/>
    <dataValidation allowBlank="1" showInputMessage="1" showErrorMessage="1" promptTitle="ENET HCLK" prompt="F80 drives the ENET HCLK. When ENET in use, HCLK must be AT LEAST 50 MHz." sqref="C41" xr:uid="{00000000-0002-0000-0500-000003000000}"/>
    <dataValidation allowBlank="1" showInputMessage="1" showErrorMessage="1" promptTitle="Note" prompt="This clock domain is filtered through MCU power mode." sqref="I33 B7" xr:uid="{00000000-0002-0000-0500-000004000000}"/>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4" id="{1DA1FB23-BB70-48EC-B823-6A16AAC9295A}">
            <xm:f>$B$7&gt;Limits!$B$23</xm:f>
            <x14:dxf>
              <fill>
                <patternFill>
                  <bgColor rgb="FFFF0000"/>
                </patternFill>
              </fill>
            </x14:dxf>
          </x14:cfRule>
          <xm:sqref>B7</xm:sqref>
        </x14:conditionalFormatting>
        <x14:conditionalFormatting xmlns:xm="http://schemas.microsoft.com/office/excel/2006/main">
          <x14:cfRule type="expression" priority="4" id="{08464C8D-B55C-4784-BF9A-4EEF4454F23D}">
            <xm:f>$C$7 &lt; Limits!$B$33</xm:f>
            <x14:dxf>
              <fill>
                <patternFill>
                  <bgColor rgb="FFFF0000"/>
                </patternFill>
              </fill>
            </x14:dxf>
          </x14:cfRule>
          <x14:cfRule type="expression" priority="13" id="{1A1A5BD8-A9E3-4C81-9496-7CB0B25ED832}">
            <xm:f>$C$7&gt;Limits!$B$24</xm:f>
            <x14:dxf>
              <fill>
                <patternFill>
                  <bgColor rgb="FFFF0000"/>
                </patternFill>
              </fill>
            </x14:dxf>
          </x14:cfRule>
          <xm:sqref>C7</xm:sqref>
        </x14:conditionalFormatting>
        <x14:conditionalFormatting xmlns:xm="http://schemas.microsoft.com/office/excel/2006/main">
          <x14:cfRule type="expression" priority="10" id="{28C7A377-8CAD-47FC-9300-9BD34E1C9506}">
            <xm:f>$B$41&gt;Limits!$B$23</xm:f>
            <x14:dxf>
              <fill>
                <patternFill>
                  <bgColor rgb="FFFF0000"/>
                </patternFill>
              </fill>
            </x14:dxf>
          </x14:cfRule>
          <xm:sqref>B41</xm:sqref>
        </x14:conditionalFormatting>
        <x14:conditionalFormatting xmlns:xm="http://schemas.microsoft.com/office/excel/2006/main">
          <x14:cfRule type="expression" priority="3" id="{0FE2070F-1E5B-4F48-B2C9-756F5CA76A8F}">
            <xm:f>$C$41&lt;Limits!$B$33</xm:f>
            <x14:dxf>
              <fill>
                <patternFill>
                  <bgColor rgb="FFFF0000"/>
                </patternFill>
              </fill>
            </x14:dxf>
          </x14:cfRule>
          <x14:cfRule type="expression" priority="9" id="{6F647496-E13B-4CB3-B1B3-0266D7545C53}">
            <xm:f>$C$41 &gt; Limits!$B$24</xm:f>
            <x14:dxf>
              <fill>
                <patternFill>
                  <bgColor rgb="FFFF0000"/>
                </patternFill>
              </fill>
            </x14:dxf>
          </x14:cfRule>
          <xm:sqref>C41</xm:sqref>
        </x14:conditionalFormatting>
        <x14:conditionalFormatting xmlns:xm="http://schemas.microsoft.com/office/excel/2006/main">
          <x14:cfRule type="expression" priority="8" id="{CB5DC8DA-DF06-40E9-BA99-3219977F5598}">
            <xm:f>$I$33&gt;Limits!$B$18</xm:f>
            <x14:dxf>
              <fill>
                <patternFill>
                  <bgColor rgb="FFFF0000"/>
                </patternFill>
              </fill>
            </x14:dxf>
          </x14:cfRule>
          <xm:sqref>I33</xm:sqref>
        </x14:conditionalFormatting>
        <x14:conditionalFormatting xmlns:xm="http://schemas.microsoft.com/office/excel/2006/main">
          <x14:cfRule type="expression" priority="7" id="{22472A58-DEDF-4538-A73D-056BD54B49C6}">
            <xm:f>$K$16&gt;Limits!$B$29</xm:f>
            <x14:dxf>
              <fill>
                <patternFill>
                  <bgColor rgb="FFFF0000"/>
                </patternFill>
              </fill>
            </x14:dxf>
          </x14:cfRule>
          <xm:sqref>K16</xm:sqref>
        </x14:conditionalFormatting>
        <x14:conditionalFormatting xmlns:xm="http://schemas.microsoft.com/office/excel/2006/main">
          <x14:cfRule type="expression" priority="2" id="{3195830D-1F16-4506-91D5-3884EE319B9B}">
            <xm:f>NOT(OR(Tree!$S$31="DRUN",Tree!S31="RUN0",Tree!S31="RUN1",Tree!S31="RUN2",Tree!S31="RUN3",Tree!S31="SAFE",Tree!S31="STOP",Tree!S31="STANDBY"))</xm:f>
            <x14:dxf>
              <fill>
                <patternFill patternType="none">
                  <bgColor auto="1"/>
                </patternFill>
              </fill>
            </x14:dxf>
          </x14:cfRule>
          <xm:sqref>C7 C41</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5:BW73"/>
  <sheetViews>
    <sheetView topLeftCell="W1" zoomScaleNormal="100" workbookViewId="0">
      <selection activeCell="AT22" sqref="AT22"/>
    </sheetView>
  </sheetViews>
  <sheetFormatPr defaultRowHeight="14.4" x14ac:dyDescent="0.3"/>
  <sheetData>
    <row r="5" spans="2:27" x14ac:dyDescent="0.3">
      <c r="D5" s="33"/>
      <c r="F5" s="33"/>
      <c r="H5" s="33"/>
      <c r="J5" s="33"/>
    </row>
    <row r="8" spans="2:27" x14ac:dyDescent="0.3">
      <c r="S8" s="7"/>
      <c r="T8" t="s">
        <v>13</v>
      </c>
    </row>
    <row r="11" spans="2:27" x14ac:dyDescent="0.3">
      <c r="O11" s="33"/>
      <c r="S11" s="33"/>
      <c r="W11" s="33"/>
      <c r="AA11" s="33"/>
    </row>
    <row r="12" spans="2:27" ht="15" thickBot="1" x14ac:dyDescent="0.35"/>
    <row r="13" spans="2:27" ht="15.6" thickTop="1" thickBot="1" x14ac:dyDescent="0.35">
      <c r="B13" s="35">
        <f>'Run mode-only Module Domains'!H69</f>
        <v>40</v>
      </c>
      <c r="D13" s="35">
        <f>'Run mode-only Module Domains'!$K$7</f>
        <v>40</v>
      </c>
      <c r="F13" s="40">
        <f>'Run mode-only Module Domains'!$J$75</f>
        <v>160</v>
      </c>
      <c r="H13" s="40">
        <f>'Run mode-only Module Domains'!$G$77</f>
        <v>101</v>
      </c>
      <c r="J13" s="35">
        <f>'Run mode-only Module Domains'!$G$79</f>
        <v>160</v>
      </c>
      <c r="L13" s="35">
        <f>'Run mode-only Module Domains'!$G$89</f>
        <v>160</v>
      </c>
      <c r="M13" s="33"/>
      <c r="N13" s="35">
        <f>'Run mode-only Module Domains'!$G$100</f>
        <v>160</v>
      </c>
      <c r="Q13" s="33"/>
      <c r="U13" s="33"/>
      <c r="Y13" s="33"/>
    </row>
    <row r="14" spans="2:27" ht="15" thickTop="1" x14ac:dyDescent="0.3">
      <c r="P14" s="15"/>
    </row>
    <row r="16" spans="2:27" ht="15" thickBot="1" x14ac:dyDescent="0.35"/>
    <row r="17" spans="19:75" ht="15.6" thickTop="1" thickBot="1" x14ac:dyDescent="0.35">
      <c r="AK17" s="56">
        <f>IF(AI21=0,AG19,IF(AI21=1,AG19,IF(AI21=2,L13,IF(AI21=3,N13,0))))</f>
        <v>160</v>
      </c>
    </row>
    <row r="18" spans="19:75" ht="15.6" thickTop="1" thickBot="1" x14ac:dyDescent="0.35">
      <c r="AP18" s="36">
        <f>IF(AM19="RESET",0,AK17)</f>
        <v>160</v>
      </c>
    </row>
    <row r="19" spans="19:75" ht="15.6" thickTop="1" thickBot="1" x14ac:dyDescent="0.35">
      <c r="U19" s="39">
        <f>IF(S21=0,F13,IF(S21=1,H13,IF(S21=2,D13,IF(S21=3,J13,0))))</f>
        <v>160</v>
      </c>
      <c r="Y19" s="33"/>
      <c r="AC19" s="35">
        <f>U19*((W21+1)/(AA21+1))</f>
        <v>160</v>
      </c>
      <c r="AG19" s="35">
        <f>IF(AE21=1,AC19,J13)</f>
        <v>160</v>
      </c>
      <c r="AM19" s="35" t="str">
        <f>Tree!$S$31</f>
        <v>DRUN</v>
      </c>
    </row>
    <row r="20" spans="19:75" ht="15.6" thickTop="1" thickBot="1" x14ac:dyDescent="0.35">
      <c r="AV20" s="35">
        <f>AK17/((AT22+1)*2)</f>
        <v>40</v>
      </c>
    </row>
    <row r="21" spans="19:75" ht="15.6" thickTop="1" thickBot="1" x14ac:dyDescent="0.35">
      <c r="S21" s="63">
        <v>0</v>
      </c>
      <c r="W21" s="63">
        <v>0</v>
      </c>
      <c r="AA21" s="63">
        <v>0</v>
      </c>
      <c r="AE21" s="63">
        <v>1</v>
      </c>
      <c r="AI21" s="63">
        <v>0</v>
      </c>
      <c r="AZ21" s="35">
        <f>IF(AX25=0,AL23,AV20)</f>
        <v>40</v>
      </c>
      <c r="BD21" s="35">
        <f>IF(BB25=0,0,AZ21)</f>
        <v>40</v>
      </c>
      <c r="BQ21" s="35">
        <f>IF(AND(BO25=1,BO34=1),0,IF(AND(BO25=1,BH25=1,BH33=1),BJ22,IF(AND(BO25=1,BH25=0,BH33=0),BJ30,IF(AND(BO25=1,NOT(BH25=BH33)),0,BJ22))))</f>
        <v>40</v>
      </c>
    </row>
    <row r="22" spans="19:75" ht="15.6" thickTop="1" thickBot="1" x14ac:dyDescent="0.35">
      <c r="AT22" s="63">
        <v>1</v>
      </c>
      <c r="BJ22" s="35">
        <f>IF(OR(BO25=0,BO25=1),IF(BH25=0,BD21,BD29),IF(BO25=2,BW59,BW69))</f>
        <v>40</v>
      </c>
      <c r="BW22" s="36">
        <f>IF(BS23="RESET",0,BQ21)</f>
        <v>40</v>
      </c>
    </row>
    <row r="23" spans="19:75" ht="15.6" thickTop="1" thickBot="1" x14ac:dyDescent="0.35">
      <c r="AL23" s="56">
        <f>'Run mode-only Module Domains'!$D$76</f>
        <v>40</v>
      </c>
      <c r="BS23" s="35" t="str">
        <f>Tree!$S$31</f>
        <v>DRUN</v>
      </c>
    </row>
    <row r="24" spans="19:75" ht="15.6" thickTop="1" thickBot="1" x14ac:dyDescent="0.35">
      <c r="AR24" s="36">
        <f>IF(AP27="RESET",0,AN25)</f>
        <v>160</v>
      </c>
    </row>
    <row r="25" spans="19:75" ht="15.6" thickTop="1" thickBot="1" x14ac:dyDescent="0.35">
      <c r="AN25" s="56">
        <f>IF(AL29=0,B13,IF(AL29=1,AG19,IF(AL29=2,L13,IF(AL29=3,N13,0))))</f>
        <v>160</v>
      </c>
      <c r="AX25" s="63">
        <v>1</v>
      </c>
      <c r="BB25" s="63">
        <v>1</v>
      </c>
      <c r="BH25" s="63">
        <v>0</v>
      </c>
      <c r="BO25" s="63">
        <v>0</v>
      </c>
    </row>
    <row r="26" spans="19:75" ht="15.6" thickTop="1" thickBot="1" x14ac:dyDescent="0.35"/>
    <row r="27" spans="19:75" ht="15.6" thickTop="1" thickBot="1" x14ac:dyDescent="0.35">
      <c r="AP27" s="35" t="str">
        <f>Tree!$S$31</f>
        <v>DRUN</v>
      </c>
    </row>
    <row r="28" spans="19:75" ht="15.6" thickTop="1" thickBot="1" x14ac:dyDescent="0.35">
      <c r="AV28" s="35">
        <f>AN25/((AT30+1)*2)</f>
        <v>40</v>
      </c>
    </row>
    <row r="29" spans="19:75" ht="15.6" thickTop="1" thickBot="1" x14ac:dyDescent="0.35">
      <c r="AL29" s="63">
        <v>1</v>
      </c>
      <c r="AZ29" s="35">
        <f>IF(AX33=0,AO31,AV28)</f>
        <v>40</v>
      </c>
      <c r="BD29" s="35">
        <f>IF(BB33=0,0,AZ29)</f>
        <v>40</v>
      </c>
      <c r="BQ29" s="35">
        <f>IF(AND(BO34=1,BO25=1),0,IF(AND(BO34=1,BH25=1,BH33=1),BJ30,IF(AND(BO34=1,BH25=0,BH33=0),BJ22,IF(AND(BO34=1,NOT(BH25=BH33)),0,BJ30))))</f>
        <v>40</v>
      </c>
    </row>
    <row r="30" spans="19:75" ht="15.6" thickTop="1" thickBot="1" x14ac:dyDescent="0.35">
      <c r="AT30" s="63">
        <v>1</v>
      </c>
      <c r="BJ30" s="35">
        <f>IF(OR(BO34=0,BO34=1),IF(BH33=0,BD29,BD21),IF(BO34=2,BW69,BW59))</f>
        <v>40</v>
      </c>
      <c r="BW30" s="36">
        <f>IF(BS31="RESET",0,BQ29)</f>
        <v>40</v>
      </c>
    </row>
    <row r="31" spans="19:75" ht="15.6" thickTop="1" thickBot="1" x14ac:dyDescent="0.35">
      <c r="AO31" s="35">
        <f>AL23</f>
        <v>40</v>
      </c>
      <c r="BS31" s="35" t="str">
        <f>Tree!$S$31</f>
        <v>DRUN</v>
      </c>
    </row>
    <row r="32" spans="19:75" ht="15.6" thickTop="1" thickBot="1" x14ac:dyDescent="0.35"/>
    <row r="33" spans="19:75" ht="15.6" thickTop="1" thickBot="1" x14ac:dyDescent="0.35">
      <c r="AX33" s="63">
        <v>1</v>
      </c>
      <c r="BB33" s="63">
        <v>1</v>
      </c>
      <c r="BH33" s="63">
        <v>0</v>
      </c>
    </row>
    <row r="34" spans="19:75" ht="15.6" thickTop="1" thickBot="1" x14ac:dyDescent="0.35">
      <c r="BO34" s="63">
        <v>0</v>
      </c>
    </row>
    <row r="35" spans="19:75" ht="15" thickTop="1" x14ac:dyDescent="0.3"/>
    <row r="36" spans="19:75" ht="15" thickBot="1" x14ac:dyDescent="0.35"/>
    <row r="37" spans="19:75" ht="15.6" thickTop="1" thickBot="1" x14ac:dyDescent="0.35">
      <c r="AK37" s="56">
        <f>IF(AI41=0,AG39,IF(AI41=1,AG39,IF(AI41=2,J13,IF(AI41=3,N13,0))))</f>
        <v>160</v>
      </c>
    </row>
    <row r="38" spans="19:75" ht="15.6" thickTop="1" thickBot="1" x14ac:dyDescent="0.35">
      <c r="AP38" s="36">
        <f>IF(AM39="RESET",0,AK37)</f>
        <v>160</v>
      </c>
    </row>
    <row r="39" spans="19:75" ht="15.6" thickTop="1" thickBot="1" x14ac:dyDescent="0.35">
      <c r="U39" s="35">
        <f>IF(S41=0,F13,IF(S41=1,H13,IF(S41=2,D13,IF(S41=3,L13,0))))</f>
        <v>160</v>
      </c>
      <c r="AC39" s="35">
        <f>U39*((W41+1)/(AA41+1))</f>
        <v>160</v>
      </c>
      <c r="AG39" s="35">
        <f>IF(AE41=1,AC39,L13)</f>
        <v>160</v>
      </c>
      <c r="AM39" s="35" t="str">
        <f>Tree!$S$31</f>
        <v>DRUN</v>
      </c>
      <c r="AV39" s="35">
        <f>AK37/((AT41+1)*2)</f>
        <v>40</v>
      </c>
    </row>
    <row r="40" spans="19:75" ht="15.6" thickTop="1" thickBot="1" x14ac:dyDescent="0.35">
      <c r="AZ40" s="35">
        <f>IF(AX44=0,AL42,AV39)</f>
        <v>40</v>
      </c>
      <c r="BD40" s="35">
        <f>IF(BB44=0,0,AZ40)</f>
        <v>40</v>
      </c>
      <c r="BQ40" s="35">
        <f>IF(AND(BO44=1,BO53=1),0,IF(AND(BO44=1,BH44=1,BH53=1),BJ41,IF(AND(BO44=1,BH44=0,BH53=0),BJ50,IF(AND(BO44=1,NOT(BH44=BH53)),0,BJ41))))</f>
        <v>40</v>
      </c>
    </row>
    <row r="41" spans="19:75" ht="15.6" thickTop="1" thickBot="1" x14ac:dyDescent="0.35">
      <c r="S41" s="63">
        <v>0</v>
      </c>
      <c r="W41" s="63">
        <v>0</v>
      </c>
      <c r="AA41" s="63">
        <v>0</v>
      </c>
      <c r="AE41" s="63">
        <v>1</v>
      </c>
      <c r="AI41" s="63">
        <v>0</v>
      </c>
      <c r="AT41" s="63">
        <v>1</v>
      </c>
      <c r="BJ41" s="35">
        <f>IF(OR(BO44=0,BO44=1),IF(BH44=0,BD40,BD50),IF(BO44=2,BW59,BW69))</f>
        <v>40</v>
      </c>
      <c r="BW41" s="36">
        <f>IF(BS42="RESET",0,BQ40)</f>
        <v>40</v>
      </c>
    </row>
    <row r="42" spans="19:75" ht="15.6" thickTop="1" thickBot="1" x14ac:dyDescent="0.35">
      <c r="AL42" s="35">
        <f>'Run mode-only Module Domains'!$D$86</f>
        <v>40</v>
      </c>
      <c r="BS42" s="35" t="str">
        <f>Tree!$S$31</f>
        <v>DRUN</v>
      </c>
    </row>
    <row r="43" spans="19:75" ht="15.6" thickTop="1" thickBot="1" x14ac:dyDescent="0.35"/>
    <row r="44" spans="19:75" ht="15.6" thickTop="1" thickBot="1" x14ac:dyDescent="0.35">
      <c r="AR44" s="36">
        <f>IF(AP47="RESET",0,AN45)</f>
        <v>160</v>
      </c>
      <c r="AX44" s="63">
        <v>1</v>
      </c>
      <c r="BB44" s="63">
        <v>1</v>
      </c>
      <c r="BH44" s="63">
        <v>0</v>
      </c>
      <c r="BO44" s="63">
        <v>0</v>
      </c>
    </row>
    <row r="45" spans="19:75" ht="15.6" thickTop="1" thickBot="1" x14ac:dyDescent="0.35">
      <c r="AN45" s="56">
        <f>IF(AL50=0,B13,IF(AL50=1,AG39,IF(AL50=2,J13,IF(AL50=3,N13,0))))</f>
        <v>160</v>
      </c>
    </row>
    <row r="46" spans="19:75" ht="15.6" thickTop="1" thickBot="1" x14ac:dyDescent="0.35"/>
    <row r="47" spans="19:75" ht="15.6" thickTop="1" thickBot="1" x14ac:dyDescent="0.35">
      <c r="AP47" s="35" t="str">
        <f>Tree!$S$31</f>
        <v>DRUN</v>
      </c>
    </row>
    <row r="48" spans="19:75" ht="15.6" thickTop="1" thickBot="1" x14ac:dyDescent="0.35">
      <c r="AV48" s="35">
        <f>AN45/((AT50+1)*2)</f>
        <v>40</v>
      </c>
    </row>
    <row r="49" spans="19:75" ht="15.6" thickTop="1" thickBot="1" x14ac:dyDescent="0.35">
      <c r="AZ49" s="35">
        <f>IF(AX53=0,AO51,AV48)</f>
        <v>40</v>
      </c>
      <c r="BQ49" s="35">
        <f>IF(AND(BO53=1,BO44=1),0,IF(AND(BO53=1,BH53=1,BH44=1),BJ50,IF(AND(BO53=1,BH53=0,BH44=0),BJ41,IF(AND(BO53=1,NOT(BH44=BH53)),0,BJ50))))</f>
        <v>40</v>
      </c>
    </row>
    <row r="50" spans="19:75" ht="15.6" thickTop="1" thickBot="1" x14ac:dyDescent="0.35">
      <c r="AL50" s="63">
        <v>1</v>
      </c>
      <c r="AT50" s="63">
        <v>1</v>
      </c>
      <c r="BD50" s="35">
        <f>IF(BB53=0,0,AZ49)</f>
        <v>40</v>
      </c>
      <c r="BJ50" s="35">
        <f>IF(OR(BO53=0,BO53=1),IF(BH53=0,BD50,BD40),IF(BO53=2,BW69,BW59))</f>
        <v>40</v>
      </c>
      <c r="BW50" s="36">
        <f>IF(BS51="RESET",0,BQ49)</f>
        <v>40</v>
      </c>
    </row>
    <row r="51" spans="19:75" ht="15.6" thickTop="1" thickBot="1" x14ac:dyDescent="0.35">
      <c r="AO51" s="35">
        <f>AL42</f>
        <v>40</v>
      </c>
      <c r="BS51" s="35" t="str">
        <f>Tree!$S$31</f>
        <v>DRUN</v>
      </c>
    </row>
    <row r="52" spans="19:75" ht="15.6" thickTop="1" thickBot="1" x14ac:dyDescent="0.35"/>
    <row r="53" spans="19:75" ht="15.6" thickTop="1" thickBot="1" x14ac:dyDescent="0.35">
      <c r="AX53" s="63">
        <v>1</v>
      </c>
      <c r="BB53" s="63">
        <v>1</v>
      </c>
      <c r="BH53" s="63">
        <v>0</v>
      </c>
      <c r="BO53" s="63">
        <v>0</v>
      </c>
    </row>
    <row r="54" spans="19:75" ht="15.6" thickTop="1" thickBot="1" x14ac:dyDescent="0.35"/>
    <row r="55" spans="19:75" ht="15.6" thickTop="1" thickBot="1" x14ac:dyDescent="0.35">
      <c r="AK55" s="56">
        <f>IF(AI59=0,AG57,IF(AI59=1,AG57,IF(AI59=2,J13,IF(AI59=3,L13,0))))</f>
        <v>160</v>
      </c>
    </row>
    <row r="56" spans="19:75" ht="15.6" thickTop="1" thickBot="1" x14ac:dyDescent="0.35">
      <c r="AP56" s="36">
        <f>IF(AM57="RESET",0,AK55)</f>
        <v>160</v>
      </c>
    </row>
    <row r="57" spans="19:75" ht="15.6" thickTop="1" thickBot="1" x14ac:dyDescent="0.35">
      <c r="U57" s="35">
        <f>IF(S59=0,F13,IF(S59=1,H13,IF(S59=2,D13,IF(S59=3,N13,0))))</f>
        <v>160</v>
      </c>
      <c r="AC57" s="35">
        <f>U57*((W59+1)/(AA59+1))</f>
        <v>160</v>
      </c>
      <c r="AG57" s="35">
        <f>IF(AE59=1,AC57,N13)</f>
        <v>160</v>
      </c>
      <c r="AM57" s="35" t="str">
        <f>Tree!$S$31</f>
        <v>DRUN</v>
      </c>
      <c r="AV57" s="35">
        <f>AK55/((AT59+1)*2)</f>
        <v>40</v>
      </c>
    </row>
    <row r="58" spans="19:75" ht="15.6" thickTop="1" thickBot="1" x14ac:dyDescent="0.35">
      <c r="AZ58" s="35">
        <f>IF(AX62=0,AL60,AV57)</f>
        <v>40</v>
      </c>
      <c r="BD58" s="35">
        <f>IF(BB62=0,0,AZ58)</f>
        <v>40</v>
      </c>
      <c r="BJ58" s="35">
        <f>IF(BH62=0,BD58,BD69)</f>
        <v>40</v>
      </c>
      <c r="BQ58" s="35">
        <f>IF(AND(BO62=1,BO72=1),0,IF(AND(BO62=1,NOT(BH62=BH72)),0,BJ58))</f>
        <v>40</v>
      </c>
    </row>
    <row r="59" spans="19:75" ht="15.6" thickTop="1" thickBot="1" x14ac:dyDescent="0.35">
      <c r="S59" s="63">
        <v>0</v>
      </c>
      <c r="W59" s="63">
        <v>0</v>
      </c>
      <c r="AA59" s="63">
        <v>0</v>
      </c>
      <c r="AE59" s="63">
        <v>1</v>
      </c>
      <c r="AI59" s="63">
        <v>0</v>
      </c>
      <c r="AT59" s="63">
        <v>1</v>
      </c>
      <c r="BW59" s="36">
        <f>IF(BS60="RESET",0,BQ58)</f>
        <v>40</v>
      </c>
    </row>
    <row r="60" spans="19:75" ht="15.6" thickTop="1" thickBot="1" x14ac:dyDescent="0.35">
      <c r="AL60" s="35">
        <f>'Run mode-only Module Domains'!$D$97</f>
        <v>40</v>
      </c>
      <c r="BS60" s="35" t="str">
        <f>Tree!$S$31</f>
        <v>DRUN</v>
      </c>
    </row>
    <row r="61" spans="19:75" ht="15.6" thickTop="1" thickBot="1" x14ac:dyDescent="0.35"/>
    <row r="62" spans="19:75" ht="15.6" thickTop="1" thickBot="1" x14ac:dyDescent="0.35">
      <c r="AX62" s="63">
        <v>1</v>
      </c>
      <c r="BB62" s="63">
        <v>1</v>
      </c>
      <c r="BH62" s="63">
        <v>0</v>
      </c>
      <c r="BO62" s="63">
        <v>0</v>
      </c>
    </row>
    <row r="63" spans="19:75" ht="15.6" thickTop="1" thickBot="1" x14ac:dyDescent="0.35">
      <c r="AR63" s="36">
        <f>IF(AP66="RESET",0,AN64)</f>
        <v>160</v>
      </c>
    </row>
    <row r="64" spans="19:75" ht="15.6" thickTop="1" thickBot="1" x14ac:dyDescent="0.35">
      <c r="AN64" s="56">
        <f>IF(AL69=0,B13,IF(AL69=1,AG57,IF(AL69=2,J13,IF(AL69=3,L13,0))))</f>
        <v>160</v>
      </c>
    </row>
    <row r="65" spans="2:75" ht="15.6" thickTop="1" thickBot="1" x14ac:dyDescent="0.35"/>
    <row r="66" spans="2:75" ht="15.6" thickTop="1" thickBot="1" x14ac:dyDescent="0.35">
      <c r="AP66" s="35" t="str">
        <f>Tree!$S$31</f>
        <v>DRUN</v>
      </c>
    </row>
    <row r="67" spans="2:75" ht="15.6" thickTop="1" thickBot="1" x14ac:dyDescent="0.35">
      <c r="AV67" s="35">
        <f>AN64/((AT69+1)*2)</f>
        <v>40</v>
      </c>
    </row>
    <row r="68" spans="2:75" ht="15.6" thickTop="1" thickBot="1" x14ac:dyDescent="0.35">
      <c r="AZ68" s="35">
        <f>IF(AX72=0,AO70,AV67)</f>
        <v>40</v>
      </c>
      <c r="BJ68" s="35">
        <f>IF(BH72=0,BD69,BD58)</f>
        <v>40</v>
      </c>
      <c r="BO68" s="33"/>
      <c r="BQ68" s="35">
        <f>IF(AND(BO72=1,BO62=1),0,IF(AND(BO72=1,NOT(BH72=BH62)),0,BJ68))</f>
        <v>40</v>
      </c>
    </row>
    <row r="69" spans="2:75" ht="15.6" thickTop="1" thickBot="1" x14ac:dyDescent="0.35">
      <c r="AL69" s="63">
        <v>1</v>
      </c>
      <c r="AT69" s="63">
        <v>1</v>
      </c>
      <c r="BD69" s="35">
        <f>IF(BB72=0,0,AZ68)</f>
        <v>40</v>
      </c>
      <c r="BW69" s="36">
        <f>IF(BS70="RESET",0,BQ68)</f>
        <v>40</v>
      </c>
    </row>
    <row r="70" spans="2:75" ht="15.6" thickTop="1" thickBot="1" x14ac:dyDescent="0.35">
      <c r="B70" s="35">
        <f>B13</f>
        <v>40</v>
      </c>
      <c r="D70" s="35">
        <f>D13</f>
        <v>40</v>
      </c>
      <c r="F70" s="35">
        <f>F13</f>
        <v>160</v>
      </c>
      <c r="H70" s="35">
        <f>H13</f>
        <v>101</v>
      </c>
      <c r="J70" s="35">
        <f>J13</f>
        <v>160</v>
      </c>
      <c r="L70" s="35">
        <f>L13</f>
        <v>160</v>
      </c>
      <c r="N70" s="35">
        <f>N13</f>
        <v>160</v>
      </c>
      <c r="AO70" s="35">
        <f>AL60</f>
        <v>40</v>
      </c>
      <c r="BS70" s="35" t="str">
        <f>Tree!$S$31</f>
        <v>DRUN</v>
      </c>
    </row>
    <row r="71" spans="2:75" ht="15.6" thickTop="1" thickBot="1" x14ac:dyDescent="0.35"/>
    <row r="72" spans="2:75" ht="15.6" thickTop="1" thickBot="1" x14ac:dyDescent="0.35">
      <c r="AX72" s="63">
        <v>1</v>
      </c>
      <c r="BB72" s="63">
        <v>1</v>
      </c>
      <c r="BH72" s="63">
        <v>0</v>
      </c>
      <c r="BO72" s="63">
        <v>0</v>
      </c>
    </row>
    <row r="73" spans="2:75" ht="15" thickTop="1" x14ac:dyDescent="0.3"/>
  </sheetData>
  <dataConsolidate/>
  <conditionalFormatting sqref="BW22">
    <cfRule type="expression" dxfId="74" priority="9">
      <formula>$BW$22&gt;$B$13</formula>
    </cfRule>
  </conditionalFormatting>
  <conditionalFormatting sqref="BW30">
    <cfRule type="expression" dxfId="73" priority="8">
      <formula>$BW$30&gt;$B$13</formula>
    </cfRule>
  </conditionalFormatting>
  <conditionalFormatting sqref="BW41">
    <cfRule type="expression" dxfId="72" priority="7">
      <formula>$BW$41&gt;$B$13</formula>
    </cfRule>
  </conditionalFormatting>
  <conditionalFormatting sqref="BW50">
    <cfRule type="expression" dxfId="71" priority="6">
      <formula>$BW$50&gt;$B$13</formula>
    </cfRule>
  </conditionalFormatting>
  <conditionalFormatting sqref="BW59">
    <cfRule type="expression" dxfId="70" priority="5">
      <formula>$BW$59&gt;$B$13</formula>
    </cfRule>
  </conditionalFormatting>
  <conditionalFormatting sqref="BW69">
    <cfRule type="expression" dxfId="69" priority="4">
      <formula>$BW$69&gt;$B$13</formula>
    </cfRule>
  </conditionalFormatting>
  <dataValidations count="25">
    <dataValidation type="list" allowBlank="1" showInputMessage="1" showErrorMessage="1" sqref="M13 AI21 S41 AI41 S59 AI59 AL29 AL50 AL69" xr:uid="{00000000-0002-0000-0600-000000000000}">
      <formula1>"0,1,2,3"</formula1>
    </dataValidation>
    <dataValidation type="whole" allowBlank="1" showInputMessage="1" showErrorMessage="1" sqref="Q13" xr:uid="{00000000-0002-0000-0600-000001000000}">
      <formula1>0</formula1>
      <formula2>IF(U13 &gt; 511, 511, U13)</formula2>
    </dataValidation>
    <dataValidation type="whole" allowBlank="1" showInputMessage="1" showErrorMessage="1" sqref="U13" xr:uid="{00000000-0002-0000-0600-000002000000}">
      <formula1>0</formula1>
      <formula2>4095</formula2>
    </dataValidation>
    <dataValidation type="list" allowBlank="1" showInputMessage="1" showErrorMessage="1" sqref="Y13 AE21 AE41 AE59 AX25 AX33 AX44 AX53 AX62 AX72" xr:uid="{00000000-0002-0000-0600-000003000000}">
      <formula1>"0,1"</formula1>
    </dataValidation>
    <dataValidation type="list" showInputMessage="1" showErrorMessage="1" sqref="S21" xr:uid="{00000000-0002-0000-0600-000004000000}">
      <formula1>"0,1,2,3"</formula1>
    </dataValidation>
    <dataValidation type="whole" allowBlank="1" showInputMessage="1" showErrorMessage="1" errorTitle="Invalid Numerator" error="Fractional numerator must satisfy two rules:_x000a_1) It is an integer between 0 and 511_x000a_2) It is less than or equal to value of &quot;SAI Multiplier Denominator&quot;" promptTitle="Numerator Range" prompt="Fractional numerator must satisfy two rules:_x000a_1) It is an integer between 0 and 511_x000a_2) It is less than or equal to value of &quot;SAI Multiplier Denominator&quot;" sqref="W59" xr:uid="{00000000-0002-0000-0600-000005000000}">
      <formula1>0</formula1>
      <formula2>IF(AA59&gt;511,511,AA59)</formula2>
    </dataValidation>
    <dataValidation type="whole" allowBlank="1" showInputMessage="1" showErrorMessage="1" errorTitle="Invalid Numerator" error="Fractional numerator must satisfy two rules:_x000a_1) It is an integer between 0 and 511_x000a_2) It is less than or equal to value of &quot;SAI Multiplier Denominator&quot;" promptTitle="Numerator Range" prompt="Fractional numerator must satisfy two rules:_x000a_1) It is an integer between 0 and 511_x000a_2) It is less than or equal to value of &quot;SAI Multiplier Denominator&quot;" sqref="W21 W41" xr:uid="{00000000-0002-0000-0600-000006000000}">
      <formula1>0</formula1>
      <formula2>IF(AA21 &gt; 511, 511, AA21)</formula2>
    </dataValidation>
    <dataValidation type="whole" allowBlank="1" showInputMessage="1" showErrorMessage="1" errorTitle="Invalid Denominator" error="Denominator can be any integer from 0 to 4095." promptTitle="Denominator Range" prompt="Denominator can be any integer from 0 to 4095." sqref="AA21 AA41 AA59" xr:uid="{00000000-0002-0000-0600-000007000000}">
      <formula1>0</formula1>
      <formula2>4095</formula2>
    </dataValidation>
    <dataValidation type="list" allowBlank="1" showInputMessage="1" showErrorMessage="1" promptTitle="BCLK Enable Note" prompt="Bit will be automatically set when transmitter is enabled (I2S0_TCSR[TE] is set). BCLK can be manually turned on/off. If I2S0_TCSR[BCE] manually cleared, it will remain 1 until end of current frame." sqref="BB25" xr:uid="{00000000-0002-0000-0600-000008000000}">
      <formula1>"0,1"</formula1>
    </dataValidation>
    <dataValidation type="list" allowBlank="1" showInputMessage="1" showErrorMessage="1" promptTitle="BCLK Enable Note" prompt="Bit will be automatically set when receiver is enabled (I2S0_RCSR[RE] is set). BCLK can be manually turned on/off. If I2S0_RCSR[BCE] manually cleared, it will remain 1 until end of current frame." sqref="BB33" xr:uid="{00000000-0002-0000-0600-000009000000}">
      <formula1>"0,1"</formula1>
    </dataValidation>
    <dataValidation type="list" allowBlank="1" showInputMessage="1" showErrorMessage="1" promptTitle="BCLK Enable Note" prompt="Bit will be automatically set when transmitter is enabled (I2S1_TCSR[TE] is set). BCLK can be manually turned on/off. If I2S1_TCSR[BCE] manually cleared, it will remain 1 until end of current frame." sqref="BB44" xr:uid="{00000000-0002-0000-0600-00000A000000}">
      <formula1>"0,1"</formula1>
    </dataValidation>
    <dataValidation type="list" allowBlank="1" showInputMessage="1" showErrorMessage="1" promptTitle="BCLK Enable Note" prompt="Bit will be automatically set when receiver is enabled (I2S1_RCSR[RE] is set). BCLK can be manually turned on/off. If I2S1_RCSR[BCE] manually cleared, it will remain 1 until end of current frame." sqref="BB53" xr:uid="{00000000-0002-0000-0600-00000B000000}">
      <formula1>"0,1"</formula1>
    </dataValidation>
    <dataValidation type="list" allowBlank="1" showInputMessage="1" showErrorMessage="1" promptTitle="BCLK Enable Note" prompt="Bit will be automatically set when transmitter is enabled (I2S2_TCSR[TE] is set). BCLK can be manually turned on/off. If I2S2_TCSR[BCE] manually cleared, it will remain 1 until end of current frame." sqref="BB62" xr:uid="{00000000-0002-0000-0600-00000C000000}">
      <formula1>"0,1"</formula1>
    </dataValidation>
    <dataValidation type="list" allowBlank="1" showInputMessage="1" showErrorMessage="1" promptTitle="BCLK Enable Note" prompt="Bit will be automatically set when receiver is enabled (I2S2_RCSR[RE] is set). BCLK can be manually turned on/off. If I2S2_RCSR[BCE] manually cleared, it will remain 1 until end of current frame." sqref="BB72" xr:uid="{00000000-0002-0000-0600-00000D000000}">
      <formula1>"0,1"</formula1>
    </dataValidation>
    <dataValidation type="whole" allowBlank="1" showInputMessage="1" showErrorMessage="1" errorTitle="BCLK Divide Value" error="When dividing from the MCLK, divide value must be an input between 0 and 255." promptTitle="BCLK Divide" prompt="The BCLK can be divided from MCLK. Argument must be between 0 and 255.  The BCLK frequency is calculated by the formula BCLK = MCLK/((DIV+1)*2)." sqref="AT41 AT50 AT22 AT30 AT59 AT69" xr:uid="{00000000-0002-0000-0600-00000E000000}">
      <formula1>0</formula1>
      <formula2>255</formula2>
    </dataValidation>
    <dataValidation type="list" allowBlank="1" showInputMessage="1" showErrorMessage="1" promptTitle="BCLK Swap" prompt="Switches between other BCLKs. When transmitter is in synchronous mode, this field MUST be set to same value as the receiver's BCLK Swap. When both set, BCLK is BCLK_RX_SAI1; when both clear, it is BCLK_TX_SAI1. No effect when synchronous with SAI_2." sqref="BH53" xr:uid="{00000000-0002-0000-0600-00000F000000}">
      <formula1>"0,1"</formula1>
    </dataValidation>
    <dataValidation allowBlank="1" showErrorMessage="1" promptTitle="What is this?" prompt="Synchronous operation allows both receiver and transmitter to share the same bit clock and frame sync.  Having both receiver and transmitter to be synchronous at the same time is not allowed." sqref="BO68" xr:uid="{00000000-0002-0000-0600-000010000000}"/>
    <dataValidation type="list" allowBlank="1" showInputMessage="1" showErrorMessage="1" promptTitle="BCLK Swap" prompt="Switches between TX and RX bit clocks. When transmitter is in synchronous mode, this field MUST be set to same value as the receiver's BCLK Swap." sqref="BH62 BH72" xr:uid="{00000000-0002-0000-0600-000011000000}">
      <formula1>"0,1"</formula1>
    </dataValidation>
    <dataValidation type="list" allowBlank="1" showInputMessage="1" showErrorMessage="1" promptTitle="What is this?" prompt="Synchronous operation allows both receiver/transmitter to share the same bit clock and frame sync with another receiver/transmitter.  &quot;Intersynchronicity&quot; is not allowed: &quot;A&quot; cannot sync with &quot;B&quot; if &quot;B&quot; is sync'd to &quot;A&quot;." sqref="BO34 BO44 BO53 BO25" xr:uid="{00000000-0002-0000-0600-000012000000}">
      <formula1>"0,1,2,3"</formula1>
    </dataValidation>
    <dataValidation type="list" allowBlank="1" showInputMessage="1" showErrorMessage="1" promptTitle="What is this?" prompt="Synchronous operation allows both receiver and transmitter to share the same bit clock and frame sync.  Having both receiver and transmitter to be synchronous at the same time is not allowed." sqref="BO62 BO72" xr:uid="{00000000-0002-0000-0600-000013000000}">
      <formula1>"0,1"</formula1>
    </dataValidation>
    <dataValidation allowBlank="1" showInputMessage="1" showErrorMessage="1" promptTitle="Note" prompt="This clock domain is filtered by MCU power mode." sqref="B13" xr:uid="{00000000-0002-0000-0600-000014000000}"/>
    <dataValidation allowBlank="1" showErrorMessage="1" promptTitle="What is this?" prompt="Z4a is clock gated in STOP mode but all peripherals are operational." sqref="AM19 AP27 BS23 BS31 AM39 AP47 BS42 BS51 AM57 AP66 BS60 BS70" xr:uid="{00000000-0002-0000-0600-000015000000}"/>
    <dataValidation type="list" allowBlank="1" showInputMessage="1" showErrorMessage="1" promptTitle="BCLK Swap" prompt="Switches between other BCLKs. When transmitter is in synchronous mode, this field MUST be set to same value as the receiver's BCLK Swap. When both set, BCLK is BCLK_TX_SAI0; when both clear, it is BCLK_RX_SAI0. No effect when synchronous with SAI_2." sqref="BH25" xr:uid="{00000000-0002-0000-0600-000016000000}">
      <formula1>"0,1"</formula1>
    </dataValidation>
    <dataValidation type="list" allowBlank="1" showInputMessage="1" showErrorMessage="1" promptTitle="BCLK Swap" prompt="Switches between other BCLKs. When transmitter is in synchronous mode, this field MUST be set to same value as the receiver's BCLK Swap. When both set, BCLK is BCLK_RX_SAI0; when both clear, it is BCLK_TX_SAI0. No effect when synchronous with SAI_2." sqref="BH33" xr:uid="{00000000-0002-0000-0600-000017000000}">
      <formula1>"0,1"</formula1>
    </dataValidation>
    <dataValidation type="list" allowBlank="1" showInputMessage="1" showErrorMessage="1" promptTitle="BCLK Swap" prompt="Switches between other BCLKs. When transmitter is in synchronous mode, this field MUST be set to same value as the receiver's BCLK Swap. When both set, BCLK is BCLK_TX_SAI1; when both clear, it is BCLK_RX_SAI1. No effect when synchronous with SAI_2." sqref="BH44" xr:uid="{00000000-0002-0000-0600-000018000000}">
      <formula1>"0,1"</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06A643DE-EBF0-42C6-BD05-BE9ED7CA997D}">
            <xm:f>NOT(OR(Tree!$S$31="DRUN",Tree!S31="RUN0",Tree!S31="RUN1",Tree!S31="RUN2",Tree!S31="RUN3"))</xm:f>
            <x14:dxf>
              <fill>
                <patternFill patternType="none">
                  <bgColor auto="1"/>
                </patternFill>
              </fill>
            </x14:dxf>
          </x14:cfRule>
          <x14:cfRule type="expression" priority="2" id="{250C265F-A740-4528-B790-3C7D163990AF}">
            <xm:f>FMPLL!$E$17=0</xm:f>
            <x14:dxf>
              <fill>
                <patternFill patternType="none">
                  <bgColor auto="1"/>
                </patternFill>
              </fill>
            </x14:dxf>
          </x14:cfRule>
          <x14:cfRule type="expression" priority="3" id="{470836BF-5A86-4394-90E7-431839FA04B9}">
            <xm:f>$F$13&gt;Limits!$B$8</xm:f>
            <x14:dxf>
              <fill>
                <patternFill>
                  <bgColor rgb="FFFF0000"/>
                </patternFill>
              </fill>
            </x14:dxf>
          </x14:cfRule>
          <xm:sqref>F13 F70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D10:AV181"/>
  <sheetViews>
    <sheetView zoomScale="85" zoomScaleNormal="85" workbookViewId="0">
      <selection activeCell="AV119" sqref="AV119:AV145"/>
    </sheetView>
  </sheetViews>
  <sheetFormatPr defaultRowHeight="14.4" x14ac:dyDescent="0.3"/>
  <cols>
    <col min="36" max="36" width="9.5546875" customWidth="1"/>
    <col min="37" max="37" width="9" customWidth="1"/>
    <col min="39" max="39" width="11.109375" customWidth="1"/>
  </cols>
  <sheetData>
    <row r="10" spans="4:48" ht="15" thickBot="1" x14ac:dyDescent="0.35"/>
    <row r="11" spans="4:48" ht="15.6" thickTop="1" thickBot="1" x14ac:dyDescent="0.35">
      <c r="D11" s="35">
        <f>'LP-Enabled Module Domain Set 1'!$E$6</f>
        <v>80</v>
      </c>
      <c r="AM11" s="102">
        <f>IF(G43=0,IF(K20=0,0,(1/K20)),IF(P40=0,0,(1/P40)))*1000</f>
        <v>25</v>
      </c>
      <c r="AV11" s="102">
        <f>IF(AND(G67=1,K67=1,N67=1),IF(S64=0,0,(1/S64)),IF(G43=0,IF(K20=0,0,(1/K20)),IF(P40=0,0,(1/P40))))*1000</f>
        <v>25</v>
      </c>
    </row>
    <row r="12" spans="4:48" ht="15" thickTop="1" x14ac:dyDescent="0.3">
      <c r="AM12" s="102"/>
      <c r="AN12" s="69"/>
      <c r="AV12" s="102"/>
    </row>
    <row r="13" spans="4:48" x14ac:dyDescent="0.3">
      <c r="AM13" s="102"/>
      <c r="AV13" s="102"/>
    </row>
    <row r="14" spans="4:48" x14ac:dyDescent="0.3">
      <c r="AM14" s="102"/>
      <c r="AV14" s="102"/>
    </row>
    <row r="15" spans="4:48" x14ac:dyDescent="0.3">
      <c r="AM15" s="102"/>
      <c r="AV15" s="102"/>
    </row>
    <row r="16" spans="4:48" ht="15" thickBot="1" x14ac:dyDescent="0.35">
      <c r="AM16" s="102"/>
      <c r="AV16" s="102"/>
    </row>
    <row r="17" spans="4:48" ht="15.6" thickTop="1" thickBot="1" x14ac:dyDescent="0.35">
      <c r="Q17" s="63">
        <v>6</v>
      </c>
      <c r="AM17" s="103"/>
      <c r="AV17" s="102"/>
    </row>
    <row r="18" spans="4:48" ht="15" thickTop="1" x14ac:dyDescent="0.3">
      <c r="AM18" s="103"/>
      <c r="AV18" s="102"/>
    </row>
    <row r="19" spans="4:48" ht="15" thickBot="1" x14ac:dyDescent="0.35">
      <c r="AM19" s="103"/>
      <c r="AV19" s="102"/>
    </row>
    <row r="20" spans="4:48" ht="15.6" thickTop="1" thickBot="1" x14ac:dyDescent="0.35">
      <c r="K20" s="35">
        <f>D21/(1+I24)</f>
        <v>10</v>
      </c>
      <c r="T20" s="33"/>
      <c r="AM20" s="103"/>
      <c r="AV20" s="102"/>
    </row>
    <row r="21" spans="4:48" ht="15.6" thickTop="1" thickBot="1" x14ac:dyDescent="0.35">
      <c r="D21" s="35">
        <f>'LP-Enabled Module Domain Set 1'!E10</f>
        <v>40</v>
      </c>
      <c r="AM21" s="99">
        <f>IF(G43=0,IF(K20=0,0,(1/K20)*(CAN0_PHS_1+1)),IF(P40=0,0,(1/P40)*(CAN0_EPROP+1)))*1000</f>
        <v>1600</v>
      </c>
      <c r="AV21" s="99">
        <f>IF(AND(G67=1,K67=1,N67=1),IF(S64=0,0,(1/S64)*(CAN0_FPROP)),IF(G43=0,IF(K20=0,0,(1/K20)*(CAN0_PROP+1)),IF(P40=0,0,(1/P40)*(CAN0_EPROP+1))))*1000</f>
        <v>550</v>
      </c>
    </row>
    <row r="22" spans="4:48" ht="15" thickTop="1" x14ac:dyDescent="0.3">
      <c r="AM22" s="99"/>
      <c r="AV22" s="99"/>
    </row>
    <row r="23" spans="4:48" ht="15" thickBot="1" x14ac:dyDescent="0.35">
      <c r="AM23" s="99"/>
      <c r="AV23" s="99"/>
    </row>
    <row r="24" spans="4:48" ht="15.6" thickTop="1" thickBot="1" x14ac:dyDescent="0.35">
      <c r="I24" s="63">
        <v>3</v>
      </c>
      <c r="M24" s="63">
        <v>0</v>
      </c>
      <c r="Q24" s="63">
        <v>4</v>
      </c>
      <c r="AM24" s="99"/>
      <c r="AV24" s="99"/>
    </row>
    <row r="25" spans="4:48" ht="15" thickTop="1" x14ac:dyDescent="0.3">
      <c r="AM25" s="99"/>
      <c r="AV25" s="99"/>
    </row>
    <row r="26" spans="4:48" x14ac:dyDescent="0.3">
      <c r="AM26" s="99"/>
      <c r="AV26" s="99"/>
    </row>
    <row r="27" spans="4:48" x14ac:dyDescent="0.3">
      <c r="AM27" s="99"/>
      <c r="AV27" s="99"/>
    </row>
    <row r="28" spans="4:48" x14ac:dyDescent="0.3">
      <c r="AM28" s="99"/>
      <c r="AV28" s="99"/>
    </row>
    <row r="29" spans="4:48" x14ac:dyDescent="0.3">
      <c r="AM29" s="99"/>
      <c r="AV29" s="99"/>
    </row>
    <row r="30" spans="4:48" ht="15" thickBot="1" x14ac:dyDescent="0.35">
      <c r="AM30" s="99"/>
      <c r="AV30" s="99"/>
    </row>
    <row r="31" spans="4:48" ht="15.6" thickTop="1" thickBot="1" x14ac:dyDescent="0.35">
      <c r="Q31" s="63">
        <v>1</v>
      </c>
      <c r="AM31" s="99"/>
      <c r="AV31" s="99"/>
    </row>
    <row r="32" spans="4:48" ht="15" thickTop="1" x14ac:dyDescent="0.3">
      <c r="AM32" s="99"/>
      <c r="AV32" s="99"/>
    </row>
    <row r="33" spans="7:48" x14ac:dyDescent="0.3">
      <c r="AM33" s="99"/>
      <c r="AV33" s="99"/>
    </row>
    <row r="34" spans="7:48" x14ac:dyDescent="0.3">
      <c r="AM34" s="99"/>
      <c r="AV34" s="99"/>
    </row>
    <row r="35" spans="7:48" x14ac:dyDescent="0.3">
      <c r="AM35" s="99"/>
      <c r="AV35" s="99"/>
    </row>
    <row r="36" spans="7:48" x14ac:dyDescent="0.3">
      <c r="AM36" s="99"/>
      <c r="AV36" s="99"/>
    </row>
    <row r="37" spans="7:48" x14ac:dyDescent="0.3">
      <c r="AM37" s="99"/>
      <c r="AV37" s="99"/>
    </row>
    <row r="38" spans="7:48" ht="15" thickBot="1" x14ac:dyDescent="0.35">
      <c r="AM38" s="99"/>
      <c r="AV38" s="99"/>
    </row>
    <row r="39" spans="7:48" ht="15.6" thickTop="1" thickBot="1" x14ac:dyDescent="0.35">
      <c r="J39" s="35">
        <f>IF(G43=0,0,D21)</f>
        <v>40</v>
      </c>
      <c r="AM39" s="99"/>
      <c r="AV39" s="99"/>
    </row>
    <row r="40" spans="7:48" ht="15.6" thickTop="1" thickBot="1" x14ac:dyDescent="0.35">
      <c r="P40" s="35">
        <f>J39/(1+M43)</f>
        <v>40</v>
      </c>
      <c r="AM40" s="99"/>
      <c r="AV40" s="99"/>
    </row>
    <row r="41" spans="7:48" ht="15" thickTop="1" x14ac:dyDescent="0.3">
      <c r="AM41" s="99"/>
      <c r="AV41" s="99"/>
    </row>
    <row r="42" spans="7:48" ht="15" thickBot="1" x14ac:dyDescent="0.35">
      <c r="AM42" s="99"/>
      <c r="AV42" s="99"/>
    </row>
    <row r="43" spans="7:48" ht="15.6" thickTop="1" thickBot="1" x14ac:dyDescent="0.35">
      <c r="G43" s="63">
        <v>1</v>
      </c>
      <c r="M43" s="63">
        <v>0</v>
      </c>
      <c r="T43" s="63">
        <v>2</v>
      </c>
      <c r="AA43" s="63">
        <v>63</v>
      </c>
      <c r="AM43" s="99"/>
      <c r="AV43" s="99"/>
    </row>
    <row r="44" spans="7:48" ht="15" thickTop="1" x14ac:dyDescent="0.3">
      <c r="AM44" s="99"/>
      <c r="AV44" s="99"/>
    </row>
    <row r="45" spans="7:48" x14ac:dyDescent="0.3">
      <c r="AM45" s="99"/>
      <c r="AV45" s="99"/>
    </row>
    <row r="46" spans="7:48" x14ac:dyDescent="0.3">
      <c r="AM46" s="99"/>
      <c r="AV46" s="99"/>
    </row>
    <row r="47" spans="7:48" x14ac:dyDescent="0.3">
      <c r="AM47" s="99"/>
      <c r="AV47" s="99"/>
    </row>
    <row r="48" spans="7:48" x14ac:dyDescent="0.3">
      <c r="AM48" s="100">
        <f>IF(G43=0,IF(K20=0,0,(1/K20)*(CAN0_PHS_1+1)),IF(P40=0,0,(1/P40)*(CAN0_EPHS_1+1)))*1000</f>
        <v>800</v>
      </c>
      <c r="AV48" s="100">
        <f>IF(AND(G67=1,K67=1,N67=1),IF(S64=0,0,(1/S64)*(CAN0_FPHS_1+1)),IF(G43=0,IF(K20=0,0,(1/K20)*(CAN0_PHS_1+1)),IF(P40=0,0,(1/P40)*(CAN0_EPHS_1+1))))*1000</f>
        <v>200</v>
      </c>
    </row>
    <row r="49" spans="9:48" x14ac:dyDescent="0.3">
      <c r="AM49" s="100"/>
      <c r="AV49" s="100"/>
    </row>
    <row r="50" spans="9:48" ht="15" thickBot="1" x14ac:dyDescent="0.35">
      <c r="AM50" s="100"/>
      <c r="AV50" s="100"/>
    </row>
    <row r="51" spans="9:48" ht="15.6" thickTop="1" thickBot="1" x14ac:dyDescent="0.35">
      <c r="AA51" s="63">
        <v>31</v>
      </c>
      <c r="AM51" s="100"/>
      <c r="AV51" s="100"/>
    </row>
    <row r="52" spans="9:48" ht="15" thickTop="1" x14ac:dyDescent="0.3">
      <c r="AM52" s="100"/>
      <c r="AV52" s="100"/>
    </row>
    <row r="53" spans="9:48" x14ac:dyDescent="0.3">
      <c r="AM53" s="100"/>
      <c r="AV53" s="100"/>
    </row>
    <row r="54" spans="9:48" x14ac:dyDescent="0.3">
      <c r="AM54" s="100"/>
      <c r="AV54" s="100"/>
    </row>
    <row r="55" spans="9:48" x14ac:dyDescent="0.3">
      <c r="AM55" s="100"/>
      <c r="AV55" s="100"/>
    </row>
    <row r="56" spans="9:48" x14ac:dyDescent="0.3">
      <c r="AM56" s="100"/>
      <c r="AV56" s="100"/>
    </row>
    <row r="57" spans="9:48" ht="15" thickBot="1" x14ac:dyDescent="0.35">
      <c r="AM57" s="100"/>
      <c r="AV57" s="100"/>
    </row>
    <row r="58" spans="9:48" ht="15.6" thickTop="1" thickBot="1" x14ac:dyDescent="0.35">
      <c r="AA58" s="63">
        <v>31</v>
      </c>
      <c r="AM58" s="100"/>
      <c r="AV58" s="100"/>
    </row>
    <row r="59" spans="9:48" ht="15" thickTop="1" x14ac:dyDescent="0.3">
      <c r="AM59" s="100"/>
      <c r="AV59" s="100"/>
    </row>
    <row r="60" spans="9:48" x14ac:dyDescent="0.3">
      <c r="AM60" s="100"/>
      <c r="AV60" s="100"/>
    </row>
    <row r="61" spans="9:48" x14ac:dyDescent="0.3">
      <c r="AM61" s="100"/>
      <c r="AV61" s="100"/>
    </row>
    <row r="62" spans="9:48" ht="15" thickBot="1" x14ac:dyDescent="0.35">
      <c r="AM62" s="100"/>
      <c r="AV62" s="100"/>
    </row>
    <row r="63" spans="9:48" ht="15.6" thickTop="1" thickBot="1" x14ac:dyDescent="0.35">
      <c r="I63" s="35">
        <f>IF(G67=0,0,D21)</f>
        <v>40</v>
      </c>
      <c r="AM63" s="100"/>
      <c r="AV63" s="100"/>
    </row>
    <row r="64" spans="9:48" ht="15.6" thickTop="1" thickBot="1" x14ac:dyDescent="0.35">
      <c r="S64" s="35">
        <f>I63/(1+Q67)</f>
        <v>40</v>
      </c>
      <c r="AM64" s="100"/>
      <c r="AV64" s="100"/>
    </row>
    <row r="65" spans="7:48" ht="15" thickTop="1" x14ac:dyDescent="0.3">
      <c r="AM65" s="100"/>
      <c r="AV65" s="100"/>
    </row>
    <row r="66" spans="7:48" ht="15" thickBot="1" x14ac:dyDescent="0.35">
      <c r="AM66" s="100"/>
      <c r="AV66" s="100"/>
    </row>
    <row r="67" spans="7:48" ht="15.6" thickTop="1" thickBot="1" x14ac:dyDescent="0.35">
      <c r="G67" s="63">
        <v>1</v>
      </c>
      <c r="K67" s="63">
        <v>1</v>
      </c>
      <c r="N67" s="63">
        <v>1</v>
      </c>
      <c r="Q67" s="63">
        <v>0</v>
      </c>
      <c r="U67" s="63">
        <v>2</v>
      </c>
      <c r="AA67" s="63">
        <v>22</v>
      </c>
      <c r="AM67" s="100"/>
      <c r="AV67" s="100"/>
    </row>
    <row r="68" spans="7:48" ht="15" thickTop="1" x14ac:dyDescent="0.3">
      <c r="AM68" s="100"/>
      <c r="AV68" s="100"/>
    </row>
    <row r="69" spans="7:48" x14ac:dyDescent="0.3">
      <c r="AM69" s="100"/>
      <c r="AN69" s="98"/>
      <c r="AV69" s="100"/>
    </row>
    <row r="70" spans="7:48" x14ac:dyDescent="0.3">
      <c r="AM70" s="101">
        <f>IF(G43=0,IF(K20=0,0,(1/K20)*(CAN0_PHS_2+1)),IF(P40=0,0,(1/P40)*(CAN0_EPHS_2+1)))*1000</f>
        <v>800</v>
      </c>
      <c r="AN70" s="98"/>
      <c r="AV70" s="101">
        <f>IF(AND(G67=1,K67=1,N67=1),IF(S64=0,0,(1/S64)*(CAN0_FPHS_2+1)),IF(G43=0,IF(K20=0,0,(1/K20)*(CAN0_PHS_2+1)),IF(P40=0,0,(1/P40)*(CAN0_EPHS_2+1))))*1000</f>
        <v>200</v>
      </c>
    </row>
    <row r="71" spans="7:48" x14ac:dyDescent="0.3">
      <c r="AM71" s="101"/>
      <c r="AN71" s="98"/>
      <c r="AV71" s="101"/>
    </row>
    <row r="72" spans="7:48" x14ac:dyDescent="0.3">
      <c r="AM72" s="101"/>
      <c r="AN72" s="98"/>
      <c r="AV72" s="101"/>
    </row>
    <row r="73" spans="7:48" x14ac:dyDescent="0.3">
      <c r="AM73" s="101"/>
      <c r="AN73" s="98"/>
      <c r="AV73" s="101"/>
    </row>
    <row r="74" spans="7:48" ht="15" thickBot="1" x14ac:dyDescent="0.35">
      <c r="AM74" s="101"/>
      <c r="AN74" s="98"/>
      <c r="AV74" s="101"/>
    </row>
    <row r="75" spans="7:48" ht="15.6" thickTop="1" thickBot="1" x14ac:dyDescent="0.35">
      <c r="AA75" s="63">
        <v>7</v>
      </c>
      <c r="AM75" s="101"/>
      <c r="AN75" s="98"/>
      <c r="AV75" s="101"/>
    </row>
    <row r="76" spans="7:48" ht="15" thickTop="1" x14ac:dyDescent="0.3">
      <c r="AM76" s="101"/>
      <c r="AN76" s="98"/>
      <c r="AV76" s="101"/>
    </row>
    <row r="77" spans="7:48" x14ac:dyDescent="0.3">
      <c r="AM77" s="101"/>
      <c r="AN77" s="98"/>
      <c r="AV77" s="101"/>
    </row>
    <row r="78" spans="7:48" x14ac:dyDescent="0.3">
      <c r="AM78" s="101"/>
      <c r="AN78" s="98"/>
      <c r="AV78" s="101"/>
    </row>
    <row r="79" spans="7:48" x14ac:dyDescent="0.3">
      <c r="AM79" s="101"/>
      <c r="AN79" s="98"/>
      <c r="AV79" s="101"/>
    </row>
    <row r="80" spans="7:48" x14ac:dyDescent="0.3">
      <c r="AM80" s="101"/>
      <c r="AN80" s="98"/>
      <c r="AV80" s="101"/>
    </row>
    <row r="81" spans="27:48" ht="15" thickBot="1" x14ac:dyDescent="0.35">
      <c r="AM81" s="101"/>
      <c r="AN81" s="98"/>
      <c r="AV81" s="101"/>
    </row>
    <row r="82" spans="27:48" ht="15.6" thickTop="1" thickBot="1" x14ac:dyDescent="0.35">
      <c r="AA82" s="63">
        <v>7</v>
      </c>
      <c r="AN82" s="98"/>
    </row>
    <row r="83" spans="27:48" ht="15" thickTop="1" x14ac:dyDescent="0.3">
      <c r="AN83" s="98"/>
    </row>
    <row r="84" spans="27:48" x14ac:dyDescent="0.3">
      <c r="AN84" s="98"/>
    </row>
    <row r="85" spans="27:48" x14ac:dyDescent="0.3">
      <c r="AN85" s="98"/>
    </row>
    <row r="86" spans="27:48" x14ac:dyDescent="0.3">
      <c r="AN86" s="98"/>
    </row>
    <row r="87" spans="27:48" x14ac:dyDescent="0.3">
      <c r="AN87" s="98"/>
    </row>
    <row r="108" spans="4:48" ht="15" thickBot="1" x14ac:dyDescent="0.35"/>
    <row r="109" spans="4:48" ht="15.6" thickTop="1" thickBot="1" x14ac:dyDescent="0.35">
      <c r="D109" s="35">
        <f>'Run mode-only Module Domains'!$D$8</f>
        <v>80</v>
      </c>
      <c r="AM109" s="102">
        <f>IF(G141=0,IF(K118=0,0,(1/K118)),IF(P138=0,0,(1/P138)))*1000</f>
        <v>25</v>
      </c>
      <c r="AV109" s="102">
        <f>IF(AND(G165=1,K165=1,N165=1),IF(S162=0,0,(1/S162)),IF(G141,IF(K118=0,0,(1/K118)),IF(P138=0,0,(1/P138))))*1000</f>
        <v>25</v>
      </c>
    </row>
    <row r="110" spans="4:48" ht="15" thickTop="1" x14ac:dyDescent="0.3">
      <c r="AM110" s="102"/>
      <c r="AN110" s="69"/>
      <c r="AV110" s="102"/>
    </row>
    <row r="111" spans="4:48" x14ac:dyDescent="0.3">
      <c r="AM111" s="102"/>
      <c r="AV111" s="102"/>
    </row>
    <row r="112" spans="4:48" x14ac:dyDescent="0.3">
      <c r="AM112" s="102"/>
      <c r="AV112" s="102"/>
    </row>
    <row r="113" spans="4:48" x14ac:dyDescent="0.3">
      <c r="AM113" s="102"/>
      <c r="AV113" s="102"/>
    </row>
    <row r="114" spans="4:48" ht="15" thickBot="1" x14ac:dyDescent="0.35">
      <c r="AM114" s="102"/>
      <c r="AV114" s="102"/>
    </row>
    <row r="115" spans="4:48" ht="15.6" thickTop="1" thickBot="1" x14ac:dyDescent="0.35">
      <c r="Q115" s="63">
        <v>5</v>
      </c>
      <c r="AM115" s="102"/>
      <c r="AV115" s="102"/>
    </row>
    <row r="116" spans="4:48" ht="15" thickTop="1" x14ac:dyDescent="0.3">
      <c r="AM116" s="102"/>
      <c r="AV116" s="102"/>
    </row>
    <row r="117" spans="4:48" ht="15" thickBot="1" x14ac:dyDescent="0.35">
      <c r="AM117" s="102"/>
      <c r="AV117" s="102"/>
    </row>
    <row r="118" spans="4:48" ht="15.6" thickTop="1" thickBot="1" x14ac:dyDescent="0.35">
      <c r="K118" s="35">
        <f>D119/(1+I122)</f>
        <v>10</v>
      </c>
      <c r="T118" s="33"/>
      <c r="AM118" s="102"/>
      <c r="AV118" s="102"/>
    </row>
    <row r="119" spans="4:48" ht="15.6" thickTop="1" thickBot="1" x14ac:dyDescent="0.35">
      <c r="D119" s="35">
        <f>'Run mode-only Module Domains'!$D$11</f>
        <v>40</v>
      </c>
      <c r="AM119" s="99">
        <f>IF(G141=0,IF(K118=0,0,(1/K118)*(PROP+1)),IF(P138=0,0,(1/P138)*(EPROP+1)))*1000</f>
        <v>25</v>
      </c>
      <c r="AV119" s="99">
        <f>IF(AND(G165=1,K165=1,N165=1),IF(S162=0,0,(1/S162)*(FPROP)),IF(G141,IF(K118=0,0,(1/K118)*(PROP+1)),IF(P138=0,0,(1/P138)*(EPROP+1))))*1000</f>
        <v>500</v>
      </c>
    </row>
    <row r="120" spans="4:48" ht="15" thickTop="1" x14ac:dyDescent="0.3">
      <c r="AM120" s="99"/>
      <c r="AV120" s="99"/>
    </row>
    <row r="121" spans="4:48" ht="15" thickBot="1" x14ac:dyDescent="0.35">
      <c r="AM121" s="99"/>
      <c r="AV121" s="99"/>
    </row>
    <row r="122" spans="4:48" ht="15.6" thickTop="1" thickBot="1" x14ac:dyDescent="0.35">
      <c r="I122" s="63">
        <v>3</v>
      </c>
      <c r="M122" s="63">
        <v>3</v>
      </c>
      <c r="Q122" s="63">
        <v>5</v>
      </c>
      <c r="AM122" s="99"/>
      <c r="AV122" s="99"/>
    </row>
    <row r="123" spans="4:48" ht="15" thickTop="1" x14ac:dyDescent="0.3">
      <c r="AM123" s="99"/>
      <c r="AV123" s="99"/>
    </row>
    <row r="124" spans="4:48" x14ac:dyDescent="0.3">
      <c r="AM124" s="99"/>
      <c r="AV124" s="99"/>
    </row>
    <row r="125" spans="4:48" x14ac:dyDescent="0.3">
      <c r="AM125" s="99"/>
      <c r="AV125" s="99"/>
    </row>
    <row r="126" spans="4:48" x14ac:dyDescent="0.3">
      <c r="AM126" s="99"/>
      <c r="AV126" s="99"/>
    </row>
    <row r="127" spans="4:48" x14ac:dyDescent="0.3">
      <c r="AM127" s="99"/>
      <c r="AV127" s="99"/>
    </row>
    <row r="128" spans="4:48" ht="15" thickBot="1" x14ac:dyDescent="0.35">
      <c r="AM128" s="99"/>
      <c r="AV128" s="99"/>
    </row>
    <row r="129" spans="7:48" ht="15.6" thickTop="1" thickBot="1" x14ac:dyDescent="0.35">
      <c r="Q129" s="63">
        <v>0</v>
      </c>
      <c r="AM129" s="99"/>
      <c r="AV129" s="99"/>
    </row>
    <row r="130" spans="7:48" ht="15" thickTop="1" x14ac:dyDescent="0.3">
      <c r="AM130" s="99"/>
      <c r="AV130" s="99"/>
    </row>
    <row r="131" spans="7:48" x14ac:dyDescent="0.3">
      <c r="AM131" s="99"/>
      <c r="AV131" s="99"/>
    </row>
    <row r="132" spans="7:48" x14ac:dyDescent="0.3">
      <c r="AM132" s="99"/>
      <c r="AV132" s="99"/>
    </row>
    <row r="133" spans="7:48" x14ac:dyDescent="0.3">
      <c r="AM133" s="99"/>
      <c r="AV133" s="99"/>
    </row>
    <row r="134" spans="7:48" x14ac:dyDescent="0.3">
      <c r="AM134" s="99"/>
      <c r="AV134" s="99"/>
    </row>
    <row r="135" spans="7:48" x14ac:dyDescent="0.3">
      <c r="AM135" s="99"/>
      <c r="AV135" s="99"/>
    </row>
    <row r="136" spans="7:48" ht="15" thickBot="1" x14ac:dyDescent="0.35">
      <c r="AM136" s="99"/>
      <c r="AV136" s="99"/>
    </row>
    <row r="137" spans="7:48" ht="15.6" thickTop="1" thickBot="1" x14ac:dyDescent="0.35">
      <c r="J137" s="35">
        <f>IF(G141=0,0,D119)</f>
        <v>40</v>
      </c>
      <c r="AM137" s="99"/>
      <c r="AV137" s="99"/>
    </row>
    <row r="138" spans="7:48" ht="15.6" thickTop="1" thickBot="1" x14ac:dyDescent="0.35">
      <c r="P138" s="35">
        <f>J137/(1+M141)</f>
        <v>40</v>
      </c>
      <c r="AM138" s="99"/>
      <c r="AV138" s="99"/>
    </row>
    <row r="139" spans="7:48" ht="15" thickTop="1" x14ac:dyDescent="0.3">
      <c r="AM139" s="99"/>
      <c r="AV139" s="99"/>
    </row>
    <row r="140" spans="7:48" ht="15" thickBot="1" x14ac:dyDescent="0.35">
      <c r="AM140" s="99"/>
      <c r="AV140" s="99"/>
    </row>
    <row r="141" spans="7:48" ht="15.6" thickTop="1" thickBot="1" x14ac:dyDescent="0.35">
      <c r="G141" s="63">
        <v>1</v>
      </c>
      <c r="M141" s="63">
        <v>0</v>
      </c>
      <c r="T141" s="63">
        <v>9</v>
      </c>
      <c r="AA141" s="63">
        <v>0</v>
      </c>
      <c r="AM141" s="99"/>
      <c r="AV141" s="99"/>
    </row>
    <row r="142" spans="7:48" ht="15" thickTop="1" x14ac:dyDescent="0.3">
      <c r="AM142" s="99"/>
      <c r="AV142" s="99"/>
    </row>
    <row r="143" spans="7:48" x14ac:dyDescent="0.3">
      <c r="AM143" s="99"/>
      <c r="AV143" s="99"/>
    </row>
    <row r="144" spans="7:48" x14ac:dyDescent="0.3">
      <c r="AM144" s="99"/>
      <c r="AV144" s="99"/>
    </row>
    <row r="145" spans="27:48" x14ac:dyDescent="0.3">
      <c r="AM145" s="99"/>
      <c r="AV145" s="99"/>
    </row>
    <row r="146" spans="27:48" x14ac:dyDescent="0.3">
      <c r="AM146" s="100">
        <f>IF(G141=0,IF(K118=0,0,(1/K118)*(PHS_1+1)),IF(P138=0,0,(1/P138)*(EPHS_1+1)))*1000</f>
        <v>800</v>
      </c>
      <c r="AV146" s="100">
        <f>IF(AND(G165=1,K165=1,N165=1),IF(S162=0,0,(1/S162)*(FPHS_1+1)),IF(G141,IF(K118=0,0,(1/K118)*(PHS_1+1)),IF(P138=0,0,(1/P138)*(EPHS_1+1))))*1000</f>
        <v>200</v>
      </c>
    </row>
    <row r="147" spans="27:48" x14ac:dyDescent="0.3">
      <c r="AM147" s="100"/>
      <c r="AV147" s="100"/>
    </row>
    <row r="148" spans="27:48" ht="15" thickBot="1" x14ac:dyDescent="0.35">
      <c r="AM148" s="100"/>
      <c r="AV148" s="100"/>
    </row>
    <row r="149" spans="27:48" ht="15.6" thickTop="1" thickBot="1" x14ac:dyDescent="0.35">
      <c r="AA149" s="63">
        <v>31</v>
      </c>
      <c r="AM149" s="100"/>
      <c r="AV149" s="100"/>
    </row>
    <row r="150" spans="27:48" ht="15" thickTop="1" x14ac:dyDescent="0.3">
      <c r="AM150" s="100"/>
      <c r="AV150" s="100"/>
    </row>
    <row r="151" spans="27:48" x14ac:dyDescent="0.3">
      <c r="AM151" s="100"/>
      <c r="AV151" s="100"/>
    </row>
    <row r="152" spans="27:48" x14ac:dyDescent="0.3">
      <c r="AM152" s="100"/>
      <c r="AV152" s="100"/>
    </row>
    <row r="153" spans="27:48" x14ac:dyDescent="0.3">
      <c r="AM153" s="100"/>
      <c r="AV153" s="100"/>
    </row>
    <row r="154" spans="27:48" x14ac:dyDescent="0.3">
      <c r="AM154" s="100"/>
      <c r="AV154" s="100"/>
    </row>
    <row r="155" spans="27:48" ht="15" thickBot="1" x14ac:dyDescent="0.35">
      <c r="AM155" s="100"/>
      <c r="AV155" s="100"/>
    </row>
    <row r="156" spans="27:48" ht="15.6" thickTop="1" thickBot="1" x14ac:dyDescent="0.35">
      <c r="AA156" s="63">
        <v>23</v>
      </c>
      <c r="AM156" s="100"/>
      <c r="AV156" s="100"/>
    </row>
    <row r="157" spans="27:48" ht="15" thickTop="1" x14ac:dyDescent="0.3">
      <c r="AM157" s="100"/>
      <c r="AV157" s="100"/>
    </row>
    <row r="158" spans="27:48" x14ac:dyDescent="0.3">
      <c r="AM158" s="100"/>
      <c r="AV158" s="100"/>
    </row>
    <row r="159" spans="27:48" x14ac:dyDescent="0.3">
      <c r="AM159" s="100"/>
      <c r="AV159" s="100"/>
    </row>
    <row r="160" spans="27:48" ht="15" thickBot="1" x14ac:dyDescent="0.35">
      <c r="AM160" s="100"/>
      <c r="AV160" s="100"/>
    </row>
    <row r="161" spans="7:48" ht="15.6" thickTop="1" thickBot="1" x14ac:dyDescent="0.35">
      <c r="I161" s="35">
        <f>IF(G165=0,0,D119)</f>
        <v>40</v>
      </c>
      <c r="AM161" s="100"/>
      <c r="AV161" s="100"/>
    </row>
    <row r="162" spans="7:48" ht="15.6" thickTop="1" thickBot="1" x14ac:dyDescent="0.35">
      <c r="S162" s="35">
        <f>I161/(1+Q165)</f>
        <v>40</v>
      </c>
      <c r="AM162" s="100"/>
      <c r="AV162" s="100"/>
    </row>
    <row r="163" spans="7:48" ht="15" thickTop="1" x14ac:dyDescent="0.3">
      <c r="AM163" s="100"/>
      <c r="AV163" s="100"/>
    </row>
    <row r="164" spans="7:48" ht="15" thickBot="1" x14ac:dyDescent="0.35">
      <c r="AM164" s="100"/>
      <c r="AV164" s="100"/>
    </row>
    <row r="165" spans="7:48" ht="15.6" thickTop="1" thickBot="1" x14ac:dyDescent="0.35">
      <c r="G165" s="63">
        <v>1</v>
      </c>
      <c r="K165" s="63">
        <v>1</v>
      </c>
      <c r="N165" s="63">
        <v>1</v>
      </c>
      <c r="Q165" s="63">
        <v>0</v>
      </c>
      <c r="U165" s="63">
        <v>3</v>
      </c>
      <c r="AA165" s="63">
        <v>20</v>
      </c>
      <c r="AM165" s="100"/>
      <c r="AV165" s="100"/>
    </row>
    <row r="166" spans="7:48" ht="15" thickTop="1" x14ac:dyDescent="0.3">
      <c r="AM166" s="100"/>
      <c r="AV166" s="100"/>
    </row>
    <row r="167" spans="7:48" x14ac:dyDescent="0.3">
      <c r="AM167" s="100"/>
      <c r="AV167" s="100"/>
    </row>
    <row r="168" spans="7:48" x14ac:dyDescent="0.3">
      <c r="AM168" s="101">
        <f>IF(G141=0,IF(K118=0,0,(1/K118)*(PHS_2+1)),IF(P138=0,0,(1/P138)*(EPHS_2+1)))*1000</f>
        <v>600.00000000000011</v>
      </c>
      <c r="AV168" s="101">
        <f>IF(AND(G165=1,K165=1,N165=1),IF(S162=0,0,(1/S162)*(FPHS_2+1)),IF(G141,IF(K118=0,0,(1/K118)*(PHS_2+1)),IF(P138=0,0,(1/P138)*(EPHS_2+1))))*1000</f>
        <v>200</v>
      </c>
    </row>
    <row r="169" spans="7:48" x14ac:dyDescent="0.3">
      <c r="AM169" s="101"/>
      <c r="AV169" s="101"/>
    </row>
    <row r="170" spans="7:48" x14ac:dyDescent="0.3">
      <c r="AM170" s="101"/>
      <c r="AV170" s="101"/>
    </row>
    <row r="171" spans="7:48" x14ac:dyDescent="0.3">
      <c r="AM171" s="101"/>
      <c r="AV171" s="101"/>
    </row>
    <row r="172" spans="7:48" ht="15" thickBot="1" x14ac:dyDescent="0.35">
      <c r="AM172" s="101"/>
      <c r="AV172" s="101"/>
    </row>
    <row r="173" spans="7:48" ht="15.6" thickTop="1" thickBot="1" x14ac:dyDescent="0.35">
      <c r="AA173" s="63">
        <v>7</v>
      </c>
      <c r="AM173" s="101"/>
      <c r="AV173" s="101"/>
    </row>
    <row r="174" spans="7:48" ht="15" thickTop="1" x14ac:dyDescent="0.3">
      <c r="AM174" s="101"/>
      <c r="AV174" s="101"/>
    </row>
    <row r="175" spans="7:48" x14ac:dyDescent="0.3">
      <c r="AM175" s="101"/>
      <c r="AV175" s="101"/>
    </row>
    <row r="176" spans="7:48" x14ac:dyDescent="0.3">
      <c r="AM176" s="101"/>
      <c r="AV176" s="101"/>
    </row>
    <row r="177" spans="27:48" x14ac:dyDescent="0.3">
      <c r="AM177" s="101"/>
      <c r="AV177" s="101"/>
    </row>
    <row r="178" spans="27:48" x14ac:dyDescent="0.3">
      <c r="AM178" s="101"/>
      <c r="AV178" s="101"/>
    </row>
    <row r="179" spans="27:48" ht="15" thickBot="1" x14ac:dyDescent="0.35">
      <c r="AM179" s="101"/>
      <c r="AV179" s="101"/>
    </row>
    <row r="180" spans="27:48" ht="15.6" thickTop="1" thickBot="1" x14ac:dyDescent="0.35">
      <c r="AA180" s="63">
        <v>7</v>
      </c>
    </row>
    <row r="181" spans="27:48" ht="15" thickTop="1" x14ac:dyDescent="0.3"/>
  </sheetData>
  <mergeCells count="16">
    <mergeCell ref="AM119:AM145"/>
    <mergeCell ref="AM146:AM167"/>
    <mergeCell ref="AM168:AM179"/>
    <mergeCell ref="AM11:AM20"/>
    <mergeCell ref="AM21:AM47"/>
    <mergeCell ref="AM48:AM69"/>
    <mergeCell ref="AM70:AM81"/>
    <mergeCell ref="AM109:AM118"/>
    <mergeCell ref="AV119:AV145"/>
    <mergeCell ref="AV146:AV167"/>
    <mergeCell ref="AV168:AV179"/>
    <mergeCell ref="AV11:AV20"/>
    <mergeCell ref="AV21:AV47"/>
    <mergeCell ref="AV48:AV69"/>
    <mergeCell ref="AV70:AV81"/>
    <mergeCell ref="AV109:AV118"/>
  </mergeCells>
  <dataValidations count="31">
    <dataValidation allowBlank="1" showInputMessage="1" showErrorMessage="1" promptTitle="What is the SYNC_SEG?" prompt="SYNC_SEG lasts 1 time quantum, 1/Sclock." sqref="AM109:AM114 AM11:AM16" xr:uid="{00000000-0002-0000-0700-000000000000}"/>
    <dataValidation type="list" allowBlank="1" showInputMessage="1" showErrorMessage="1" promptTitle="What is this?" prompt="FRJW defines the number of &quot;time quanta&quot; (aka Sclock periods) that can be changed with one resync. Reflected in this tool.  The cells for Phase 1, Propagation, and Phase 2 segments are lists whose values depend on the current value and the value of FRJW." sqref="U67 U165" xr:uid="{00000000-0002-0000-0700-000001000000}">
      <formula1>"0,1,2,3"</formula1>
    </dataValidation>
    <dataValidation type="list" allowBlank="1" showInputMessage="1" showErrorMessage="1" promptTitle="What is this?" prompt="ERJW defines the number of &quot;time quanta&quot; (aka Sclock periods) that can be changed with one resync. Reflected in this tool.  The cells for Phase 1, Propagation, and Phase 2 segments are lists whose values depend on the current value and the value of ERJW." sqref="T43 T141" xr:uid="{00000000-0002-0000-0700-000002000000}">
      <formula1>"0,1,2,3,4,5,6,7,8,9,10,11,12,13,14,15"</formula1>
    </dataValidation>
    <dataValidation type="whole" allowBlank="1" showInputMessage="1" showErrorMessage="1" errorTitle="Extended Sclock Prescaler" error="The extended prescaler must be between 0 and 1023." promptTitle="What is this?" prompt="Parallel to CAN0 Sclock Prescaler block, but provides more range. Supercedes CAN0 Sclock Prescaler block if CAN0 Ext. Format Enable block is set." sqref="M43" xr:uid="{00000000-0002-0000-0700-000003000000}">
      <formula1>0</formula1>
      <formula2>1023</formula2>
    </dataValidation>
    <dataValidation type="list" allowBlank="1" showInputMessage="1" showErrorMessage="1" errorTitle="Extended Phase Segment 2" error="The value must be between 0 and 31." promptTitle="Extended Phase Segment 2" prompt="Parallel to CAN0 Phase Seg. 2 block, but provides more range. Supercedes CAN0 Phase Seg. 2 block if CAN0 Ext. Format Enable block is set." sqref="AA58" xr:uid="{00000000-0002-0000-0700-000004000000}">
      <formula1>INDIRECT(INDEX(FlexCAN_Jump_Values_Extended,CAN0_EPHS_2+2,CAN0_ERJW+2))</formula1>
    </dataValidation>
    <dataValidation type="list" allowBlank="1" showInputMessage="1" showErrorMessage="1" errorTitle="Extended Phase Segment 1" error="The value must be between 0 and 31." promptTitle="Extended Phase Segment 1" prompt="This is a parallel block to CAN0 Phase Seg. 1 block, but provides greater range. Supercedes CAN0 Phase Seg. 1 block when CAN0 Ext. Format Enable block is set." sqref="AA51" xr:uid="{00000000-0002-0000-0700-000005000000}">
      <formula1>INDIRECT(INDEX(FlexCAN_Jump_Values_Extended,CAN0_EPHS_1+2,CAN0_ERJW+2))</formula1>
    </dataValidation>
    <dataValidation type="list" allowBlank="1" showInputMessage="1" showErrorMessage="1" errorTitle="Extended Propagation Segment" error="The divider value must be between 0 and 63" promptTitle="Extended Propagation Segment" prompt="This is parallel to CAN0 Propagation Segment block, but provides more bits. Supercedes CAN0 Propagation Segment block if CAN0 Ext. Format Enable block is enabled." sqref="AA43" xr:uid="{00000000-0002-0000-0700-000006000000}">
      <formula1>INDIRECT(INDEX(FlexCAN_Prop_Jump_Values_Extended,CAN0_EPROP+2,CAN0_ERJW+2))</formula1>
    </dataValidation>
    <dataValidation type="whole" allowBlank="1" showInputMessage="1" showErrorMessage="1" errorTitle="Sclock Divider" error="Enter any integer between 0 and 255." promptTitle="What is this?" prompt="The Sclock is calculated from the protocol clock and used to produce the time segments.  Time segments are defined in terms of &quot;time quanta&quot;. One time quanta = 1 Sclock Period. Sclock_freq = PE_Clock/(PRESDIV+1)." sqref="I122 I24" xr:uid="{00000000-0002-0000-0700-000007000000}">
      <formula1>0</formula1>
      <formula2>255</formula2>
    </dataValidation>
    <dataValidation type="list" allowBlank="1" showInputMessage="1" showErrorMessage="1" promptTitle="What is this?" prompt="RJW defines the number of &quot;time quanta&quot; (aka Sclock periods) that can be changed with one resync. Reflected in this tool.  The cells for Phase 1, Propagation, and Phase 2 segments are lists whose values depend on the current value and the value of RJW." sqref="M24 M122" xr:uid="{00000000-0002-0000-0700-000008000000}">
      <formula1>"0,1,2,3"</formula1>
    </dataValidation>
    <dataValidation type="list" allowBlank="1" showInputMessage="1" showErrorMessage="1" promptTitle="Propagation Segment Frequency" prompt="Determines the length, in ns, of the propagation segment. The propagation segment is (PROPSEG+1)*Time-Quanta, which means (PROSEG+1)*(1/Sclock)." sqref="Q24" xr:uid="{00000000-0002-0000-0700-000009000000}">
      <formula1>INDIRECT(INDEX(FlexCAN_Jump_Values_Normal,CAN0_PROP+2,CAN0_RJW+2))</formula1>
    </dataValidation>
    <dataValidation type="list" allowBlank="1" showInputMessage="1" showErrorMessage="1" promptTitle="Phase Segment 1" prompt="Determines the length, in ns, of the phase segment 1. The phase segment 1 is (PSEG1+1)*Time-Quanta, which means (PSEG1+1)*(1/Sclock)." sqref="Q17" xr:uid="{00000000-0002-0000-0700-00000A000000}">
      <formula1>INDIRECT(INDEX(FlexCAN_Jump_Values_Extended,CAN0_PHS_1+2,CAN0_RJW+2))</formula1>
    </dataValidation>
    <dataValidation type="list" allowBlank="1" showInputMessage="1" showErrorMessage="1" promptTitle="Phase Segment 2" prompt="Determines the length, in ns, of the phase segment 2. The phase segment 2 is (PSEG2+1)*Time-Quanta, which means (PSEG2+1)*(1/Sclock)." sqref="Q31" xr:uid="{00000000-0002-0000-0700-00000B000000}">
      <formula1>INDIRECT(INDEX(FlexCAN_Jump_Values_Normal,CAN0_PHS_2+2,CAN0_RJW+2))</formula1>
    </dataValidation>
    <dataValidation type="list" allowBlank="1" showInputMessage="1" showErrorMessage="1" promptTitle="What is this?" prompt="These fields are parallel to the other CAN segment settings. They provide a wider range with which to program. When this field is set, the following extended settings are used to generate a CAN bit frame instead of the normal setting blocks." sqref="G141 G43" xr:uid="{00000000-0002-0000-0700-00000C000000}">
      <formula1>"0,1"</formula1>
    </dataValidation>
    <dataValidation type="list" allowBlank="1" showInputMessage="1" showErrorMessage="1" promptTitle="What is CANFD?" prompt="CAN with Flexible Data Rate is another protocol that FlexCAN supports." sqref="G165 G67" xr:uid="{00000000-0002-0000-0700-00000D000000}">
      <formula1>"0,1"</formula1>
    </dataValidation>
    <dataValidation type="list" allowBlank="1" showInputMessage="1" showErrorMessage="1" promptTitle="What is this?" prompt="This block controls whether CAN FD will use CANFD segment settings or the normal settings." sqref="K165 K67" xr:uid="{00000000-0002-0000-0700-00000E000000}">
      <formula1>"0,1"</formula1>
    </dataValidation>
    <dataValidation type="list" allowBlank="1" showInputMessage="1" showErrorMessage="1" promptTitle="What is this?" prompt="The BRS bit is a bit that is part of the CANFD message buffer.  When both BRS and FDRATE are set, then the CANFD message settings are used instead of the nominal settings." sqref="N165 N67" xr:uid="{00000000-0002-0000-0700-00000F000000}">
      <formula1>"0,1"</formula1>
    </dataValidation>
    <dataValidation type="whole" allowBlank="1" showInputMessage="1" showErrorMessage="1" promptTitle="What is this?" prompt="Parallel to CAN0 Sclock Prescaler block, but for FD protocol. Supercedes CAN0 Sclock Prescaler block if both CAN0 Bit Rate Switch and CAN0 BRS blocks are set." sqref="Q67" xr:uid="{00000000-0002-0000-0700-000010000000}">
      <formula1>0</formula1>
      <formula2>1023</formula2>
    </dataValidation>
    <dataValidation type="list" allowBlank="1" showInputMessage="1" showErrorMessage="1" errorTitle="Extended Propagation Segment" error="The divider value must be between 0 and 63" promptTitle="FD Propagation Segment" prompt="This is parallel to CAN0 Propagation Segment block, but for CAN FD protocol. Supercedes CAN0 Propagation Segment block if CAN0 Bit Rate Switch and CAN0 BRS are both set. Hardware does NOT add 1." sqref="AA67" xr:uid="{00000000-0002-0000-0700-000011000000}">
      <formula1>INDIRECT(INDEX(FlexCAN_Prop_Jump_Values_FD,CAN0_FPROP+2,CAN0_FRJW+2))</formula1>
    </dataValidation>
    <dataValidation type="list" allowBlank="1" showInputMessage="1" showErrorMessage="1" errorTitle="Extended Phase Segment 1" error="The value must be between 0 and 31." promptTitle="FD Phase Segment 1" prompt="This is a parallel block to CAN0 Phase Seg. 1 block, but for CAN FD protocol. Supercedes CAN0 Phase Seg. 1 block when CAN0 Bit Rate Switch and CAN0 BRS blocks are both set." sqref="AA75" xr:uid="{00000000-0002-0000-0700-000012000000}">
      <formula1>INDIRECT(INDEX(FlexCAN_Jump_Values_Normal,CAN0_FPHS_1+2,CAN0_FRJW+2))</formula1>
    </dataValidation>
    <dataValidation type="list" allowBlank="1" showInputMessage="1" showErrorMessage="1" errorTitle="Extended Phase Segment 2" error="The value must be between 0 and 31." promptTitle="FD Phase Segment 2" prompt="Parallel to CAN0 Phase Seg. 2 block, but for CAN FD protocol. Supercedes CAN0 Phase Seg. 2 block if CAN0 Bit Rate Switch and CAN0 BRS blocks are set." sqref="AA82" xr:uid="{00000000-0002-0000-0700-000013000000}">
      <formula1>INDIRECT(INDEX(FlexCAN_Jump_Values_Normal,CAN0_FPHS_2+2,CAN0_FRJW+2))</formula1>
    </dataValidation>
    <dataValidation type="whole" allowBlank="1" showInputMessage="1" showErrorMessage="1" errorTitle="Extended Sclock Prescaler" error="The extended prescaler must be between 0 and 1023." promptTitle="What is this?" prompt="Parallel to CANx Sclock Prescaler block, but provides more range. Supercedes CANx Sclock Prescaler block if CANx Ext. Format Enable block is set." sqref="M141" xr:uid="{00000000-0002-0000-0700-000014000000}">
      <formula1>0</formula1>
      <formula2>1023</formula2>
    </dataValidation>
    <dataValidation type="list" allowBlank="1" showInputMessage="1" showErrorMessage="1" errorTitle="Extended Propagation Segment" error="The divider value must be between 0 and 63" promptTitle="Extended Propagation Segment" prompt="This is parallel to CANx Propagation Segment block, but provides more bits. Supercedes CANx Propagation Segment block if CANx Ext. Format Enable block is enabled." sqref="AA141" xr:uid="{00000000-0002-0000-0700-000015000000}">
      <formula1>INDIRECT(INDEX(FlexCAN_Prop_Jump_Values_Extended,EPROP+2,ERJW+2))</formula1>
    </dataValidation>
    <dataValidation type="list" allowBlank="1" showInputMessage="1" showErrorMessage="1" errorTitle="Extended Phase Segment 1" error="The value must be between 0 and 31." promptTitle="Extended Phase Segment 1" prompt="This is a parallel block to CANx Phase Seg. 1 block, but provides greater range. Supercedes CANx Phase Seg. 1 block when CANx Ext. Format Enable block is set." sqref="AA149" xr:uid="{00000000-0002-0000-0700-000016000000}">
      <formula1>INDIRECT(INDEX(FlexCAN_Jump_Values_Extended,EPHS_1+2,ERJW+2))</formula1>
    </dataValidation>
    <dataValidation type="list" allowBlank="1" showInputMessage="1" showErrorMessage="1" errorTitle="Extended Phase Segment 2" error="The value must be between 0 and 31." promptTitle="Extended Phase Segment 2" prompt="Parallel to CANx Phase Seg. 2 block, but provides more range. Supercedes CANx Phase Seg. 2 block if CANx Ext. Format Enable block is set." sqref="AA156" xr:uid="{00000000-0002-0000-0700-000017000000}">
      <formula1>INDIRECT(INDEX(FlexCAN_Jump_Values_Extended,EPHS_2+2,ERJW+2))</formula1>
    </dataValidation>
    <dataValidation type="whole" allowBlank="1" showInputMessage="1" showErrorMessage="1" promptTitle="What is this?" prompt="Parallel to CANx Sclock Prescaler block, but for FD protocol. Supercedes CANx Sclock Prescaler block if both CANx Bit Rate Switch and CANx BRS blocks are set." sqref="Q165" xr:uid="{00000000-0002-0000-0700-000018000000}">
      <formula1>0</formula1>
      <formula2>1023</formula2>
    </dataValidation>
    <dataValidation type="list" allowBlank="1" showInputMessage="1" showErrorMessage="1" errorTitle="Extended Propagation Segment" error="The divider value must be between 0 and 63" promptTitle="FD Propagation Segment" prompt="This is parallel to CANx Propagation Segment block, but for CAN FD protocol. Supercedes CANx Propagation Segment block if CANx Bit Rate Switch and CANx BRS are both set. Hardware does NOT add 1." sqref="AA165" xr:uid="{00000000-0002-0000-0700-000019000000}">
      <formula1>INDIRECT(INDEX(FlexCAN_Prop_Jump_Values_FD,FPROP+2,FRJW+2))</formula1>
    </dataValidation>
    <dataValidation type="list" allowBlank="1" showInputMessage="1" showErrorMessage="1" errorTitle="Extended Phase Segment 1" error="The value must be between 0 and 31." promptTitle="FD Phase Segment 1" prompt="This is a parallel block to CANx Phase Seg. 1 block, but for CAN FD protocol. Supercedes CANx Phase Seg. 1 block when CANx Bit Rate Switch and CANx BRS blocks are both set." sqref="AA173" xr:uid="{00000000-0002-0000-0700-00001A000000}">
      <formula1>INDIRECT(INDEX(FlexCAN_Jump_Values_Normal,FPHS_1+2,FRJW+2))</formula1>
    </dataValidation>
    <dataValidation type="list" allowBlank="1" showInputMessage="1" showErrorMessage="1" errorTitle="Extended Phase Segment 2" error="The value must be between 0 and 31." promptTitle="FD Phase Segment 2" prompt="Parallel to CANx Phase Seg. 2 block, but for CAN FD protocol. Supercedes CANx Phase Seg. 2 block if CANx Bit Rate Switch and CANx BRS blocks are set." sqref="AA180" xr:uid="{00000000-0002-0000-0700-00001B000000}">
      <formula1>INDIRECT(INDEX(FlexCAN_Jump_Values_Normal,FPHS_2+2,FRJW+2))</formula1>
    </dataValidation>
    <dataValidation type="list" allowBlank="1" showInputMessage="1" showErrorMessage="1" promptTitle="Phase Segment 1" prompt="Determines the length, in ns, of the phase segment 1. The phase segment 1 is (PSEG1+1)*Time-Quanta, which means (PSEG1+1)*(1/Sclock)." sqref="Q115" xr:uid="{00000000-0002-0000-0700-00001C000000}">
      <formula1>INDIRECT(INDEX(FlexCAN_Jump_Values_Normal,PHS_1+2,JW+2))</formula1>
    </dataValidation>
    <dataValidation type="list" allowBlank="1" showInputMessage="1" showErrorMessage="1" promptTitle="Propagation Segment Frequency" prompt="Determines the length, in ns, of the propagation segment. The propagation segment is (PROPSEG+1)*Time-Quanta, which means (PROSEG+1)*(1/Sclock)." sqref="Q122" xr:uid="{00000000-0002-0000-0700-00001D000000}">
      <formula1>INDIRECT(INDEX(FlexCAN_Jump_Values_Normal,PROP+2,JW+2))</formula1>
    </dataValidation>
    <dataValidation type="list" allowBlank="1" showInputMessage="1" showErrorMessage="1" promptTitle="Phase Segment 2" prompt="Determines the length, in ns, of the phase segment 2. The phase segment 2 is (PSEG2+1)*Time-Quanta, which means (PSEG2+1)*(1/Sclock)." sqref="Q129" xr:uid="{00000000-0002-0000-0700-00001E000000}">
      <formula1>INDIRECT(INDEX(FlexCAN_Jump_Values_Normal,PHS_2+2,JW+2))</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D4:AF21"/>
  <sheetViews>
    <sheetView tabSelected="1" topLeftCell="D1" zoomScale="85" zoomScaleNormal="85" workbookViewId="0">
      <selection activeCell="M12" sqref="M12"/>
    </sheetView>
  </sheetViews>
  <sheetFormatPr defaultRowHeight="14.4" x14ac:dyDescent="0.3"/>
  <sheetData>
    <row r="4" spans="4:32" x14ac:dyDescent="0.3">
      <c r="AA4" s="5"/>
      <c r="AB4" t="s">
        <v>4</v>
      </c>
    </row>
    <row r="5" spans="4:32" x14ac:dyDescent="0.3">
      <c r="AA5" s="7"/>
      <c r="AB5" t="s">
        <v>60</v>
      </c>
    </row>
    <row r="8" spans="4:32" ht="15" thickBot="1" x14ac:dyDescent="0.35"/>
    <row r="9" spans="4:32" ht="15.6" thickTop="1" thickBot="1" x14ac:dyDescent="0.35">
      <c r="D9" s="35">
        <f>IF(OR(Tree!S31="RESET",Tree!S31="SAFE",Tree!S31="DRUN",Tree!S31="RUN0",Tree!S31="RUN1",Tree!S31="RUN2",Tree!S31="RUN3"),IF(Tree!$G$24=0,Tree!D16,Tree!F33),0)</f>
        <v>40</v>
      </c>
      <c r="J9" s="35">
        <f>IF(H11=0,F10,F10/H11)</f>
        <v>20</v>
      </c>
      <c r="U9" s="130">
        <f>IF(S11=0,0,J9*(M11+(P11/S11)))</f>
        <v>640</v>
      </c>
      <c r="AB9" s="36">
        <f>IF(OR(Tree!S31="DRUN",Tree!S31="RUN0",Tree!S31="RUN1",Tree!S31="RUN2",Tree!S31="RUN3"),U9/(2*POWER(2,X11)),0)</f>
        <v>160</v>
      </c>
      <c r="AF9" s="33"/>
    </row>
    <row r="10" spans="4:32" ht="15.6" thickTop="1" thickBot="1" x14ac:dyDescent="0.35">
      <c r="F10" s="35">
        <f>IF(E17=1,D9,0)</f>
        <v>40</v>
      </c>
    </row>
    <row r="11" spans="4:32" ht="15.6" thickTop="1" thickBot="1" x14ac:dyDescent="0.35">
      <c r="H11" s="63">
        <v>2</v>
      </c>
      <c r="M11" s="63">
        <v>32</v>
      </c>
      <c r="P11" s="63">
        <v>0</v>
      </c>
      <c r="S11" s="63">
        <v>1</v>
      </c>
      <c r="X11" s="63">
        <v>1</v>
      </c>
    </row>
    <row r="12" spans="4:32" ht="15" thickTop="1" x14ac:dyDescent="0.3"/>
    <row r="16" spans="4:32" ht="15" thickBot="1" x14ac:dyDescent="0.35"/>
    <row r="17" spans="5:32" ht="15.6" thickTop="1" thickBot="1" x14ac:dyDescent="0.35">
      <c r="E17" s="35">
        <f>IF(Tree!S31="DRUN",'Clock Source Control'!BO11,IF(Tree!S31="RUN0",'Clock Source Control'!BO21,IF(Tree!S31="RUN1",'Clock Source Control'!BO31,IF(Tree!S31="RUN2",'Clock Source Control'!BO42,IF(Tree!S31="RUN3",'Clock Source Control'!BO54,0)))))</f>
        <v>1</v>
      </c>
    </row>
    <row r="18" spans="5:32" ht="15.6" thickTop="1" thickBot="1" x14ac:dyDescent="0.35">
      <c r="AB18" s="36">
        <f>IF(OR(Tree!S31="DRUN",Tree!S31="RUN0",Tree!S31="RUN1",Tree!S31="RUN2",Tree!S31="RUN3"),U9/(2*POWER(2,X20)),0)</f>
        <v>80</v>
      </c>
      <c r="AF18" s="33"/>
    </row>
    <row r="19" spans="5:32" ht="15.6" thickTop="1" thickBot="1" x14ac:dyDescent="0.35"/>
    <row r="20" spans="5:32" ht="15.6" thickTop="1" thickBot="1" x14ac:dyDescent="0.35">
      <c r="X20" s="63">
        <v>2</v>
      </c>
    </row>
    <row r="21" spans="5:32" ht="15" thickTop="1" x14ac:dyDescent="0.3"/>
  </sheetData>
  <conditionalFormatting sqref="P33">
    <cfRule type="expression" dxfId="12" priority="8">
      <formula>$E$17=0</formula>
    </cfRule>
  </conditionalFormatting>
  <conditionalFormatting sqref="J9">
    <cfRule type="cellIs" dxfId="11" priority="6" operator="lessThan">
      <formula>8</formula>
    </cfRule>
    <cfRule type="cellIs" dxfId="10" priority="5" operator="greaterThan">
      <formula>40</formula>
    </cfRule>
    <cfRule type="cellIs" dxfId="9" priority="4" operator="lessThan">
      <formula>6.666666667</formula>
    </cfRule>
  </conditionalFormatting>
  <conditionalFormatting sqref="AB9">
    <cfRule type="cellIs" dxfId="8" priority="3" operator="greaterThan">
      <formula>160</formula>
    </cfRule>
  </conditionalFormatting>
  <conditionalFormatting sqref="AB18">
    <cfRule type="cellIs" dxfId="7" priority="2" operator="greaterThan">
      <formula>80</formula>
    </cfRule>
  </conditionalFormatting>
  <conditionalFormatting sqref="U9">
    <cfRule type="cellIs" dxfId="0" priority="1" operator="between">
      <formula>600</formula>
      <formula>1280</formula>
    </cfRule>
  </conditionalFormatting>
  <dataValidations count="8">
    <dataValidation type="list" allowBlank="1" showInputMessage="1" showErrorMessage="1" errorTitle="Invalid Prescaler" error="FMPLL prescaler value can be any integer from 0 to 6" promptTitle="FMPLL Prescaler Range" prompt="FMPLL prescaler value can be any integer from 0 to 6." sqref="H11" xr:uid="{00000000-0002-0000-0800-000000000000}">
      <formula1>"0,1,2,3,4,5,6"</formula1>
    </dataValidation>
    <dataValidation type="whole" allowBlank="1" showInputMessage="1" showErrorMessage="1" errorTitle="Invalid Integer Multiplier" error="FMPLL integer multiplier can be any integer from 10 to 150." promptTitle="FMPLL Integer Multiplier" prompt="FMPLL integer multiplier can be any integer from 10 to 150." sqref="M11" xr:uid="{00000000-0002-0000-0800-000001000000}">
      <formula1>10</formula1>
      <formula2>150</formula2>
    </dataValidation>
    <dataValidation type="whole" allowBlank="1" showInputMessage="1" showErrorMessage="1" errorTitle="Invalid Numerator" error="The numerator value can be any integer from 0 to 16383." promptTitle="Fractional Numerator" prompt="The numerator value can be any integer from 0 to 16383." sqref="P11" xr:uid="{00000000-0002-0000-0800-000002000000}">
      <formula1>0</formula1>
      <formula2>16383</formula2>
    </dataValidation>
    <dataValidation type="whole" allowBlank="1" showInputMessage="1" showErrorMessage="1" errorTitle="Invalid Denominator" error="Fractional denominator must satisfy two conditions:_x000a_1) Must be an integer between 1 and 65535_x000a_2) Must be greater than or equal to value of fractional numerator" promptTitle="Fractional Denominator" prompt="Fractional denominator must satisfy two conditions:_x000a_1) Must be an integer between 1 and 65535_x000a_2) Must be greater than or equal to value of fractional numerator" sqref="S11" xr:uid="{00000000-0002-0000-0800-000003000000}">
      <formula1>IF(P11&gt;0,P11,1)</formula1>
      <formula2>65536</formula2>
    </dataValidation>
    <dataValidation type="list" allowBlank="1" showInputMessage="1" showErrorMessage="1" sqref="X11 X20" xr:uid="{00000000-0002-0000-0800-000004000000}">
      <formula1>"0,1,2,3,4"</formula1>
    </dataValidation>
    <dataValidation allowBlank="1" showInputMessage="1" showErrorMessage="1" promptTitle="FMPLL Input" prompt="FMPLL input must be between 8 and 40 MHz." sqref="D9" xr:uid="{00000000-0002-0000-0800-000005000000}"/>
    <dataValidation allowBlank="1" showInputMessage="1" showErrorMessage="1" promptTitle="FMPLL_PHI0 Limits" prompt="FMPLL_PHI0 must be no greater than 160 MHz and the associated VCO must be between 600 and 1280 MHz." sqref="AB9" xr:uid="{00000000-0002-0000-0800-000006000000}"/>
    <dataValidation allowBlank="1" showInputMessage="1" showErrorMessage="1" promptTitle="FMPLL_PHI1" prompt="FMPLL_PHI1 must be no greater than 80 MHz and the associated VCO must be between 600 and 1280 MHz." sqref="AB18" xr:uid="{00000000-0002-0000-0800-000007000000}"/>
  </dataValidations>
  <pageMargins left="0.7" right="0.7" top="0.75" bottom="0.75" header="0.3"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N27"/>
  <sheetViews>
    <sheetView zoomScale="80" zoomScaleNormal="80" workbookViewId="0">
      <pane xSplit="3" ySplit="13" topLeftCell="D14" activePane="bottomRight" state="frozenSplit"/>
      <selection pane="topRight" activeCell="B1" sqref="B1"/>
      <selection pane="bottomLeft" activeCell="A11" sqref="A11"/>
      <selection pane="bottomRight" activeCell="A20" sqref="A20"/>
    </sheetView>
  </sheetViews>
  <sheetFormatPr defaultRowHeight="14.4" x14ac:dyDescent="0.3"/>
  <cols>
    <col min="3" max="3" width="7.44140625" customWidth="1"/>
    <col min="4" max="4" width="11.109375" customWidth="1"/>
    <col min="5" max="11" width="9.109375" customWidth="1"/>
  </cols>
  <sheetData>
    <row r="1" spans="1:144" ht="68.25" customHeight="1" x14ac:dyDescent="0.3">
      <c r="A1" s="115" t="s">
        <v>12</v>
      </c>
      <c r="B1" s="115"/>
      <c r="C1" s="115"/>
      <c r="D1" s="108" t="s">
        <v>58</v>
      </c>
      <c r="E1" s="109"/>
      <c r="F1" s="109"/>
      <c r="G1" s="109"/>
      <c r="H1" s="109"/>
      <c r="I1" s="109"/>
      <c r="J1" s="109"/>
      <c r="K1" s="109"/>
      <c r="L1" s="109"/>
      <c r="M1" s="109"/>
      <c r="N1" s="109"/>
      <c r="O1" s="109"/>
      <c r="P1" s="109"/>
      <c r="Q1" s="109"/>
      <c r="R1" s="109"/>
      <c r="S1" s="109"/>
      <c r="T1" s="110"/>
      <c r="U1" s="110"/>
      <c r="V1" s="110"/>
      <c r="W1" s="11"/>
      <c r="X1" s="11"/>
      <c r="Y1" s="11"/>
      <c r="Z1" s="11"/>
      <c r="AA1" s="11"/>
      <c r="AB1" s="11"/>
      <c r="AC1" s="11"/>
      <c r="AD1" s="11"/>
      <c r="AE1" s="11"/>
      <c r="AF1" s="11"/>
      <c r="AG1" s="11"/>
    </row>
    <row r="2" spans="1:144" ht="15.75" customHeight="1" thickBot="1" x14ac:dyDescent="0.35">
      <c r="A2" s="115"/>
      <c r="B2" s="115"/>
      <c r="C2" s="115"/>
      <c r="S2" s="43" t="s">
        <v>16</v>
      </c>
      <c r="U2">
        <f>FMPLL!D9</f>
        <v>40</v>
      </c>
      <c r="V2" s="106" t="s">
        <v>57</v>
      </c>
      <c r="W2" s="107"/>
      <c r="X2" s="107"/>
      <c r="Y2" s="107"/>
      <c r="Z2" s="107"/>
    </row>
    <row r="3" spans="1:144" ht="16.5" customHeight="1" thickTop="1" thickBot="1" x14ac:dyDescent="0.55000000000000004">
      <c r="A3" s="114" t="s">
        <v>15</v>
      </c>
      <c r="B3" s="114"/>
      <c r="C3" s="63">
        <v>160</v>
      </c>
      <c r="K3" s="4"/>
      <c r="L3" s="4"/>
      <c r="M3" s="15"/>
      <c r="O3" s="4"/>
      <c r="S3" s="43" t="s">
        <v>2</v>
      </c>
      <c r="U3">
        <f>C4</f>
        <v>2</v>
      </c>
      <c r="V3" s="107"/>
      <c r="W3" s="107"/>
      <c r="X3" s="107"/>
      <c r="Y3" s="107"/>
      <c r="Z3" s="107"/>
    </row>
    <row r="4" spans="1:144" ht="15.6" thickTop="1" thickBot="1" x14ac:dyDescent="0.35">
      <c r="A4" s="114" t="s">
        <v>2</v>
      </c>
      <c r="B4" s="114"/>
      <c r="C4" s="63">
        <v>2</v>
      </c>
      <c r="S4" s="43" t="s">
        <v>5</v>
      </c>
      <c r="U4">
        <f>C3</f>
        <v>160</v>
      </c>
      <c r="V4" s="107"/>
      <c r="W4" s="107"/>
      <c r="X4" s="107"/>
      <c r="Y4" s="107"/>
      <c r="Z4" s="107"/>
    </row>
    <row r="5" spans="1:144" ht="15" thickTop="1" x14ac:dyDescent="0.3">
      <c r="A5" s="25" t="s">
        <v>11</v>
      </c>
      <c r="S5" t="s">
        <v>0</v>
      </c>
      <c r="U5">
        <f>Limits!$B$5</f>
        <v>600</v>
      </c>
      <c r="V5" s="107"/>
      <c r="W5" s="107"/>
      <c r="X5" s="107"/>
      <c r="Y5" s="107"/>
      <c r="Z5" s="107"/>
    </row>
    <row r="6" spans="1:144" x14ac:dyDescent="0.3">
      <c r="S6" t="s">
        <v>1</v>
      </c>
      <c r="U6">
        <f>Limits!$B$6</f>
        <v>1280</v>
      </c>
      <c r="V6" s="107"/>
      <c r="W6" s="107"/>
      <c r="X6" s="107"/>
      <c r="Y6" s="107"/>
      <c r="Z6" s="107"/>
    </row>
    <row r="7" spans="1:144" ht="23.4" x14ac:dyDescent="0.3">
      <c r="N7" s="5"/>
      <c r="O7" t="s">
        <v>4</v>
      </c>
      <c r="S7" t="s">
        <v>32</v>
      </c>
      <c r="U7">
        <f>Limits!B8</f>
        <v>160</v>
      </c>
      <c r="V7" s="10"/>
      <c r="W7" s="10"/>
    </row>
    <row r="8" spans="1:144" ht="21.75" customHeight="1" thickBot="1" x14ac:dyDescent="0.55000000000000004">
      <c r="N8" s="7"/>
      <c r="O8" t="s">
        <v>30</v>
      </c>
      <c r="P8" s="4"/>
      <c r="R8" s="10"/>
      <c r="V8" s="10"/>
      <c r="W8" s="10"/>
    </row>
    <row r="9" spans="1:144" ht="15.75" customHeight="1" thickTop="1" thickBot="1" x14ac:dyDescent="0.35">
      <c r="D9" s="46" t="s">
        <v>27</v>
      </c>
      <c r="E9" s="47"/>
      <c r="F9" s="47"/>
      <c r="G9" s="65">
        <v>0</v>
      </c>
      <c r="N9" s="6"/>
      <c r="O9" t="s">
        <v>6</v>
      </c>
    </row>
    <row r="10" spans="1:144" ht="15" customHeight="1" thickTop="1" thickBot="1" x14ac:dyDescent="0.35">
      <c r="D10" s="48" t="s">
        <v>28</v>
      </c>
      <c r="E10" s="49"/>
      <c r="F10" s="49"/>
      <c r="G10" s="65">
        <v>564</v>
      </c>
      <c r="N10" s="18"/>
      <c r="O10" t="s">
        <v>5</v>
      </c>
      <c r="V10" s="10"/>
      <c r="W10" s="10"/>
    </row>
    <row r="11" spans="1:144" ht="30" customHeight="1" thickTop="1" x14ac:dyDescent="0.3">
      <c r="D11" s="104" t="s">
        <v>18</v>
      </c>
      <c r="E11" s="105"/>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5"/>
      <c r="CL11" s="105"/>
      <c r="CM11" s="105"/>
      <c r="CN11" s="105"/>
      <c r="CO11" s="105"/>
      <c r="CP11" s="105"/>
      <c r="CQ11" s="105"/>
      <c r="CR11" s="105"/>
      <c r="CS11" s="105"/>
      <c r="CT11" s="105"/>
      <c r="CU11" s="105"/>
      <c r="CV11" s="105"/>
      <c r="CW11" s="105"/>
      <c r="CX11" s="105"/>
      <c r="CY11" s="105"/>
      <c r="CZ11" s="105"/>
      <c r="DA11" s="105"/>
      <c r="DB11" s="105"/>
      <c r="DC11" s="105"/>
      <c r="DD11" s="105"/>
      <c r="DE11" s="105"/>
      <c r="DF11" s="105"/>
      <c r="DG11" s="105"/>
      <c r="DH11" s="105"/>
      <c r="DI11" s="105"/>
      <c r="DJ11" s="105"/>
      <c r="DK11" s="105"/>
      <c r="DL11" s="105"/>
      <c r="DM11" s="105"/>
      <c r="DN11" s="105"/>
      <c r="DO11" s="105"/>
      <c r="DP11" s="105"/>
      <c r="DQ11" s="105"/>
      <c r="DR11" s="105"/>
      <c r="DS11" s="105"/>
    </row>
    <row r="12" spans="1:144" x14ac:dyDescent="0.3">
      <c r="D12" s="16" t="str">
        <f>"0x"&amp;DEC2HEX(D13,2)</f>
        <v>0x0A</v>
      </c>
      <c r="E12" s="16" t="str">
        <f t="shared" ref="E12:BP12" si="0">"0x"&amp;DEC2HEX(E13,2)</f>
        <v>0x0B</v>
      </c>
      <c r="F12" s="16" t="str">
        <f t="shared" si="0"/>
        <v>0x0C</v>
      </c>
      <c r="G12" s="16" t="str">
        <f t="shared" si="0"/>
        <v>0x0D</v>
      </c>
      <c r="H12" s="16" t="str">
        <f t="shared" si="0"/>
        <v>0x0E</v>
      </c>
      <c r="I12" s="16" t="str">
        <f t="shared" si="0"/>
        <v>0x0F</v>
      </c>
      <c r="J12" s="16" t="str">
        <f t="shared" si="0"/>
        <v>0x10</v>
      </c>
      <c r="K12" s="16" t="str">
        <f t="shared" si="0"/>
        <v>0x11</v>
      </c>
      <c r="L12" s="16" t="str">
        <f t="shared" si="0"/>
        <v>0x12</v>
      </c>
      <c r="M12" s="16" t="str">
        <f t="shared" si="0"/>
        <v>0x13</v>
      </c>
      <c r="N12" s="16" t="str">
        <f t="shared" si="0"/>
        <v>0x14</v>
      </c>
      <c r="O12" s="16" t="str">
        <f t="shared" si="0"/>
        <v>0x15</v>
      </c>
      <c r="P12" s="16" t="str">
        <f t="shared" si="0"/>
        <v>0x16</v>
      </c>
      <c r="Q12" s="16" t="str">
        <f t="shared" si="0"/>
        <v>0x17</v>
      </c>
      <c r="R12" s="16" t="str">
        <f t="shared" si="0"/>
        <v>0x18</v>
      </c>
      <c r="S12" s="16" t="str">
        <f t="shared" si="0"/>
        <v>0x19</v>
      </c>
      <c r="T12" s="16" t="str">
        <f t="shared" si="0"/>
        <v>0x1A</v>
      </c>
      <c r="U12" s="16" t="str">
        <f t="shared" si="0"/>
        <v>0x1B</v>
      </c>
      <c r="V12" s="16" t="str">
        <f t="shared" si="0"/>
        <v>0x1C</v>
      </c>
      <c r="W12" s="16" t="str">
        <f t="shared" si="0"/>
        <v>0x1D</v>
      </c>
      <c r="X12" s="16" t="str">
        <f t="shared" si="0"/>
        <v>0x1E</v>
      </c>
      <c r="Y12" s="16" t="str">
        <f t="shared" si="0"/>
        <v>0x1F</v>
      </c>
      <c r="Z12" s="16" t="str">
        <f t="shared" si="0"/>
        <v>0x20</v>
      </c>
      <c r="AA12" s="16" t="str">
        <f t="shared" si="0"/>
        <v>0x21</v>
      </c>
      <c r="AB12" s="16" t="str">
        <f t="shared" si="0"/>
        <v>0x22</v>
      </c>
      <c r="AC12" s="16" t="str">
        <f t="shared" si="0"/>
        <v>0x23</v>
      </c>
      <c r="AD12" s="16" t="str">
        <f t="shared" si="0"/>
        <v>0x24</v>
      </c>
      <c r="AE12" s="16" t="str">
        <f t="shared" si="0"/>
        <v>0x25</v>
      </c>
      <c r="AF12" s="16" t="str">
        <f t="shared" si="0"/>
        <v>0x26</v>
      </c>
      <c r="AG12" s="16" t="str">
        <f t="shared" si="0"/>
        <v>0x27</v>
      </c>
      <c r="AH12" s="16" t="str">
        <f t="shared" si="0"/>
        <v>0x28</v>
      </c>
      <c r="AI12" s="16" t="str">
        <f t="shared" si="0"/>
        <v>0x29</v>
      </c>
      <c r="AJ12" s="16" t="str">
        <f t="shared" si="0"/>
        <v>0x2A</v>
      </c>
      <c r="AK12" s="16" t="str">
        <f t="shared" si="0"/>
        <v>0x2B</v>
      </c>
      <c r="AL12" s="16" t="str">
        <f t="shared" si="0"/>
        <v>0x2C</v>
      </c>
      <c r="AM12" s="16" t="str">
        <f t="shared" si="0"/>
        <v>0x2D</v>
      </c>
      <c r="AN12" s="16" t="str">
        <f t="shared" si="0"/>
        <v>0x2E</v>
      </c>
      <c r="AO12" s="16" t="str">
        <f t="shared" si="0"/>
        <v>0x2F</v>
      </c>
      <c r="AP12" s="16" t="str">
        <f t="shared" si="0"/>
        <v>0x30</v>
      </c>
      <c r="AQ12" s="16" t="str">
        <f t="shared" si="0"/>
        <v>0x31</v>
      </c>
      <c r="AR12" s="16" t="str">
        <f t="shared" si="0"/>
        <v>0x32</v>
      </c>
      <c r="AS12" s="16" t="str">
        <f t="shared" si="0"/>
        <v>0x33</v>
      </c>
      <c r="AT12" s="16" t="str">
        <f t="shared" si="0"/>
        <v>0x34</v>
      </c>
      <c r="AU12" s="16" t="str">
        <f t="shared" si="0"/>
        <v>0x35</v>
      </c>
      <c r="AV12" s="16" t="str">
        <f t="shared" si="0"/>
        <v>0x36</v>
      </c>
      <c r="AW12" s="16" t="str">
        <f t="shared" si="0"/>
        <v>0x37</v>
      </c>
      <c r="AX12" s="16" t="str">
        <f t="shared" si="0"/>
        <v>0x38</v>
      </c>
      <c r="AY12" s="16" t="str">
        <f t="shared" si="0"/>
        <v>0x39</v>
      </c>
      <c r="AZ12" s="16" t="str">
        <f t="shared" si="0"/>
        <v>0x3A</v>
      </c>
      <c r="BA12" s="16" t="str">
        <f t="shared" si="0"/>
        <v>0x3B</v>
      </c>
      <c r="BB12" s="16" t="str">
        <f t="shared" si="0"/>
        <v>0x3C</v>
      </c>
      <c r="BC12" s="16" t="str">
        <f t="shared" si="0"/>
        <v>0x3D</v>
      </c>
      <c r="BD12" s="16" t="str">
        <f t="shared" si="0"/>
        <v>0x3E</v>
      </c>
      <c r="BE12" s="16" t="str">
        <f t="shared" si="0"/>
        <v>0x3F</v>
      </c>
      <c r="BF12" s="16" t="str">
        <f t="shared" si="0"/>
        <v>0x40</v>
      </c>
      <c r="BG12" s="16" t="str">
        <f t="shared" si="0"/>
        <v>0x41</v>
      </c>
      <c r="BH12" s="16" t="str">
        <f t="shared" si="0"/>
        <v>0x42</v>
      </c>
      <c r="BI12" s="16" t="str">
        <f t="shared" si="0"/>
        <v>0x43</v>
      </c>
      <c r="BJ12" s="16" t="str">
        <f t="shared" si="0"/>
        <v>0x44</v>
      </c>
      <c r="BK12" s="16" t="str">
        <f t="shared" si="0"/>
        <v>0x45</v>
      </c>
      <c r="BL12" s="16" t="str">
        <f t="shared" si="0"/>
        <v>0x46</v>
      </c>
      <c r="BM12" s="16" t="str">
        <f t="shared" si="0"/>
        <v>0x47</v>
      </c>
      <c r="BN12" s="16" t="str">
        <f t="shared" si="0"/>
        <v>0x48</v>
      </c>
      <c r="BO12" s="16" t="str">
        <f t="shared" si="0"/>
        <v>0x49</v>
      </c>
      <c r="BP12" s="16" t="str">
        <f t="shared" si="0"/>
        <v>0x4A</v>
      </c>
      <c r="BQ12" s="16" t="str">
        <f t="shared" ref="BQ12:EB12" si="1">"0x"&amp;DEC2HEX(BQ13,2)</f>
        <v>0x4B</v>
      </c>
      <c r="BR12" s="16" t="str">
        <f t="shared" si="1"/>
        <v>0x4C</v>
      </c>
      <c r="BS12" s="16" t="str">
        <f t="shared" si="1"/>
        <v>0x4D</v>
      </c>
      <c r="BT12" s="16" t="str">
        <f t="shared" si="1"/>
        <v>0x4E</v>
      </c>
      <c r="BU12" s="16" t="str">
        <f t="shared" si="1"/>
        <v>0x4F</v>
      </c>
      <c r="BV12" s="16" t="str">
        <f t="shared" si="1"/>
        <v>0x50</v>
      </c>
      <c r="BW12" s="16" t="str">
        <f t="shared" si="1"/>
        <v>0x51</v>
      </c>
      <c r="BX12" s="16" t="str">
        <f t="shared" si="1"/>
        <v>0x52</v>
      </c>
      <c r="BY12" s="16" t="str">
        <f t="shared" si="1"/>
        <v>0x53</v>
      </c>
      <c r="BZ12" s="16" t="str">
        <f t="shared" si="1"/>
        <v>0x54</v>
      </c>
      <c r="CA12" s="16" t="str">
        <f t="shared" si="1"/>
        <v>0x55</v>
      </c>
      <c r="CB12" s="16" t="str">
        <f t="shared" si="1"/>
        <v>0x56</v>
      </c>
      <c r="CC12" s="16" t="str">
        <f t="shared" si="1"/>
        <v>0x57</v>
      </c>
      <c r="CD12" s="16" t="str">
        <f t="shared" si="1"/>
        <v>0x58</v>
      </c>
      <c r="CE12" s="16" t="str">
        <f t="shared" si="1"/>
        <v>0x59</v>
      </c>
      <c r="CF12" s="16" t="str">
        <f t="shared" si="1"/>
        <v>0x5A</v>
      </c>
      <c r="CG12" s="16" t="str">
        <f t="shared" si="1"/>
        <v>0x5B</v>
      </c>
      <c r="CH12" s="16" t="str">
        <f t="shared" si="1"/>
        <v>0x5C</v>
      </c>
      <c r="CI12" s="16" t="str">
        <f t="shared" si="1"/>
        <v>0x5D</v>
      </c>
      <c r="CJ12" s="16" t="str">
        <f t="shared" si="1"/>
        <v>0x5E</v>
      </c>
      <c r="CK12" s="16" t="str">
        <f t="shared" si="1"/>
        <v>0x5F</v>
      </c>
      <c r="CL12" s="16" t="str">
        <f t="shared" si="1"/>
        <v>0x60</v>
      </c>
      <c r="CM12" s="16" t="str">
        <f t="shared" si="1"/>
        <v>0x61</v>
      </c>
      <c r="CN12" s="16" t="str">
        <f t="shared" si="1"/>
        <v>0x62</v>
      </c>
      <c r="CO12" s="16" t="str">
        <f t="shared" si="1"/>
        <v>0x63</v>
      </c>
      <c r="CP12" s="16" t="str">
        <f t="shared" si="1"/>
        <v>0x64</v>
      </c>
      <c r="CQ12" s="16" t="str">
        <f t="shared" si="1"/>
        <v>0x65</v>
      </c>
      <c r="CR12" s="16" t="str">
        <f t="shared" si="1"/>
        <v>0x66</v>
      </c>
      <c r="CS12" s="16" t="str">
        <f t="shared" si="1"/>
        <v>0x67</v>
      </c>
      <c r="CT12" s="16" t="str">
        <f t="shared" si="1"/>
        <v>0x68</v>
      </c>
      <c r="CU12" s="16" t="str">
        <f t="shared" si="1"/>
        <v>0x69</v>
      </c>
      <c r="CV12" s="16" t="str">
        <f t="shared" si="1"/>
        <v>0x6A</v>
      </c>
      <c r="CW12" s="16" t="str">
        <f t="shared" si="1"/>
        <v>0x6B</v>
      </c>
      <c r="CX12" s="16" t="str">
        <f t="shared" si="1"/>
        <v>0x6C</v>
      </c>
      <c r="CY12" s="16" t="str">
        <f t="shared" si="1"/>
        <v>0x6D</v>
      </c>
      <c r="CZ12" s="16" t="str">
        <f t="shared" si="1"/>
        <v>0x6E</v>
      </c>
      <c r="DA12" s="16" t="str">
        <f t="shared" si="1"/>
        <v>0x6F</v>
      </c>
      <c r="DB12" s="16" t="str">
        <f t="shared" si="1"/>
        <v>0x70</v>
      </c>
      <c r="DC12" s="16" t="str">
        <f t="shared" si="1"/>
        <v>0x71</v>
      </c>
      <c r="DD12" s="16" t="str">
        <f t="shared" si="1"/>
        <v>0x72</v>
      </c>
      <c r="DE12" s="16" t="str">
        <f t="shared" si="1"/>
        <v>0x73</v>
      </c>
      <c r="DF12" s="16" t="str">
        <f t="shared" si="1"/>
        <v>0x74</v>
      </c>
      <c r="DG12" s="16" t="str">
        <f t="shared" si="1"/>
        <v>0x75</v>
      </c>
      <c r="DH12" s="16" t="str">
        <f t="shared" si="1"/>
        <v>0x76</v>
      </c>
      <c r="DI12" s="16" t="str">
        <f t="shared" si="1"/>
        <v>0x77</v>
      </c>
      <c r="DJ12" s="16" t="str">
        <f t="shared" si="1"/>
        <v>0x78</v>
      </c>
      <c r="DK12" s="16" t="str">
        <f t="shared" si="1"/>
        <v>0x79</v>
      </c>
      <c r="DL12" s="16" t="str">
        <f t="shared" si="1"/>
        <v>0x7A</v>
      </c>
      <c r="DM12" s="16" t="str">
        <f t="shared" si="1"/>
        <v>0x7B</v>
      </c>
      <c r="DN12" s="16" t="str">
        <f t="shared" si="1"/>
        <v>0x7C</v>
      </c>
      <c r="DO12" s="16" t="str">
        <f t="shared" si="1"/>
        <v>0x7D</v>
      </c>
      <c r="DP12" s="16" t="str">
        <f t="shared" si="1"/>
        <v>0x7E</v>
      </c>
      <c r="DQ12" s="16" t="str">
        <f t="shared" si="1"/>
        <v>0x7F</v>
      </c>
      <c r="DR12" s="16" t="str">
        <f t="shared" si="1"/>
        <v>0x80</v>
      </c>
      <c r="DS12" s="16" t="str">
        <f t="shared" si="1"/>
        <v>0x81</v>
      </c>
      <c r="DT12" s="16" t="str">
        <f t="shared" si="1"/>
        <v>0x82</v>
      </c>
      <c r="DU12" s="16" t="str">
        <f t="shared" si="1"/>
        <v>0x83</v>
      </c>
      <c r="DV12" s="16" t="str">
        <f t="shared" si="1"/>
        <v>0x84</v>
      </c>
      <c r="DW12" s="16" t="str">
        <f t="shared" si="1"/>
        <v>0x85</v>
      </c>
      <c r="DX12" s="16" t="str">
        <f t="shared" si="1"/>
        <v>0x86</v>
      </c>
      <c r="DY12" s="16" t="str">
        <f t="shared" si="1"/>
        <v>0x87</v>
      </c>
      <c r="DZ12" s="16" t="str">
        <f t="shared" si="1"/>
        <v>0x88</v>
      </c>
      <c r="EA12" s="16" t="str">
        <f t="shared" si="1"/>
        <v>0x89</v>
      </c>
      <c r="EB12" s="16" t="str">
        <f t="shared" si="1"/>
        <v>0x8A</v>
      </c>
      <c r="EC12" s="16" t="str">
        <f t="shared" ref="EC12:EN12" si="2">"0x"&amp;DEC2HEX(EC13,2)</f>
        <v>0x8B</v>
      </c>
      <c r="ED12" s="16" t="str">
        <f t="shared" si="2"/>
        <v>0x8C</v>
      </c>
      <c r="EE12" s="16" t="str">
        <f t="shared" si="2"/>
        <v>0x8D</v>
      </c>
      <c r="EF12" s="16" t="str">
        <f t="shared" si="2"/>
        <v>0x8E</v>
      </c>
      <c r="EG12" s="16" t="str">
        <f t="shared" si="2"/>
        <v>0x8F</v>
      </c>
      <c r="EH12" s="16" t="str">
        <f t="shared" si="2"/>
        <v>0x90</v>
      </c>
      <c r="EI12" s="16" t="str">
        <f t="shared" si="2"/>
        <v>0x91</v>
      </c>
      <c r="EJ12" s="16" t="str">
        <f t="shared" si="2"/>
        <v>0x92</v>
      </c>
      <c r="EK12" s="16" t="str">
        <f t="shared" si="2"/>
        <v>0x93</v>
      </c>
      <c r="EL12" s="16" t="str">
        <f t="shared" si="2"/>
        <v>0x94</v>
      </c>
      <c r="EM12" s="16" t="str">
        <f t="shared" si="2"/>
        <v>0x95</v>
      </c>
      <c r="EN12" s="16" t="str">
        <f t="shared" si="2"/>
        <v>0x96</v>
      </c>
    </row>
    <row r="13" spans="1:144" ht="17.25" customHeight="1" x14ac:dyDescent="0.3">
      <c r="D13" s="17">
        <v>10</v>
      </c>
      <c r="E13" s="17">
        <f t="shared" ref="E13:L13" si="3">D13+1</f>
        <v>11</v>
      </c>
      <c r="F13" s="17">
        <f>E13+1</f>
        <v>12</v>
      </c>
      <c r="G13" s="17">
        <f t="shared" si="3"/>
        <v>13</v>
      </c>
      <c r="H13" s="17">
        <f t="shared" si="3"/>
        <v>14</v>
      </c>
      <c r="I13" s="17">
        <f t="shared" si="3"/>
        <v>15</v>
      </c>
      <c r="J13" s="17">
        <f t="shared" si="3"/>
        <v>16</v>
      </c>
      <c r="K13" s="17">
        <f t="shared" si="3"/>
        <v>17</v>
      </c>
      <c r="L13" s="17">
        <f t="shared" si="3"/>
        <v>18</v>
      </c>
      <c r="M13" s="17">
        <f>L13+1</f>
        <v>19</v>
      </c>
      <c r="N13" s="17">
        <f t="shared" ref="N13:AD13" si="4">M13+1</f>
        <v>20</v>
      </c>
      <c r="O13" s="17">
        <f t="shared" si="4"/>
        <v>21</v>
      </c>
      <c r="P13" s="17">
        <f t="shared" si="4"/>
        <v>22</v>
      </c>
      <c r="Q13" s="17">
        <f t="shared" si="4"/>
        <v>23</v>
      </c>
      <c r="R13" s="17">
        <f t="shared" si="4"/>
        <v>24</v>
      </c>
      <c r="S13" s="17">
        <f t="shared" si="4"/>
        <v>25</v>
      </c>
      <c r="T13" s="17">
        <f t="shared" si="4"/>
        <v>26</v>
      </c>
      <c r="U13" s="17">
        <f t="shared" si="4"/>
        <v>27</v>
      </c>
      <c r="V13" s="17">
        <f t="shared" si="4"/>
        <v>28</v>
      </c>
      <c r="W13" s="17">
        <f t="shared" si="4"/>
        <v>29</v>
      </c>
      <c r="X13" s="17">
        <f t="shared" si="4"/>
        <v>30</v>
      </c>
      <c r="Y13" s="17">
        <f t="shared" si="4"/>
        <v>31</v>
      </c>
      <c r="Z13" s="17">
        <f t="shared" si="4"/>
        <v>32</v>
      </c>
      <c r="AA13" s="17">
        <f t="shared" si="4"/>
        <v>33</v>
      </c>
      <c r="AB13" s="17">
        <f t="shared" si="4"/>
        <v>34</v>
      </c>
      <c r="AC13" s="17">
        <f t="shared" si="4"/>
        <v>35</v>
      </c>
      <c r="AD13" s="17">
        <f t="shared" si="4"/>
        <v>36</v>
      </c>
      <c r="AE13" s="17">
        <f t="shared" ref="AE13" si="5">AD13+1</f>
        <v>37</v>
      </c>
      <c r="AF13" s="17">
        <f t="shared" ref="AF13" si="6">AE13+1</f>
        <v>38</v>
      </c>
      <c r="AG13" s="17">
        <f t="shared" ref="AG13" si="7">AF13+1</f>
        <v>39</v>
      </c>
      <c r="AH13" s="17">
        <f t="shared" ref="AH13" si="8">AG13+1</f>
        <v>40</v>
      </c>
      <c r="AI13" s="17">
        <f t="shared" ref="AI13" si="9">AH13+1</f>
        <v>41</v>
      </c>
      <c r="AJ13" s="17">
        <f t="shared" ref="AJ13" si="10">AI13+1</f>
        <v>42</v>
      </c>
      <c r="AK13" s="17">
        <f t="shared" ref="AK13" si="11">AJ13+1</f>
        <v>43</v>
      </c>
      <c r="AL13" s="17">
        <f t="shared" ref="AL13" si="12">AK13+1</f>
        <v>44</v>
      </c>
      <c r="AM13" s="17">
        <f t="shared" ref="AM13" si="13">AL13+1</f>
        <v>45</v>
      </c>
      <c r="AN13" s="17">
        <f t="shared" ref="AN13" si="14">AM13+1</f>
        <v>46</v>
      </c>
      <c r="AO13" s="17">
        <f t="shared" ref="AO13" si="15">AN13+1</f>
        <v>47</v>
      </c>
      <c r="AP13" s="17">
        <f t="shared" ref="AP13" si="16">AO13+1</f>
        <v>48</v>
      </c>
      <c r="AQ13" s="17">
        <f t="shared" ref="AQ13" si="17">AP13+1</f>
        <v>49</v>
      </c>
      <c r="AR13" s="17">
        <f t="shared" ref="AR13" si="18">AQ13+1</f>
        <v>50</v>
      </c>
      <c r="AS13" s="17">
        <f t="shared" ref="AS13" si="19">AR13+1</f>
        <v>51</v>
      </c>
      <c r="AT13" s="17">
        <f t="shared" ref="AT13" si="20">AS13+1</f>
        <v>52</v>
      </c>
      <c r="AU13" s="17">
        <f t="shared" ref="AU13" si="21">AT13+1</f>
        <v>53</v>
      </c>
      <c r="AV13" s="17">
        <f t="shared" ref="AV13" si="22">AU13+1</f>
        <v>54</v>
      </c>
      <c r="AW13" s="17">
        <f t="shared" ref="AW13" si="23">AV13+1</f>
        <v>55</v>
      </c>
      <c r="AX13" s="17">
        <f t="shared" ref="AX13" si="24">AW13+1</f>
        <v>56</v>
      </c>
      <c r="AY13" s="17">
        <f t="shared" ref="AY13" si="25">AX13+1</f>
        <v>57</v>
      </c>
      <c r="AZ13" s="17">
        <f t="shared" ref="AZ13" si="26">AY13+1</f>
        <v>58</v>
      </c>
      <c r="BA13" s="17">
        <f t="shared" ref="BA13" si="27">AZ13+1</f>
        <v>59</v>
      </c>
      <c r="BB13" s="17">
        <f t="shared" ref="BB13" si="28">BA13+1</f>
        <v>60</v>
      </c>
      <c r="BC13" s="17">
        <f t="shared" ref="BC13" si="29">BB13+1</f>
        <v>61</v>
      </c>
      <c r="BD13" s="17">
        <f t="shared" ref="BD13" si="30">BC13+1</f>
        <v>62</v>
      </c>
      <c r="BE13" s="17">
        <f t="shared" ref="BE13" si="31">BD13+1</f>
        <v>63</v>
      </c>
      <c r="BF13" s="17">
        <f t="shared" ref="BF13" si="32">BE13+1</f>
        <v>64</v>
      </c>
      <c r="BG13" s="17">
        <f t="shared" ref="BG13" si="33">BF13+1</f>
        <v>65</v>
      </c>
      <c r="BH13" s="17">
        <f t="shared" ref="BH13" si="34">BG13+1</f>
        <v>66</v>
      </c>
      <c r="BI13" s="17">
        <f t="shared" ref="BI13" si="35">BH13+1</f>
        <v>67</v>
      </c>
      <c r="BJ13" s="17">
        <f t="shared" ref="BJ13" si="36">BI13+1</f>
        <v>68</v>
      </c>
      <c r="BK13" s="17">
        <f t="shared" ref="BK13" si="37">BJ13+1</f>
        <v>69</v>
      </c>
      <c r="BL13" s="17">
        <f t="shared" ref="BL13" si="38">BK13+1</f>
        <v>70</v>
      </c>
      <c r="BM13" s="17">
        <f t="shared" ref="BM13" si="39">BL13+1</f>
        <v>71</v>
      </c>
      <c r="BN13" s="17">
        <f t="shared" ref="BN13" si="40">BM13+1</f>
        <v>72</v>
      </c>
      <c r="BO13" s="17">
        <f t="shared" ref="BO13" si="41">BN13+1</f>
        <v>73</v>
      </c>
      <c r="BP13" s="17">
        <f t="shared" ref="BP13" si="42">BO13+1</f>
        <v>74</v>
      </c>
      <c r="BQ13" s="17">
        <f t="shared" ref="BQ13" si="43">BP13+1</f>
        <v>75</v>
      </c>
      <c r="BR13" s="17">
        <f t="shared" ref="BR13" si="44">BQ13+1</f>
        <v>76</v>
      </c>
      <c r="BS13" s="17">
        <f t="shared" ref="BS13" si="45">BR13+1</f>
        <v>77</v>
      </c>
      <c r="BT13" s="17">
        <f t="shared" ref="BT13" si="46">BS13+1</f>
        <v>78</v>
      </c>
      <c r="BU13" s="17">
        <f t="shared" ref="BU13" si="47">BT13+1</f>
        <v>79</v>
      </c>
      <c r="BV13" s="17">
        <f t="shared" ref="BV13" si="48">BU13+1</f>
        <v>80</v>
      </c>
      <c r="BW13" s="17">
        <f t="shared" ref="BW13" si="49">BV13+1</f>
        <v>81</v>
      </c>
      <c r="BX13" s="17">
        <f t="shared" ref="BX13" si="50">BW13+1</f>
        <v>82</v>
      </c>
      <c r="BY13" s="17">
        <f t="shared" ref="BY13" si="51">BX13+1</f>
        <v>83</v>
      </c>
      <c r="BZ13" s="17">
        <f t="shared" ref="BZ13" si="52">BY13+1</f>
        <v>84</v>
      </c>
      <c r="CA13" s="17">
        <f t="shared" ref="CA13" si="53">BZ13+1</f>
        <v>85</v>
      </c>
      <c r="CB13" s="17">
        <f t="shared" ref="CB13" si="54">CA13+1</f>
        <v>86</v>
      </c>
      <c r="CC13" s="17">
        <f t="shared" ref="CC13" si="55">CB13+1</f>
        <v>87</v>
      </c>
      <c r="CD13" s="17">
        <f t="shared" ref="CD13" si="56">CC13+1</f>
        <v>88</v>
      </c>
      <c r="CE13" s="17">
        <f t="shared" ref="CE13" si="57">CD13+1</f>
        <v>89</v>
      </c>
      <c r="CF13" s="17">
        <f t="shared" ref="CF13" si="58">CE13+1</f>
        <v>90</v>
      </c>
      <c r="CG13" s="17">
        <f t="shared" ref="CG13" si="59">CF13+1</f>
        <v>91</v>
      </c>
      <c r="CH13" s="17">
        <f t="shared" ref="CH13" si="60">CG13+1</f>
        <v>92</v>
      </c>
      <c r="CI13" s="17">
        <f t="shared" ref="CI13" si="61">CH13+1</f>
        <v>93</v>
      </c>
      <c r="CJ13" s="17">
        <f t="shared" ref="CJ13" si="62">CI13+1</f>
        <v>94</v>
      </c>
      <c r="CK13" s="17">
        <f t="shared" ref="CK13" si="63">CJ13+1</f>
        <v>95</v>
      </c>
      <c r="CL13" s="17">
        <f t="shared" ref="CL13" si="64">CK13+1</f>
        <v>96</v>
      </c>
      <c r="CM13" s="17">
        <f t="shared" ref="CM13" si="65">CL13+1</f>
        <v>97</v>
      </c>
      <c r="CN13" s="17">
        <f t="shared" ref="CN13" si="66">CM13+1</f>
        <v>98</v>
      </c>
      <c r="CO13" s="17">
        <f t="shared" ref="CO13" si="67">CN13+1</f>
        <v>99</v>
      </c>
      <c r="CP13" s="17">
        <f t="shared" ref="CP13" si="68">CO13+1</f>
        <v>100</v>
      </c>
      <c r="CQ13" s="17">
        <f t="shared" ref="CQ13" si="69">CP13+1</f>
        <v>101</v>
      </c>
      <c r="CR13" s="17">
        <f t="shared" ref="CR13" si="70">CQ13+1</f>
        <v>102</v>
      </c>
      <c r="CS13" s="17">
        <f t="shared" ref="CS13" si="71">CR13+1</f>
        <v>103</v>
      </c>
      <c r="CT13" s="17">
        <f t="shared" ref="CT13" si="72">CS13+1</f>
        <v>104</v>
      </c>
      <c r="CU13" s="17">
        <f t="shared" ref="CU13" si="73">CT13+1</f>
        <v>105</v>
      </c>
      <c r="CV13" s="17">
        <f t="shared" ref="CV13" si="74">CU13+1</f>
        <v>106</v>
      </c>
      <c r="CW13" s="17">
        <f t="shared" ref="CW13" si="75">CV13+1</f>
        <v>107</v>
      </c>
      <c r="CX13" s="17">
        <f t="shared" ref="CX13" si="76">CW13+1</f>
        <v>108</v>
      </c>
      <c r="CY13" s="17">
        <f t="shared" ref="CY13" si="77">CX13+1</f>
        <v>109</v>
      </c>
      <c r="CZ13" s="17">
        <f t="shared" ref="CZ13" si="78">CY13+1</f>
        <v>110</v>
      </c>
      <c r="DA13" s="17">
        <f t="shared" ref="DA13" si="79">CZ13+1</f>
        <v>111</v>
      </c>
      <c r="DB13" s="17">
        <f t="shared" ref="DB13" si="80">DA13+1</f>
        <v>112</v>
      </c>
      <c r="DC13" s="17">
        <f t="shared" ref="DC13" si="81">DB13+1</f>
        <v>113</v>
      </c>
      <c r="DD13" s="17">
        <f t="shared" ref="DD13" si="82">DC13+1</f>
        <v>114</v>
      </c>
      <c r="DE13" s="17">
        <f t="shared" ref="DE13" si="83">DD13+1</f>
        <v>115</v>
      </c>
      <c r="DF13" s="17">
        <f t="shared" ref="DF13" si="84">DE13+1</f>
        <v>116</v>
      </c>
      <c r="DG13" s="17">
        <f t="shared" ref="DG13" si="85">DF13+1</f>
        <v>117</v>
      </c>
      <c r="DH13" s="17">
        <f t="shared" ref="DH13" si="86">DG13+1</f>
        <v>118</v>
      </c>
      <c r="DI13" s="17">
        <f t="shared" ref="DI13" si="87">DH13+1</f>
        <v>119</v>
      </c>
      <c r="DJ13" s="17">
        <f t="shared" ref="DJ13" si="88">DI13+1</f>
        <v>120</v>
      </c>
      <c r="DK13" s="17">
        <f t="shared" ref="DK13" si="89">DJ13+1</f>
        <v>121</v>
      </c>
      <c r="DL13" s="17">
        <f t="shared" ref="DL13" si="90">DK13+1</f>
        <v>122</v>
      </c>
      <c r="DM13" s="17">
        <f t="shared" ref="DM13" si="91">DL13+1</f>
        <v>123</v>
      </c>
      <c r="DN13" s="17">
        <f t="shared" ref="DN13" si="92">DM13+1</f>
        <v>124</v>
      </c>
      <c r="DO13" s="17">
        <f t="shared" ref="DO13" si="93">DN13+1</f>
        <v>125</v>
      </c>
      <c r="DP13" s="17">
        <f t="shared" ref="DP13" si="94">DO13+1</f>
        <v>126</v>
      </c>
      <c r="DQ13" s="17">
        <f t="shared" ref="DQ13" si="95">DP13+1</f>
        <v>127</v>
      </c>
      <c r="DR13" s="17">
        <f t="shared" ref="DR13" si="96">DQ13+1</f>
        <v>128</v>
      </c>
      <c r="DS13" s="17">
        <f t="shared" ref="DS13:DT13" si="97">DR13+1</f>
        <v>129</v>
      </c>
      <c r="DT13" s="17">
        <f t="shared" si="97"/>
        <v>130</v>
      </c>
      <c r="DU13" s="17">
        <f t="shared" ref="DU13" si="98">DT13+1</f>
        <v>131</v>
      </c>
      <c r="DV13" s="17">
        <f t="shared" ref="DV13" si="99">DU13+1</f>
        <v>132</v>
      </c>
      <c r="DW13" s="17">
        <f t="shared" ref="DW13" si="100">DV13+1</f>
        <v>133</v>
      </c>
      <c r="DX13" s="17">
        <f t="shared" ref="DX13" si="101">DW13+1</f>
        <v>134</v>
      </c>
      <c r="DY13" s="17">
        <f t="shared" ref="DY13" si="102">DX13+1</f>
        <v>135</v>
      </c>
      <c r="DZ13" s="17">
        <f t="shared" ref="DZ13" si="103">DY13+1</f>
        <v>136</v>
      </c>
      <c r="EA13" s="17">
        <f t="shared" ref="EA13" si="104">DZ13+1</f>
        <v>137</v>
      </c>
      <c r="EB13" s="17">
        <f t="shared" ref="EB13" si="105">EA13+1</f>
        <v>138</v>
      </c>
      <c r="EC13" s="17">
        <f t="shared" ref="EC13" si="106">EB13+1</f>
        <v>139</v>
      </c>
      <c r="ED13" s="17">
        <f t="shared" ref="ED13" si="107">EC13+1</f>
        <v>140</v>
      </c>
      <c r="EE13" s="17">
        <f t="shared" ref="EE13" si="108">ED13+1</f>
        <v>141</v>
      </c>
      <c r="EF13" s="17">
        <f t="shared" ref="EF13" si="109">EE13+1</f>
        <v>142</v>
      </c>
      <c r="EG13" s="17">
        <f t="shared" ref="EG13" si="110">EF13+1</f>
        <v>143</v>
      </c>
      <c r="EH13" s="17">
        <f t="shared" ref="EH13" si="111">EG13+1</f>
        <v>144</v>
      </c>
      <c r="EI13" s="17">
        <f t="shared" ref="EI13" si="112">EH13+1</f>
        <v>145</v>
      </c>
      <c r="EJ13" s="17">
        <f t="shared" ref="EJ13" si="113">EI13+1</f>
        <v>146</v>
      </c>
      <c r="EK13" s="17">
        <f t="shared" ref="EK13" si="114">EJ13+1</f>
        <v>147</v>
      </c>
      <c r="EL13" s="17">
        <f t="shared" ref="EL13" si="115">EK13+1</f>
        <v>148</v>
      </c>
      <c r="EM13" s="17">
        <f t="shared" ref="EM13" si="116">EL13+1</f>
        <v>149</v>
      </c>
      <c r="EN13" s="17">
        <f t="shared" ref="EN13" si="117">EM13+1</f>
        <v>150</v>
      </c>
    </row>
    <row r="14" spans="1:144" ht="33" customHeight="1" x14ac:dyDescent="0.3">
      <c r="A14" s="111" t="s">
        <v>17</v>
      </c>
      <c r="B14" s="13" t="str">
        <f>"0x"&amp;DEC2HEX(C14,2)</f>
        <v>0x00</v>
      </c>
      <c r="C14" s="1">
        <v>0</v>
      </c>
      <c r="D14" s="1">
        <f>IF($U$3=0,0,($U$2*(D$13+($G$9/$G$10)))/(2*POWER(2,$C14)*$U$3))</f>
        <v>100</v>
      </c>
      <c r="E14" s="1">
        <f t="shared" ref="E14:BP15" si="118">IF($U$3=0,0,($U$2*(E$13+($G$9/$G$10)))/(2*POWER(2,$C14)*$U$3))</f>
        <v>110</v>
      </c>
      <c r="F14" s="1">
        <f t="shared" si="118"/>
        <v>120</v>
      </c>
      <c r="G14" s="1">
        <f t="shared" si="118"/>
        <v>130</v>
      </c>
      <c r="H14" s="1">
        <f t="shared" si="118"/>
        <v>140</v>
      </c>
      <c r="I14" s="1">
        <f t="shared" si="118"/>
        <v>150</v>
      </c>
      <c r="J14" s="1">
        <f t="shared" si="118"/>
        <v>160</v>
      </c>
      <c r="K14" s="1">
        <f t="shared" si="118"/>
        <v>170</v>
      </c>
      <c r="L14" s="1">
        <f t="shared" si="118"/>
        <v>180</v>
      </c>
      <c r="M14" s="1">
        <f t="shared" si="118"/>
        <v>190</v>
      </c>
      <c r="N14" s="1">
        <f t="shared" si="118"/>
        <v>200</v>
      </c>
      <c r="O14" s="1">
        <f t="shared" si="118"/>
        <v>210</v>
      </c>
      <c r="P14" s="1">
        <f t="shared" si="118"/>
        <v>220</v>
      </c>
      <c r="Q14" s="1">
        <f t="shared" si="118"/>
        <v>230</v>
      </c>
      <c r="R14" s="1">
        <f t="shared" si="118"/>
        <v>240</v>
      </c>
      <c r="S14" s="1">
        <f t="shared" si="118"/>
        <v>250</v>
      </c>
      <c r="T14" s="1">
        <f t="shared" si="118"/>
        <v>260</v>
      </c>
      <c r="U14" s="1">
        <f t="shared" si="118"/>
        <v>270</v>
      </c>
      <c r="V14" s="1">
        <f t="shared" si="118"/>
        <v>280</v>
      </c>
      <c r="W14" s="1">
        <f t="shared" si="118"/>
        <v>290</v>
      </c>
      <c r="X14" s="1">
        <f t="shared" si="118"/>
        <v>300</v>
      </c>
      <c r="Y14" s="1">
        <f t="shared" si="118"/>
        <v>310</v>
      </c>
      <c r="Z14" s="1">
        <f t="shared" si="118"/>
        <v>320</v>
      </c>
      <c r="AA14" s="1">
        <f t="shared" si="118"/>
        <v>330</v>
      </c>
      <c r="AB14" s="1">
        <f t="shared" si="118"/>
        <v>340</v>
      </c>
      <c r="AC14" s="1">
        <f t="shared" si="118"/>
        <v>350</v>
      </c>
      <c r="AD14" s="1">
        <f t="shared" si="118"/>
        <v>360</v>
      </c>
      <c r="AE14" s="1">
        <f t="shared" si="118"/>
        <v>370</v>
      </c>
      <c r="AF14" s="1">
        <f t="shared" si="118"/>
        <v>380</v>
      </c>
      <c r="AG14" s="1">
        <f t="shared" si="118"/>
        <v>390</v>
      </c>
      <c r="AH14" s="1">
        <f t="shared" si="118"/>
        <v>400</v>
      </c>
      <c r="AI14" s="1">
        <f t="shared" si="118"/>
        <v>410</v>
      </c>
      <c r="AJ14" s="1">
        <f t="shared" si="118"/>
        <v>420</v>
      </c>
      <c r="AK14" s="1">
        <f t="shared" si="118"/>
        <v>430</v>
      </c>
      <c r="AL14" s="1">
        <f t="shared" si="118"/>
        <v>440</v>
      </c>
      <c r="AM14" s="1">
        <f t="shared" si="118"/>
        <v>450</v>
      </c>
      <c r="AN14" s="1">
        <f t="shared" si="118"/>
        <v>460</v>
      </c>
      <c r="AO14" s="1">
        <f t="shared" si="118"/>
        <v>470</v>
      </c>
      <c r="AP14" s="1">
        <f t="shared" si="118"/>
        <v>480</v>
      </c>
      <c r="AQ14" s="1">
        <f t="shared" si="118"/>
        <v>490</v>
      </c>
      <c r="AR14" s="1">
        <f t="shared" si="118"/>
        <v>500</v>
      </c>
      <c r="AS14" s="1">
        <f t="shared" si="118"/>
        <v>510</v>
      </c>
      <c r="AT14" s="1">
        <f t="shared" si="118"/>
        <v>520</v>
      </c>
      <c r="AU14" s="1">
        <f t="shared" si="118"/>
        <v>530</v>
      </c>
      <c r="AV14" s="1">
        <f t="shared" si="118"/>
        <v>540</v>
      </c>
      <c r="AW14" s="1">
        <f t="shared" si="118"/>
        <v>550</v>
      </c>
      <c r="AX14" s="1">
        <f t="shared" si="118"/>
        <v>560</v>
      </c>
      <c r="AY14" s="1">
        <f t="shared" si="118"/>
        <v>570</v>
      </c>
      <c r="AZ14" s="1">
        <f t="shared" si="118"/>
        <v>580</v>
      </c>
      <c r="BA14" s="1">
        <f t="shared" si="118"/>
        <v>590</v>
      </c>
      <c r="BB14" s="1">
        <f t="shared" si="118"/>
        <v>600</v>
      </c>
      <c r="BC14" s="1">
        <f t="shared" si="118"/>
        <v>610</v>
      </c>
      <c r="BD14" s="1">
        <f t="shared" si="118"/>
        <v>620</v>
      </c>
      <c r="BE14" s="1">
        <f t="shared" si="118"/>
        <v>630</v>
      </c>
      <c r="BF14" s="1">
        <f t="shared" si="118"/>
        <v>640</v>
      </c>
      <c r="BG14" s="1">
        <f t="shared" si="118"/>
        <v>650</v>
      </c>
      <c r="BH14" s="1">
        <f t="shared" si="118"/>
        <v>660</v>
      </c>
      <c r="BI14" s="1">
        <f t="shared" si="118"/>
        <v>670</v>
      </c>
      <c r="BJ14" s="1">
        <f t="shared" si="118"/>
        <v>680</v>
      </c>
      <c r="BK14" s="1">
        <f t="shared" si="118"/>
        <v>690</v>
      </c>
      <c r="BL14" s="1">
        <f t="shared" si="118"/>
        <v>700</v>
      </c>
      <c r="BM14" s="1">
        <f t="shared" si="118"/>
        <v>710</v>
      </c>
      <c r="BN14" s="1">
        <f t="shared" si="118"/>
        <v>720</v>
      </c>
      <c r="BO14" s="1">
        <f t="shared" si="118"/>
        <v>730</v>
      </c>
      <c r="BP14" s="1">
        <f t="shared" si="118"/>
        <v>740</v>
      </c>
      <c r="BQ14" s="1">
        <f t="shared" ref="BQ14:EB17" si="119">IF($U$3=0,0,($U$2*(BQ$13+($G$9/$G$10)))/(2*POWER(2,$C14)*$U$3))</f>
        <v>750</v>
      </c>
      <c r="BR14" s="1">
        <f t="shared" si="119"/>
        <v>760</v>
      </c>
      <c r="BS14" s="1">
        <f t="shared" si="119"/>
        <v>770</v>
      </c>
      <c r="BT14" s="1">
        <f t="shared" si="119"/>
        <v>780</v>
      </c>
      <c r="BU14" s="1">
        <f t="shared" si="119"/>
        <v>790</v>
      </c>
      <c r="BV14" s="1">
        <f t="shared" si="119"/>
        <v>800</v>
      </c>
      <c r="BW14" s="1">
        <f t="shared" si="119"/>
        <v>810</v>
      </c>
      <c r="BX14" s="1">
        <f t="shared" si="119"/>
        <v>820</v>
      </c>
      <c r="BY14" s="1">
        <f t="shared" si="119"/>
        <v>830</v>
      </c>
      <c r="BZ14" s="1">
        <f t="shared" si="119"/>
        <v>840</v>
      </c>
      <c r="CA14" s="1">
        <f t="shared" si="119"/>
        <v>850</v>
      </c>
      <c r="CB14" s="1">
        <f t="shared" si="119"/>
        <v>860</v>
      </c>
      <c r="CC14" s="1">
        <f t="shared" si="119"/>
        <v>870</v>
      </c>
      <c r="CD14" s="1">
        <f t="shared" si="119"/>
        <v>880</v>
      </c>
      <c r="CE14" s="1">
        <f t="shared" si="119"/>
        <v>890</v>
      </c>
      <c r="CF14" s="1">
        <f t="shared" si="119"/>
        <v>900</v>
      </c>
      <c r="CG14" s="1">
        <f t="shared" si="119"/>
        <v>910</v>
      </c>
      <c r="CH14" s="1">
        <f t="shared" si="119"/>
        <v>920</v>
      </c>
      <c r="CI14" s="1">
        <f t="shared" si="119"/>
        <v>930</v>
      </c>
      <c r="CJ14" s="1">
        <f t="shared" si="119"/>
        <v>940</v>
      </c>
      <c r="CK14" s="1">
        <f t="shared" si="119"/>
        <v>950</v>
      </c>
      <c r="CL14" s="1">
        <f t="shared" si="119"/>
        <v>960</v>
      </c>
      <c r="CM14" s="1">
        <f t="shared" si="119"/>
        <v>970</v>
      </c>
      <c r="CN14" s="1">
        <f t="shared" si="119"/>
        <v>980</v>
      </c>
      <c r="CO14" s="1">
        <f t="shared" si="119"/>
        <v>990</v>
      </c>
      <c r="CP14" s="1">
        <f t="shared" si="119"/>
        <v>1000</v>
      </c>
      <c r="CQ14" s="1">
        <f t="shared" si="119"/>
        <v>1010</v>
      </c>
      <c r="CR14" s="1">
        <f t="shared" si="119"/>
        <v>1020</v>
      </c>
      <c r="CS14" s="1">
        <f t="shared" si="119"/>
        <v>1030</v>
      </c>
      <c r="CT14" s="1">
        <f t="shared" si="119"/>
        <v>1040</v>
      </c>
      <c r="CU14" s="1">
        <f t="shared" si="119"/>
        <v>1050</v>
      </c>
      <c r="CV14" s="1">
        <f t="shared" si="119"/>
        <v>1060</v>
      </c>
      <c r="CW14" s="1">
        <f t="shared" si="119"/>
        <v>1070</v>
      </c>
      <c r="CX14" s="1">
        <f t="shared" si="119"/>
        <v>1080</v>
      </c>
      <c r="CY14" s="1">
        <f t="shared" si="119"/>
        <v>1090</v>
      </c>
      <c r="CZ14" s="1">
        <f t="shared" si="119"/>
        <v>1100</v>
      </c>
      <c r="DA14" s="1">
        <f t="shared" si="119"/>
        <v>1110</v>
      </c>
      <c r="DB14" s="1">
        <f t="shared" si="119"/>
        <v>1120</v>
      </c>
      <c r="DC14" s="1">
        <f t="shared" si="119"/>
        <v>1130</v>
      </c>
      <c r="DD14" s="1">
        <f t="shared" si="119"/>
        <v>1140</v>
      </c>
      <c r="DE14" s="1">
        <f t="shared" si="119"/>
        <v>1150</v>
      </c>
      <c r="DF14" s="1">
        <f t="shared" si="119"/>
        <v>1160</v>
      </c>
      <c r="DG14" s="1">
        <f t="shared" si="119"/>
        <v>1170</v>
      </c>
      <c r="DH14" s="1">
        <f t="shared" si="119"/>
        <v>1180</v>
      </c>
      <c r="DI14" s="1">
        <f t="shared" si="119"/>
        <v>1190</v>
      </c>
      <c r="DJ14" s="1">
        <f t="shared" si="119"/>
        <v>1200</v>
      </c>
      <c r="DK14" s="1">
        <f t="shared" si="119"/>
        <v>1210</v>
      </c>
      <c r="DL14" s="1">
        <f t="shared" si="119"/>
        <v>1220</v>
      </c>
      <c r="DM14" s="1">
        <f t="shared" si="119"/>
        <v>1230</v>
      </c>
      <c r="DN14" s="1">
        <f t="shared" si="119"/>
        <v>1240</v>
      </c>
      <c r="DO14" s="1">
        <f t="shared" si="119"/>
        <v>1250</v>
      </c>
      <c r="DP14" s="1">
        <f t="shared" si="119"/>
        <v>1260</v>
      </c>
      <c r="DQ14" s="1">
        <f t="shared" si="119"/>
        <v>1270</v>
      </c>
      <c r="DR14" s="1">
        <f t="shared" si="119"/>
        <v>1280</v>
      </c>
      <c r="DS14" s="1">
        <f t="shared" si="119"/>
        <v>1290</v>
      </c>
      <c r="DT14" s="1">
        <f t="shared" si="119"/>
        <v>1300</v>
      </c>
      <c r="DU14" s="1">
        <f t="shared" si="119"/>
        <v>1310</v>
      </c>
      <c r="DV14" s="1">
        <f t="shared" si="119"/>
        <v>1320</v>
      </c>
      <c r="DW14" s="1">
        <f t="shared" si="119"/>
        <v>1330</v>
      </c>
      <c r="DX14" s="1">
        <f t="shared" si="119"/>
        <v>1340</v>
      </c>
      <c r="DY14" s="1">
        <f t="shared" si="119"/>
        <v>1350</v>
      </c>
      <c r="DZ14" s="1">
        <f t="shared" si="119"/>
        <v>1360</v>
      </c>
      <c r="EA14" s="1">
        <f t="shared" si="119"/>
        <v>1370</v>
      </c>
      <c r="EB14" s="1">
        <f t="shared" si="119"/>
        <v>1380</v>
      </c>
      <c r="EC14" s="1">
        <f t="shared" ref="EC14:EN16" si="120">IF($U$3=0,0,($U$2*(EC$13+($G$9/$G$10)))/(2*POWER(2,$C14)*$U$3))</f>
        <v>1390</v>
      </c>
      <c r="ED14" s="1">
        <f t="shared" si="120"/>
        <v>1400</v>
      </c>
      <c r="EE14" s="1">
        <f t="shared" si="120"/>
        <v>1410</v>
      </c>
      <c r="EF14" s="1">
        <f t="shared" si="120"/>
        <v>1420</v>
      </c>
      <c r="EG14" s="1">
        <f t="shared" si="120"/>
        <v>1430</v>
      </c>
      <c r="EH14" s="1">
        <f t="shared" si="120"/>
        <v>1440</v>
      </c>
      <c r="EI14" s="1">
        <f t="shared" si="120"/>
        <v>1450</v>
      </c>
      <c r="EJ14" s="1">
        <f t="shared" si="120"/>
        <v>1460</v>
      </c>
      <c r="EK14" s="1">
        <f t="shared" si="120"/>
        <v>1470</v>
      </c>
      <c r="EL14" s="1">
        <f t="shared" si="120"/>
        <v>1480</v>
      </c>
      <c r="EM14" s="1">
        <f t="shared" si="120"/>
        <v>1490</v>
      </c>
      <c r="EN14" s="1">
        <f t="shared" si="120"/>
        <v>1500</v>
      </c>
    </row>
    <row r="15" spans="1:144" x14ac:dyDescent="0.3">
      <c r="A15" s="112"/>
      <c r="B15" s="13" t="str">
        <f t="shared" ref="B15:B18" si="121">"0x"&amp;DEC2HEX(C15,2)</f>
        <v>0x01</v>
      </c>
      <c r="C15" s="12">
        <f>C14+1</f>
        <v>1</v>
      </c>
      <c r="D15" s="1">
        <f t="shared" ref="D15:S18" si="122">IF($U$3=0,0,($U$2*(D$13+($G$9/$G$10)))/(2*POWER(2,$C15)*$U$3))</f>
        <v>50</v>
      </c>
      <c r="E15" s="1">
        <f t="shared" si="122"/>
        <v>55</v>
      </c>
      <c r="F15" s="1">
        <f t="shared" si="122"/>
        <v>60</v>
      </c>
      <c r="G15" s="1">
        <f t="shared" si="122"/>
        <v>65</v>
      </c>
      <c r="H15" s="1">
        <f t="shared" si="122"/>
        <v>70</v>
      </c>
      <c r="I15" s="1">
        <f t="shared" si="122"/>
        <v>75</v>
      </c>
      <c r="J15" s="1">
        <f t="shared" si="122"/>
        <v>80</v>
      </c>
      <c r="K15" s="1">
        <f t="shared" si="122"/>
        <v>85</v>
      </c>
      <c r="L15" s="1">
        <f t="shared" si="122"/>
        <v>90</v>
      </c>
      <c r="M15" s="1">
        <f t="shared" si="122"/>
        <v>95</v>
      </c>
      <c r="N15" s="1">
        <f t="shared" si="122"/>
        <v>100</v>
      </c>
      <c r="O15" s="1">
        <f t="shared" si="122"/>
        <v>105</v>
      </c>
      <c r="P15" s="1">
        <f t="shared" si="122"/>
        <v>110</v>
      </c>
      <c r="Q15" s="1">
        <f t="shared" si="122"/>
        <v>115</v>
      </c>
      <c r="R15" s="1">
        <f t="shared" si="122"/>
        <v>120</v>
      </c>
      <c r="S15" s="1">
        <f t="shared" si="122"/>
        <v>125</v>
      </c>
      <c r="T15" s="1">
        <f t="shared" si="118"/>
        <v>130</v>
      </c>
      <c r="U15" s="1">
        <f t="shared" si="118"/>
        <v>135</v>
      </c>
      <c r="V15" s="1">
        <f t="shared" si="118"/>
        <v>140</v>
      </c>
      <c r="W15" s="1">
        <f t="shared" si="118"/>
        <v>145</v>
      </c>
      <c r="X15" s="1">
        <f t="shared" si="118"/>
        <v>150</v>
      </c>
      <c r="Y15" s="1">
        <f t="shared" si="118"/>
        <v>155</v>
      </c>
      <c r="Z15" s="1">
        <f t="shared" si="118"/>
        <v>160</v>
      </c>
      <c r="AA15" s="1">
        <f t="shared" si="118"/>
        <v>165</v>
      </c>
      <c r="AB15" s="1">
        <f t="shared" si="118"/>
        <v>170</v>
      </c>
      <c r="AC15" s="1">
        <f t="shared" si="118"/>
        <v>175</v>
      </c>
      <c r="AD15" s="1">
        <f t="shared" si="118"/>
        <v>180</v>
      </c>
      <c r="AE15" s="1">
        <f t="shared" si="118"/>
        <v>185</v>
      </c>
      <c r="AF15" s="1">
        <f t="shared" si="118"/>
        <v>190</v>
      </c>
      <c r="AG15" s="1">
        <f t="shared" si="118"/>
        <v>195</v>
      </c>
      <c r="AH15" s="1">
        <f t="shared" si="118"/>
        <v>200</v>
      </c>
      <c r="AI15" s="1">
        <f t="shared" si="118"/>
        <v>205</v>
      </c>
      <c r="AJ15" s="1">
        <f t="shared" si="118"/>
        <v>210</v>
      </c>
      <c r="AK15" s="1">
        <f t="shared" si="118"/>
        <v>215</v>
      </c>
      <c r="AL15" s="1">
        <f t="shared" si="118"/>
        <v>220</v>
      </c>
      <c r="AM15" s="1">
        <f t="shared" si="118"/>
        <v>225</v>
      </c>
      <c r="AN15" s="1">
        <f t="shared" si="118"/>
        <v>230</v>
      </c>
      <c r="AO15" s="1">
        <f t="shared" si="118"/>
        <v>235</v>
      </c>
      <c r="AP15" s="1">
        <f t="shared" si="118"/>
        <v>240</v>
      </c>
      <c r="AQ15" s="1">
        <f t="shared" si="118"/>
        <v>245</v>
      </c>
      <c r="AR15" s="1">
        <f t="shared" si="118"/>
        <v>250</v>
      </c>
      <c r="AS15" s="1">
        <f t="shared" si="118"/>
        <v>255</v>
      </c>
      <c r="AT15" s="1">
        <f t="shared" si="118"/>
        <v>260</v>
      </c>
      <c r="AU15" s="1">
        <f t="shared" si="118"/>
        <v>265</v>
      </c>
      <c r="AV15" s="1">
        <f t="shared" si="118"/>
        <v>270</v>
      </c>
      <c r="AW15" s="1">
        <f t="shared" si="118"/>
        <v>275</v>
      </c>
      <c r="AX15" s="1">
        <f t="shared" si="118"/>
        <v>280</v>
      </c>
      <c r="AY15" s="1">
        <f t="shared" si="118"/>
        <v>285</v>
      </c>
      <c r="AZ15" s="1">
        <f t="shared" si="118"/>
        <v>290</v>
      </c>
      <c r="BA15" s="1">
        <f t="shared" si="118"/>
        <v>295</v>
      </c>
      <c r="BB15" s="1">
        <f t="shared" si="118"/>
        <v>300</v>
      </c>
      <c r="BC15" s="1">
        <f t="shared" si="118"/>
        <v>305</v>
      </c>
      <c r="BD15" s="1">
        <f t="shared" si="118"/>
        <v>310</v>
      </c>
      <c r="BE15" s="1">
        <f t="shared" si="118"/>
        <v>315</v>
      </c>
      <c r="BF15" s="1">
        <f t="shared" si="118"/>
        <v>320</v>
      </c>
      <c r="BG15" s="1">
        <f t="shared" si="118"/>
        <v>325</v>
      </c>
      <c r="BH15" s="1">
        <f t="shared" si="118"/>
        <v>330</v>
      </c>
      <c r="BI15" s="1">
        <f t="shared" si="118"/>
        <v>335</v>
      </c>
      <c r="BJ15" s="1">
        <f t="shared" si="118"/>
        <v>340</v>
      </c>
      <c r="BK15" s="1">
        <f t="shared" si="118"/>
        <v>345</v>
      </c>
      <c r="BL15" s="1">
        <f t="shared" si="118"/>
        <v>350</v>
      </c>
      <c r="BM15" s="1">
        <f t="shared" si="118"/>
        <v>355</v>
      </c>
      <c r="BN15" s="1">
        <f t="shared" si="118"/>
        <v>360</v>
      </c>
      <c r="BO15" s="1">
        <f t="shared" si="118"/>
        <v>365</v>
      </c>
      <c r="BP15" s="1">
        <f t="shared" si="118"/>
        <v>370</v>
      </c>
      <c r="BQ15" s="1">
        <f t="shared" si="119"/>
        <v>375</v>
      </c>
      <c r="BR15" s="1">
        <f t="shared" si="119"/>
        <v>380</v>
      </c>
      <c r="BS15" s="1">
        <f t="shared" si="119"/>
        <v>385</v>
      </c>
      <c r="BT15" s="1">
        <f t="shared" si="119"/>
        <v>390</v>
      </c>
      <c r="BU15" s="1">
        <f t="shared" si="119"/>
        <v>395</v>
      </c>
      <c r="BV15" s="1">
        <f t="shared" si="119"/>
        <v>400</v>
      </c>
      <c r="BW15" s="1">
        <f t="shared" si="119"/>
        <v>405</v>
      </c>
      <c r="BX15" s="1">
        <f t="shared" si="119"/>
        <v>410</v>
      </c>
      <c r="BY15" s="1">
        <f t="shared" si="119"/>
        <v>415</v>
      </c>
      <c r="BZ15" s="1">
        <f t="shared" si="119"/>
        <v>420</v>
      </c>
      <c r="CA15" s="1">
        <f t="shared" si="119"/>
        <v>425</v>
      </c>
      <c r="CB15" s="1">
        <f t="shared" si="119"/>
        <v>430</v>
      </c>
      <c r="CC15" s="1">
        <f t="shared" si="119"/>
        <v>435</v>
      </c>
      <c r="CD15" s="1">
        <f t="shared" si="119"/>
        <v>440</v>
      </c>
      <c r="CE15" s="1">
        <f t="shared" si="119"/>
        <v>445</v>
      </c>
      <c r="CF15" s="1">
        <f t="shared" si="119"/>
        <v>450</v>
      </c>
      <c r="CG15" s="1">
        <f t="shared" si="119"/>
        <v>455</v>
      </c>
      <c r="CH15" s="1">
        <f t="shared" si="119"/>
        <v>460</v>
      </c>
      <c r="CI15" s="1">
        <f t="shared" si="119"/>
        <v>465</v>
      </c>
      <c r="CJ15" s="1">
        <f t="shared" si="119"/>
        <v>470</v>
      </c>
      <c r="CK15" s="1">
        <f t="shared" si="119"/>
        <v>475</v>
      </c>
      <c r="CL15" s="1">
        <f t="shared" si="119"/>
        <v>480</v>
      </c>
      <c r="CM15" s="1">
        <f t="shared" si="119"/>
        <v>485</v>
      </c>
      <c r="CN15" s="1">
        <f t="shared" si="119"/>
        <v>490</v>
      </c>
      <c r="CO15" s="1">
        <f t="shared" si="119"/>
        <v>495</v>
      </c>
      <c r="CP15" s="1">
        <f t="shared" si="119"/>
        <v>500</v>
      </c>
      <c r="CQ15" s="1">
        <f t="shared" si="119"/>
        <v>505</v>
      </c>
      <c r="CR15" s="1">
        <f t="shared" si="119"/>
        <v>510</v>
      </c>
      <c r="CS15" s="1">
        <f t="shared" si="119"/>
        <v>515</v>
      </c>
      <c r="CT15" s="1">
        <f t="shared" si="119"/>
        <v>520</v>
      </c>
      <c r="CU15" s="1">
        <f t="shared" si="119"/>
        <v>525</v>
      </c>
      <c r="CV15" s="1">
        <f t="shared" si="119"/>
        <v>530</v>
      </c>
      <c r="CW15" s="1">
        <f t="shared" si="119"/>
        <v>535</v>
      </c>
      <c r="CX15" s="1">
        <f t="shared" si="119"/>
        <v>540</v>
      </c>
      <c r="CY15" s="1">
        <f t="shared" si="119"/>
        <v>545</v>
      </c>
      <c r="CZ15" s="1">
        <f t="shared" si="119"/>
        <v>550</v>
      </c>
      <c r="DA15" s="1">
        <f t="shared" si="119"/>
        <v>555</v>
      </c>
      <c r="DB15" s="1">
        <f t="shared" si="119"/>
        <v>560</v>
      </c>
      <c r="DC15" s="1">
        <f t="shared" si="119"/>
        <v>565</v>
      </c>
      <c r="DD15" s="1">
        <f t="shared" si="119"/>
        <v>570</v>
      </c>
      <c r="DE15" s="1">
        <f t="shared" si="119"/>
        <v>575</v>
      </c>
      <c r="DF15" s="1">
        <f t="shared" si="119"/>
        <v>580</v>
      </c>
      <c r="DG15" s="1">
        <f t="shared" si="119"/>
        <v>585</v>
      </c>
      <c r="DH15" s="1">
        <f t="shared" si="119"/>
        <v>590</v>
      </c>
      <c r="DI15" s="1">
        <f t="shared" si="119"/>
        <v>595</v>
      </c>
      <c r="DJ15" s="1">
        <f t="shared" si="119"/>
        <v>600</v>
      </c>
      <c r="DK15" s="1">
        <f t="shared" si="119"/>
        <v>605</v>
      </c>
      <c r="DL15" s="1">
        <f t="shared" si="119"/>
        <v>610</v>
      </c>
      <c r="DM15" s="1">
        <f t="shared" si="119"/>
        <v>615</v>
      </c>
      <c r="DN15" s="1">
        <f t="shared" si="119"/>
        <v>620</v>
      </c>
      <c r="DO15" s="1">
        <f t="shared" si="119"/>
        <v>625</v>
      </c>
      <c r="DP15" s="1">
        <f t="shared" si="119"/>
        <v>630</v>
      </c>
      <c r="DQ15" s="1">
        <f t="shared" si="119"/>
        <v>635</v>
      </c>
      <c r="DR15" s="1">
        <f t="shared" si="119"/>
        <v>640</v>
      </c>
      <c r="DS15" s="1">
        <f t="shared" si="119"/>
        <v>645</v>
      </c>
      <c r="DT15" s="1">
        <f t="shared" si="119"/>
        <v>650</v>
      </c>
      <c r="DU15" s="1">
        <f t="shared" si="119"/>
        <v>655</v>
      </c>
      <c r="DV15" s="1">
        <f t="shared" si="119"/>
        <v>660</v>
      </c>
      <c r="DW15" s="1">
        <f t="shared" si="119"/>
        <v>665</v>
      </c>
      <c r="DX15" s="1">
        <f t="shared" si="119"/>
        <v>670</v>
      </c>
      <c r="DY15" s="1">
        <f t="shared" si="119"/>
        <v>675</v>
      </c>
      <c r="DZ15" s="1">
        <f t="shared" si="119"/>
        <v>680</v>
      </c>
      <c r="EA15" s="1">
        <f t="shared" si="119"/>
        <v>685</v>
      </c>
      <c r="EB15" s="1">
        <f t="shared" si="119"/>
        <v>690</v>
      </c>
      <c r="EC15" s="1">
        <f t="shared" si="120"/>
        <v>695</v>
      </c>
      <c r="ED15" s="1">
        <f t="shared" si="120"/>
        <v>700</v>
      </c>
      <c r="EE15" s="1">
        <f t="shared" si="120"/>
        <v>705</v>
      </c>
      <c r="EF15" s="1">
        <f t="shared" si="120"/>
        <v>710</v>
      </c>
      <c r="EG15" s="1">
        <f t="shared" si="120"/>
        <v>715</v>
      </c>
      <c r="EH15" s="1">
        <f t="shared" si="120"/>
        <v>720</v>
      </c>
      <c r="EI15" s="1">
        <f t="shared" si="120"/>
        <v>725</v>
      </c>
      <c r="EJ15" s="1">
        <f t="shared" si="120"/>
        <v>730</v>
      </c>
      <c r="EK15" s="1">
        <f t="shared" si="120"/>
        <v>735</v>
      </c>
      <c r="EL15" s="1">
        <f t="shared" si="120"/>
        <v>740</v>
      </c>
      <c r="EM15" s="1">
        <f t="shared" si="120"/>
        <v>745</v>
      </c>
      <c r="EN15" s="1">
        <f t="shared" si="120"/>
        <v>750</v>
      </c>
    </row>
    <row r="16" spans="1:144" x14ac:dyDescent="0.3">
      <c r="A16" s="112"/>
      <c r="B16" s="13" t="str">
        <f t="shared" si="121"/>
        <v>0x02</v>
      </c>
      <c r="C16" s="12">
        <f t="shared" ref="C16:C18" si="123">C15+1</f>
        <v>2</v>
      </c>
      <c r="D16" s="1">
        <f t="shared" si="122"/>
        <v>25</v>
      </c>
      <c r="E16" s="1">
        <f t="shared" ref="E16:BP18" si="124">IF($U$3=0,0,($U$2*(E$13+($G$9/$G$10)))/(2*POWER(2,$C16)*$U$3))</f>
        <v>27.5</v>
      </c>
      <c r="F16" s="1">
        <f t="shared" si="124"/>
        <v>30</v>
      </c>
      <c r="G16" s="1">
        <f t="shared" si="124"/>
        <v>32.5</v>
      </c>
      <c r="H16" s="1">
        <f t="shared" si="124"/>
        <v>35</v>
      </c>
      <c r="I16" s="1">
        <f t="shared" si="124"/>
        <v>37.5</v>
      </c>
      <c r="J16" s="1">
        <f t="shared" si="124"/>
        <v>40</v>
      </c>
      <c r="K16" s="1">
        <f t="shared" si="124"/>
        <v>42.5</v>
      </c>
      <c r="L16" s="1">
        <f t="shared" si="124"/>
        <v>45</v>
      </c>
      <c r="M16" s="1">
        <f t="shared" si="124"/>
        <v>47.5</v>
      </c>
      <c r="N16" s="1">
        <f t="shared" si="124"/>
        <v>50</v>
      </c>
      <c r="O16" s="1">
        <f t="shared" si="124"/>
        <v>52.5</v>
      </c>
      <c r="P16" s="1">
        <f t="shared" si="124"/>
        <v>55</v>
      </c>
      <c r="Q16" s="1">
        <f t="shared" si="124"/>
        <v>57.5</v>
      </c>
      <c r="R16" s="1">
        <f t="shared" si="124"/>
        <v>60</v>
      </c>
      <c r="S16" s="1">
        <f t="shared" si="124"/>
        <v>62.5</v>
      </c>
      <c r="T16" s="1">
        <f t="shared" si="124"/>
        <v>65</v>
      </c>
      <c r="U16" s="1">
        <f t="shared" si="124"/>
        <v>67.5</v>
      </c>
      <c r="V16" s="1">
        <f t="shared" si="124"/>
        <v>70</v>
      </c>
      <c r="W16" s="1">
        <f t="shared" si="124"/>
        <v>72.5</v>
      </c>
      <c r="X16" s="1">
        <f t="shared" si="124"/>
        <v>75</v>
      </c>
      <c r="Y16" s="1">
        <f t="shared" si="124"/>
        <v>77.5</v>
      </c>
      <c r="Z16" s="1">
        <f t="shared" si="124"/>
        <v>80</v>
      </c>
      <c r="AA16" s="1">
        <f t="shared" si="124"/>
        <v>82.5</v>
      </c>
      <c r="AB16" s="1">
        <f t="shared" si="124"/>
        <v>85</v>
      </c>
      <c r="AC16" s="1">
        <f t="shared" si="124"/>
        <v>87.5</v>
      </c>
      <c r="AD16" s="1">
        <f t="shared" si="124"/>
        <v>90</v>
      </c>
      <c r="AE16" s="1">
        <f t="shared" si="124"/>
        <v>92.5</v>
      </c>
      <c r="AF16" s="1">
        <f t="shared" si="124"/>
        <v>95</v>
      </c>
      <c r="AG16" s="1">
        <f t="shared" si="124"/>
        <v>97.5</v>
      </c>
      <c r="AH16" s="1">
        <f t="shared" si="124"/>
        <v>100</v>
      </c>
      <c r="AI16" s="1">
        <f t="shared" si="124"/>
        <v>102.5</v>
      </c>
      <c r="AJ16" s="1">
        <f t="shared" si="124"/>
        <v>105</v>
      </c>
      <c r="AK16" s="1">
        <f t="shared" si="124"/>
        <v>107.5</v>
      </c>
      <c r="AL16" s="1">
        <f t="shared" si="124"/>
        <v>110</v>
      </c>
      <c r="AM16" s="1">
        <f t="shared" si="124"/>
        <v>112.5</v>
      </c>
      <c r="AN16" s="1">
        <f t="shared" si="124"/>
        <v>115</v>
      </c>
      <c r="AO16" s="1">
        <f t="shared" si="124"/>
        <v>117.5</v>
      </c>
      <c r="AP16" s="1">
        <f t="shared" si="124"/>
        <v>120</v>
      </c>
      <c r="AQ16" s="1">
        <f t="shared" si="124"/>
        <v>122.5</v>
      </c>
      <c r="AR16" s="1">
        <f t="shared" si="124"/>
        <v>125</v>
      </c>
      <c r="AS16" s="1">
        <f t="shared" si="124"/>
        <v>127.5</v>
      </c>
      <c r="AT16" s="1">
        <f t="shared" si="124"/>
        <v>130</v>
      </c>
      <c r="AU16" s="1">
        <f t="shared" si="124"/>
        <v>132.5</v>
      </c>
      <c r="AV16" s="1">
        <f t="shared" si="124"/>
        <v>135</v>
      </c>
      <c r="AW16" s="1">
        <f t="shared" si="124"/>
        <v>137.5</v>
      </c>
      <c r="AX16" s="1">
        <f t="shared" si="124"/>
        <v>140</v>
      </c>
      <c r="AY16" s="1">
        <f t="shared" si="124"/>
        <v>142.5</v>
      </c>
      <c r="AZ16" s="1">
        <f t="shared" si="124"/>
        <v>145</v>
      </c>
      <c r="BA16" s="1">
        <f t="shared" si="124"/>
        <v>147.5</v>
      </c>
      <c r="BB16" s="1">
        <f t="shared" si="124"/>
        <v>150</v>
      </c>
      <c r="BC16" s="1">
        <f t="shared" si="124"/>
        <v>152.5</v>
      </c>
      <c r="BD16" s="1">
        <f t="shared" si="124"/>
        <v>155</v>
      </c>
      <c r="BE16" s="1">
        <f t="shared" si="124"/>
        <v>157.5</v>
      </c>
      <c r="BF16" s="1">
        <f t="shared" si="124"/>
        <v>160</v>
      </c>
      <c r="BG16" s="1">
        <f t="shared" si="124"/>
        <v>162.5</v>
      </c>
      <c r="BH16" s="1">
        <f t="shared" si="124"/>
        <v>165</v>
      </c>
      <c r="BI16" s="1">
        <f t="shared" si="124"/>
        <v>167.5</v>
      </c>
      <c r="BJ16" s="1">
        <f t="shared" si="124"/>
        <v>170</v>
      </c>
      <c r="BK16" s="1">
        <f t="shared" si="124"/>
        <v>172.5</v>
      </c>
      <c r="BL16" s="1">
        <f t="shared" si="124"/>
        <v>175</v>
      </c>
      <c r="BM16" s="1">
        <f t="shared" si="124"/>
        <v>177.5</v>
      </c>
      <c r="BN16" s="1">
        <f t="shared" si="124"/>
        <v>180</v>
      </c>
      <c r="BO16" s="1">
        <f t="shared" si="124"/>
        <v>182.5</v>
      </c>
      <c r="BP16" s="1">
        <f t="shared" si="124"/>
        <v>185</v>
      </c>
      <c r="BQ16" s="1">
        <f t="shared" si="119"/>
        <v>187.5</v>
      </c>
      <c r="BR16" s="1">
        <f t="shared" si="119"/>
        <v>190</v>
      </c>
      <c r="BS16" s="1">
        <f t="shared" si="119"/>
        <v>192.5</v>
      </c>
      <c r="BT16" s="1">
        <f t="shared" si="119"/>
        <v>195</v>
      </c>
      <c r="BU16" s="1">
        <f t="shared" si="119"/>
        <v>197.5</v>
      </c>
      <c r="BV16" s="1">
        <f t="shared" si="119"/>
        <v>200</v>
      </c>
      <c r="BW16" s="1">
        <f t="shared" si="119"/>
        <v>202.5</v>
      </c>
      <c r="BX16" s="1">
        <f t="shared" si="119"/>
        <v>205</v>
      </c>
      <c r="BY16" s="1">
        <f t="shared" si="119"/>
        <v>207.5</v>
      </c>
      <c r="BZ16" s="1">
        <f t="shared" si="119"/>
        <v>210</v>
      </c>
      <c r="CA16" s="1">
        <f t="shared" si="119"/>
        <v>212.5</v>
      </c>
      <c r="CB16" s="1">
        <f t="shared" si="119"/>
        <v>215</v>
      </c>
      <c r="CC16" s="1">
        <f t="shared" si="119"/>
        <v>217.5</v>
      </c>
      <c r="CD16" s="1">
        <f t="shared" si="119"/>
        <v>220</v>
      </c>
      <c r="CE16" s="1">
        <f t="shared" si="119"/>
        <v>222.5</v>
      </c>
      <c r="CF16" s="1">
        <f t="shared" si="119"/>
        <v>225</v>
      </c>
      <c r="CG16" s="1">
        <f t="shared" si="119"/>
        <v>227.5</v>
      </c>
      <c r="CH16" s="1">
        <f t="shared" si="119"/>
        <v>230</v>
      </c>
      <c r="CI16" s="1">
        <f t="shared" si="119"/>
        <v>232.5</v>
      </c>
      <c r="CJ16" s="1">
        <f t="shared" si="119"/>
        <v>235</v>
      </c>
      <c r="CK16" s="1">
        <f t="shared" si="119"/>
        <v>237.5</v>
      </c>
      <c r="CL16" s="1">
        <f t="shared" si="119"/>
        <v>240</v>
      </c>
      <c r="CM16" s="1">
        <f t="shared" si="119"/>
        <v>242.5</v>
      </c>
      <c r="CN16" s="1">
        <f t="shared" si="119"/>
        <v>245</v>
      </c>
      <c r="CO16" s="1">
        <f t="shared" si="119"/>
        <v>247.5</v>
      </c>
      <c r="CP16" s="1">
        <f t="shared" si="119"/>
        <v>250</v>
      </c>
      <c r="CQ16" s="1">
        <f t="shared" si="119"/>
        <v>252.5</v>
      </c>
      <c r="CR16" s="1">
        <f t="shared" si="119"/>
        <v>255</v>
      </c>
      <c r="CS16" s="1">
        <f t="shared" si="119"/>
        <v>257.5</v>
      </c>
      <c r="CT16" s="1">
        <f t="shared" si="119"/>
        <v>260</v>
      </c>
      <c r="CU16" s="1">
        <f t="shared" si="119"/>
        <v>262.5</v>
      </c>
      <c r="CV16" s="1">
        <f t="shared" si="119"/>
        <v>265</v>
      </c>
      <c r="CW16" s="1">
        <f t="shared" si="119"/>
        <v>267.5</v>
      </c>
      <c r="CX16" s="1">
        <f t="shared" si="119"/>
        <v>270</v>
      </c>
      <c r="CY16" s="1">
        <f t="shared" si="119"/>
        <v>272.5</v>
      </c>
      <c r="CZ16" s="1">
        <f t="shared" si="119"/>
        <v>275</v>
      </c>
      <c r="DA16" s="1">
        <f t="shared" si="119"/>
        <v>277.5</v>
      </c>
      <c r="DB16" s="1">
        <f t="shared" si="119"/>
        <v>280</v>
      </c>
      <c r="DC16" s="1">
        <f t="shared" si="119"/>
        <v>282.5</v>
      </c>
      <c r="DD16" s="1">
        <f t="shared" si="119"/>
        <v>285</v>
      </c>
      <c r="DE16" s="1">
        <f t="shared" si="119"/>
        <v>287.5</v>
      </c>
      <c r="DF16" s="1">
        <f t="shared" si="119"/>
        <v>290</v>
      </c>
      <c r="DG16" s="1">
        <f t="shared" si="119"/>
        <v>292.5</v>
      </c>
      <c r="DH16" s="1">
        <f t="shared" si="119"/>
        <v>295</v>
      </c>
      <c r="DI16" s="1">
        <f t="shared" si="119"/>
        <v>297.5</v>
      </c>
      <c r="DJ16" s="1">
        <f t="shared" si="119"/>
        <v>300</v>
      </c>
      <c r="DK16" s="1">
        <f t="shared" si="119"/>
        <v>302.5</v>
      </c>
      <c r="DL16" s="1">
        <f t="shared" si="119"/>
        <v>305</v>
      </c>
      <c r="DM16" s="1">
        <f t="shared" si="119"/>
        <v>307.5</v>
      </c>
      <c r="DN16" s="1">
        <f t="shared" si="119"/>
        <v>310</v>
      </c>
      <c r="DO16" s="1">
        <f t="shared" si="119"/>
        <v>312.5</v>
      </c>
      <c r="DP16" s="1">
        <f t="shared" si="119"/>
        <v>315</v>
      </c>
      <c r="DQ16" s="1">
        <f t="shared" si="119"/>
        <v>317.5</v>
      </c>
      <c r="DR16" s="1">
        <f t="shared" si="119"/>
        <v>320</v>
      </c>
      <c r="DS16" s="1">
        <f t="shared" si="119"/>
        <v>322.5</v>
      </c>
      <c r="DT16" s="1">
        <f t="shared" si="119"/>
        <v>325</v>
      </c>
      <c r="DU16" s="1">
        <f t="shared" si="119"/>
        <v>327.5</v>
      </c>
      <c r="DV16" s="1">
        <f t="shared" si="119"/>
        <v>330</v>
      </c>
      <c r="DW16" s="1">
        <f t="shared" si="119"/>
        <v>332.5</v>
      </c>
      <c r="DX16" s="1">
        <f t="shared" si="119"/>
        <v>335</v>
      </c>
      <c r="DY16" s="1">
        <f t="shared" si="119"/>
        <v>337.5</v>
      </c>
      <c r="DZ16" s="1">
        <f t="shared" si="119"/>
        <v>340</v>
      </c>
      <c r="EA16" s="1">
        <f t="shared" si="119"/>
        <v>342.5</v>
      </c>
      <c r="EB16" s="1">
        <f t="shared" si="119"/>
        <v>345</v>
      </c>
      <c r="EC16" s="1">
        <f t="shared" si="120"/>
        <v>347.5</v>
      </c>
      <c r="ED16" s="1">
        <f t="shared" si="120"/>
        <v>350</v>
      </c>
      <c r="EE16" s="1">
        <f t="shared" si="120"/>
        <v>352.5</v>
      </c>
      <c r="EF16" s="1">
        <f t="shared" si="120"/>
        <v>355</v>
      </c>
      <c r="EG16" s="1">
        <f t="shared" si="120"/>
        <v>357.5</v>
      </c>
      <c r="EH16" s="1">
        <f t="shared" si="120"/>
        <v>360</v>
      </c>
      <c r="EI16" s="1">
        <f t="shared" si="120"/>
        <v>362.5</v>
      </c>
      <c r="EJ16" s="1">
        <f t="shared" si="120"/>
        <v>365</v>
      </c>
      <c r="EK16" s="1">
        <f t="shared" si="120"/>
        <v>367.5</v>
      </c>
      <c r="EL16" s="1">
        <f t="shared" si="120"/>
        <v>370</v>
      </c>
      <c r="EM16" s="1">
        <f t="shared" si="120"/>
        <v>372.5</v>
      </c>
      <c r="EN16" s="1">
        <f t="shared" si="120"/>
        <v>375</v>
      </c>
    </row>
    <row r="17" spans="1:144" x14ac:dyDescent="0.3">
      <c r="A17" s="112"/>
      <c r="B17" s="13" t="str">
        <f t="shared" si="121"/>
        <v>0x03</v>
      </c>
      <c r="C17" s="12">
        <f t="shared" si="123"/>
        <v>3</v>
      </c>
      <c r="D17" s="1">
        <f t="shared" si="122"/>
        <v>12.5</v>
      </c>
      <c r="E17" s="1">
        <f t="shared" si="124"/>
        <v>13.75</v>
      </c>
      <c r="F17" s="1">
        <f t="shared" si="124"/>
        <v>15</v>
      </c>
      <c r="G17" s="1">
        <f t="shared" si="124"/>
        <v>16.25</v>
      </c>
      <c r="H17" s="1">
        <f t="shared" si="124"/>
        <v>17.5</v>
      </c>
      <c r="I17" s="1">
        <f t="shared" si="124"/>
        <v>18.75</v>
      </c>
      <c r="J17" s="1">
        <f t="shared" si="124"/>
        <v>20</v>
      </c>
      <c r="K17" s="1">
        <f t="shared" si="124"/>
        <v>21.25</v>
      </c>
      <c r="L17" s="1">
        <f t="shared" si="124"/>
        <v>22.5</v>
      </c>
      <c r="M17" s="1">
        <f t="shared" si="124"/>
        <v>23.75</v>
      </c>
      <c r="N17" s="1">
        <f t="shared" si="124"/>
        <v>25</v>
      </c>
      <c r="O17" s="1">
        <f t="shared" si="124"/>
        <v>26.25</v>
      </c>
      <c r="P17" s="1">
        <f t="shared" si="124"/>
        <v>27.5</v>
      </c>
      <c r="Q17" s="1">
        <f t="shared" si="124"/>
        <v>28.75</v>
      </c>
      <c r="R17" s="1">
        <f t="shared" si="124"/>
        <v>30</v>
      </c>
      <c r="S17" s="1">
        <f t="shared" si="124"/>
        <v>31.25</v>
      </c>
      <c r="T17" s="1">
        <f t="shared" si="124"/>
        <v>32.5</v>
      </c>
      <c r="U17" s="1">
        <f t="shared" si="124"/>
        <v>33.75</v>
      </c>
      <c r="V17" s="1">
        <f t="shared" si="124"/>
        <v>35</v>
      </c>
      <c r="W17" s="1">
        <f t="shared" si="124"/>
        <v>36.25</v>
      </c>
      <c r="X17" s="1">
        <f t="shared" si="124"/>
        <v>37.5</v>
      </c>
      <c r="Y17" s="1">
        <f t="shared" si="124"/>
        <v>38.75</v>
      </c>
      <c r="Z17" s="1">
        <f t="shared" si="124"/>
        <v>40</v>
      </c>
      <c r="AA17" s="1">
        <f t="shared" si="124"/>
        <v>41.25</v>
      </c>
      <c r="AB17" s="1">
        <f t="shared" si="124"/>
        <v>42.5</v>
      </c>
      <c r="AC17" s="1">
        <f t="shared" si="124"/>
        <v>43.75</v>
      </c>
      <c r="AD17" s="1">
        <f t="shared" si="124"/>
        <v>45</v>
      </c>
      <c r="AE17" s="1">
        <f t="shared" si="124"/>
        <v>46.25</v>
      </c>
      <c r="AF17" s="1">
        <f t="shared" si="124"/>
        <v>47.5</v>
      </c>
      <c r="AG17" s="1">
        <f t="shared" si="124"/>
        <v>48.75</v>
      </c>
      <c r="AH17" s="1">
        <f t="shared" si="124"/>
        <v>50</v>
      </c>
      <c r="AI17" s="1">
        <f t="shared" si="124"/>
        <v>51.25</v>
      </c>
      <c r="AJ17" s="1">
        <f t="shared" si="124"/>
        <v>52.5</v>
      </c>
      <c r="AK17" s="1">
        <f t="shared" si="124"/>
        <v>53.75</v>
      </c>
      <c r="AL17" s="1">
        <f t="shared" si="124"/>
        <v>55</v>
      </c>
      <c r="AM17" s="1">
        <f t="shared" si="124"/>
        <v>56.25</v>
      </c>
      <c r="AN17" s="1">
        <f t="shared" si="124"/>
        <v>57.5</v>
      </c>
      <c r="AO17" s="1">
        <f t="shared" si="124"/>
        <v>58.75</v>
      </c>
      <c r="AP17" s="1">
        <f t="shared" si="124"/>
        <v>60</v>
      </c>
      <c r="AQ17" s="1">
        <f t="shared" si="124"/>
        <v>61.25</v>
      </c>
      <c r="AR17" s="1">
        <f t="shared" si="124"/>
        <v>62.5</v>
      </c>
      <c r="AS17" s="1">
        <f t="shared" si="124"/>
        <v>63.75</v>
      </c>
      <c r="AT17" s="1">
        <f t="shared" si="124"/>
        <v>65</v>
      </c>
      <c r="AU17" s="1">
        <f t="shared" si="124"/>
        <v>66.25</v>
      </c>
      <c r="AV17" s="1">
        <f t="shared" si="124"/>
        <v>67.5</v>
      </c>
      <c r="AW17" s="1">
        <f t="shared" si="124"/>
        <v>68.75</v>
      </c>
      <c r="AX17" s="1">
        <f t="shared" si="124"/>
        <v>70</v>
      </c>
      <c r="AY17" s="1">
        <f t="shared" si="124"/>
        <v>71.25</v>
      </c>
      <c r="AZ17" s="1">
        <f t="shared" si="124"/>
        <v>72.5</v>
      </c>
      <c r="BA17" s="1">
        <f t="shared" si="124"/>
        <v>73.75</v>
      </c>
      <c r="BB17" s="1">
        <f t="shared" si="124"/>
        <v>75</v>
      </c>
      <c r="BC17" s="1">
        <f t="shared" si="124"/>
        <v>76.25</v>
      </c>
      <c r="BD17" s="1">
        <f t="shared" si="124"/>
        <v>77.5</v>
      </c>
      <c r="BE17" s="1">
        <f t="shared" si="124"/>
        <v>78.75</v>
      </c>
      <c r="BF17" s="1">
        <f t="shared" si="124"/>
        <v>80</v>
      </c>
      <c r="BG17" s="1">
        <f t="shared" si="124"/>
        <v>81.25</v>
      </c>
      <c r="BH17" s="1">
        <f t="shared" si="124"/>
        <v>82.5</v>
      </c>
      <c r="BI17" s="1">
        <f t="shared" si="124"/>
        <v>83.75</v>
      </c>
      <c r="BJ17" s="1">
        <f t="shared" si="124"/>
        <v>85</v>
      </c>
      <c r="BK17" s="1">
        <f t="shared" si="124"/>
        <v>86.25</v>
      </c>
      <c r="BL17" s="1">
        <f t="shared" si="124"/>
        <v>87.5</v>
      </c>
      <c r="BM17" s="1">
        <f t="shared" si="124"/>
        <v>88.75</v>
      </c>
      <c r="BN17" s="1">
        <f t="shared" si="124"/>
        <v>90</v>
      </c>
      <c r="BO17" s="1">
        <f t="shared" si="124"/>
        <v>91.25</v>
      </c>
      <c r="BP17" s="1">
        <f t="shared" si="124"/>
        <v>92.5</v>
      </c>
      <c r="BQ17" s="1">
        <f t="shared" si="119"/>
        <v>93.75</v>
      </c>
      <c r="BR17" s="1">
        <f t="shared" si="119"/>
        <v>95</v>
      </c>
      <c r="BS17" s="1">
        <f t="shared" si="119"/>
        <v>96.25</v>
      </c>
      <c r="BT17" s="1">
        <f t="shared" si="119"/>
        <v>97.5</v>
      </c>
      <c r="BU17" s="1">
        <f t="shared" si="119"/>
        <v>98.75</v>
      </c>
      <c r="BV17" s="1">
        <f t="shared" si="119"/>
        <v>100</v>
      </c>
      <c r="BW17" s="1">
        <f t="shared" si="119"/>
        <v>101.25</v>
      </c>
      <c r="BX17" s="1">
        <f t="shared" si="119"/>
        <v>102.5</v>
      </c>
      <c r="BY17" s="1">
        <f t="shared" si="119"/>
        <v>103.75</v>
      </c>
      <c r="BZ17" s="1">
        <f t="shared" si="119"/>
        <v>105</v>
      </c>
      <c r="CA17" s="1">
        <f t="shared" si="119"/>
        <v>106.25</v>
      </c>
      <c r="CB17" s="1">
        <f t="shared" si="119"/>
        <v>107.5</v>
      </c>
      <c r="CC17" s="1">
        <f t="shared" si="119"/>
        <v>108.75</v>
      </c>
      <c r="CD17" s="1">
        <f t="shared" si="119"/>
        <v>110</v>
      </c>
      <c r="CE17" s="1">
        <f t="shared" si="119"/>
        <v>111.25</v>
      </c>
      <c r="CF17" s="1">
        <f t="shared" si="119"/>
        <v>112.5</v>
      </c>
      <c r="CG17" s="1">
        <f t="shared" si="119"/>
        <v>113.75</v>
      </c>
      <c r="CH17" s="1">
        <f t="shared" si="119"/>
        <v>115</v>
      </c>
      <c r="CI17" s="1">
        <f t="shared" si="119"/>
        <v>116.25</v>
      </c>
      <c r="CJ17" s="1">
        <f t="shared" si="119"/>
        <v>117.5</v>
      </c>
      <c r="CK17" s="1">
        <f t="shared" si="119"/>
        <v>118.75</v>
      </c>
      <c r="CL17" s="1">
        <f t="shared" si="119"/>
        <v>120</v>
      </c>
      <c r="CM17" s="1">
        <f t="shared" si="119"/>
        <v>121.25</v>
      </c>
      <c r="CN17" s="1">
        <f t="shared" si="119"/>
        <v>122.5</v>
      </c>
      <c r="CO17" s="1">
        <f t="shared" si="119"/>
        <v>123.75</v>
      </c>
      <c r="CP17" s="1">
        <f t="shared" si="119"/>
        <v>125</v>
      </c>
      <c r="CQ17" s="1">
        <f t="shared" si="119"/>
        <v>126.25</v>
      </c>
      <c r="CR17" s="1">
        <f t="shared" si="119"/>
        <v>127.5</v>
      </c>
      <c r="CS17" s="1">
        <f t="shared" si="119"/>
        <v>128.75</v>
      </c>
      <c r="CT17" s="1">
        <f t="shared" si="119"/>
        <v>130</v>
      </c>
      <c r="CU17" s="1">
        <f t="shared" si="119"/>
        <v>131.25</v>
      </c>
      <c r="CV17" s="1">
        <f t="shared" si="119"/>
        <v>132.5</v>
      </c>
      <c r="CW17" s="1">
        <f t="shared" si="119"/>
        <v>133.75</v>
      </c>
      <c r="CX17" s="1">
        <f t="shared" si="119"/>
        <v>135</v>
      </c>
      <c r="CY17" s="1">
        <f t="shared" si="119"/>
        <v>136.25</v>
      </c>
      <c r="CZ17" s="1">
        <f t="shared" si="119"/>
        <v>137.5</v>
      </c>
      <c r="DA17" s="1">
        <f t="shared" si="119"/>
        <v>138.75</v>
      </c>
      <c r="DB17" s="1">
        <f t="shared" si="119"/>
        <v>140</v>
      </c>
      <c r="DC17" s="1">
        <f t="shared" si="119"/>
        <v>141.25</v>
      </c>
      <c r="DD17" s="1">
        <f t="shared" si="119"/>
        <v>142.5</v>
      </c>
      <c r="DE17" s="1">
        <f t="shared" si="119"/>
        <v>143.75</v>
      </c>
      <c r="DF17" s="1">
        <f t="shared" si="119"/>
        <v>145</v>
      </c>
      <c r="DG17" s="1">
        <f t="shared" si="119"/>
        <v>146.25</v>
      </c>
      <c r="DH17" s="1">
        <f t="shared" si="119"/>
        <v>147.5</v>
      </c>
      <c r="DI17" s="1">
        <f t="shared" si="119"/>
        <v>148.75</v>
      </c>
      <c r="DJ17" s="1">
        <f t="shared" si="119"/>
        <v>150</v>
      </c>
      <c r="DK17" s="1">
        <f t="shared" si="119"/>
        <v>151.25</v>
      </c>
      <c r="DL17" s="1">
        <f t="shared" si="119"/>
        <v>152.5</v>
      </c>
      <c r="DM17" s="1">
        <f t="shared" si="119"/>
        <v>153.75</v>
      </c>
      <c r="DN17" s="1">
        <f t="shared" si="119"/>
        <v>155</v>
      </c>
      <c r="DO17" s="1">
        <f t="shared" si="119"/>
        <v>156.25</v>
      </c>
      <c r="DP17" s="1">
        <f t="shared" si="119"/>
        <v>157.5</v>
      </c>
      <c r="DQ17" s="1">
        <f t="shared" si="119"/>
        <v>158.75</v>
      </c>
      <c r="DR17" s="1">
        <f t="shared" si="119"/>
        <v>160</v>
      </c>
      <c r="DS17" s="1">
        <f t="shared" si="119"/>
        <v>161.25</v>
      </c>
      <c r="DT17" s="1">
        <f t="shared" si="119"/>
        <v>162.5</v>
      </c>
      <c r="DU17" s="1">
        <f t="shared" si="119"/>
        <v>163.75</v>
      </c>
      <c r="DV17" s="1">
        <f t="shared" si="119"/>
        <v>165</v>
      </c>
      <c r="DW17" s="1">
        <f t="shared" si="119"/>
        <v>166.25</v>
      </c>
      <c r="DX17" s="1">
        <f t="shared" si="119"/>
        <v>167.5</v>
      </c>
      <c r="DY17" s="1">
        <f t="shared" si="119"/>
        <v>168.75</v>
      </c>
      <c r="DZ17" s="1">
        <f t="shared" si="119"/>
        <v>170</v>
      </c>
      <c r="EA17" s="1">
        <f t="shared" si="119"/>
        <v>171.25</v>
      </c>
      <c r="EB17" s="1">
        <f t="shared" ref="EB17:EN18" si="125">IF($U$3=0,0,($U$2*(EB$13+($G$9/$G$10)))/(2*POWER(2,$C17)*$U$3))</f>
        <v>172.5</v>
      </c>
      <c r="EC17" s="1">
        <f t="shared" si="125"/>
        <v>173.75</v>
      </c>
      <c r="ED17" s="1">
        <f t="shared" si="125"/>
        <v>175</v>
      </c>
      <c r="EE17" s="1">
        <f t="shared" si="125"/>
        <v>176.25</v>
      </c>
      <c r="EF17" s="1">
        <f t="shared" si="125"/>
        <v>177.5</v>
      </c>
      <c r="EG17" s="1">
        <f t="shared" si="125"/>
        <v>178.75</v>
      </c>
      <c r="EH17" s="1">
        <f t="shared" si="125"/>
        <v>180</v>
      </c>
      <c r="EI17" s="1">
        <f t="shared" si="125"/>
        <v>181.25</v>
      </c>
      <c r="EJ17" s="1">
        <f t="shared" si="125"/>
        <v>182.5</v>
      </c>
      <c r="EK17" s="1">
        <f t="shared" si="125"/>
        <v>183.75</v>
      </c>
      <c r="EL17" s="1">
        <f t="shared" si="125"/>
        <v>185</v>
      </c>
      <c r="EM17" s="1">
        <f t="shared" si="125"/>
        <v>186.25</v>
      </c>
      <c r="EN17" s="1">
        <f t="shared" si="125"/>
        <v>187.5</v>
      </c>
    </row>
    <row r="18" spans="1:144" x14ac:dyDescent="0.3">
      <c r="A18" s="113"/>
      <c r="B18" s="14" t="str">
        <f t="shared" si="121"/>
        <v>0x04</v>
      </c>
      <c r="C18" s="12">
        <f t="shared" si="123"/>
        <v>4</v>
      </c>
      <c r="D18" s="1">
        <f t="shared" si="122"/>
        <v>6.25</v>
      </c>
      <c r="E18" s="1">
        <f t="shared" si="124"/>
        <v>6.875</v>
      </c>
      <c r="F18" s="1">
        <f t="shared" si="124"/>
        <v>7.5</v>
      </c>
      <c r="G18" s="1">
        <f t="shared" si="124"/>
        <v>8.125</v>
      </c>
      <c r="H18" s="1">
        <f t="shared" si="124"/>
        <v>8.75</v>
      </c>
      <c r="I18" s="1">
        <f t="shared" si="124"/>
        <v>9.375</v>
      </c>
      <c r="J18" s="1">
        <f t="shared" si="124"/>
        <v>10</v>
      </c>
      <c r="K18" s="1">
        <f t="shared" si="124"/>
        <v>10.625</v>
      </c>
      <c r="L18" s="1">
        <f t="shared" si="124"/>
        <v>11.25</v>
      </c>
      <c r="M18" s="1">
        <f t="shared" si="124"/>
        <v>11.875</v>
      </c>
      <c r="N18" s="1">
        <f t="shared" si="124"/>
        <v>12.5</v>
      </c>
      <c r="O18" s="1">
        <f t="shared" si="124"/>
        <v>13.125</v>
      </c>
      <c r="P18" s="1">
        <f t="shared" si="124"/>
        <v>13.75</v>
      </c>
      <c r="Q18" s="1">
        <f t="shared" si="124"/>
        <v>14.375</v>
      </c>
      <c r="R18" s="1">
        <f t="shared" si="124"/>
        <v>15</v>
      </c>
      <c r="S18" s="1">
        <f t="shared" si="124"/>
        <v>15.625</v>
      </c>
      <c r="T18" s="1">
        <f t="shared" si="124"/>
        <v>16.25</v>
      </c>
      <c r="U18" s="1">
        <f t="shared" si="124"/>
        <v>16.875</v>
      </c>
      <c r="V18" s="1">
        <f t="shared" si="124"/>
        <v>17.5</v>
      </c>
      <c r="W18" s="1">
        <f t="shared" si="124"/>
        <v>18.125</v>
      </c>
      <c r="X18" s="1">
        <f t="shared" si="124"/>
        <v>18.75</v>
      </c>
      <c r="Y18" s="1">
        <f t="shared" si="124"/>
        <v>19.375</v>
      </c>
      <c r="Z18" s="1">
        <f t="shared" si="124"/>
        <v>20</v>
      </c>
      <c r="AA18" s="1">
        <f t="shared" si="124"/>
        <v>20.625</v>
      </c>
      <c r="AB18" s="1">
        <f t="shared" si="124"/>
        <v>21.25</v>
      </c>
      <c r="AC18" s="1">
        <f t="shared" si="124"/>
        <v>21.875</v>
      </c>
      <c r="AD18" s="1">
        <f t="shared" si="124"/>
        <v>22.5</v>
      </c>
      <c r="AE18" s="1">
        <f t="shared" si="124"/>
        <v>23.125</v>
      </c>
      <c r="AF18" s="1">
        <f t="shared" si="124"/>
        <v>23.75</v>
      </c>
      <c r="AG18" s="1">
        <f t="shared" si="124"/>
        <v>24.375</v>
      </c>
      <c r="AH18" s="1">
        <f t="shared" si="124"/>
        <v>25</v>
      </c>
      <c r="AI18" s="1">
        <f t="shared" si="124"/>
        <v>25.625</v>
      </c>
      <c r="AJ18" s="1">
        <f t="shared" si="124"/>
        <v>26.25</v>
      </c>
      <c r="AK18" s="1">
        <f t="shared" si="124"/>
        <v>26.875</v>
      </c>
      <c r="AL18" s="1">
        <f t="shared" si="124"/>
        <v>27.5</v>
      </c>
      <c r="AM18" s="1">
        <f t="shared" si="124"/>
        <v>28.125</v>
      </c>
      <c r="AN18" s="1">
        <f t="shared" si="124"/>
        <v>28.75</v>
      </c>
      <c r="AO18" s="1">
        <f t="shared" si="124"/>
        <v>29.375</v>
      </c>
      <c r="AP18" s="1">
        <f t="shared" si="124"/>
        <v>30</v>
      </c>
      <c r="AQ18" s="1">
        <f t="shared" si="124"/>
        <v>30.625</v>
      </c>
      <c r="AR18" s="1">
        <f t="shared" si="124"/>
        <v>31.25</v>
      </c>
      <c r="AS18" s="1">
        <f t="shared" si="124"/>
        <v>31.875</v>
      </c>
      <c r="AT18" s="1">
        <f t="shared" si="124"/>
        <v>32.5</v>
      </c>
      <c r="AU18" s="1">
        <f t="shared" si="124"/>
        <v>33.125</v>
      </c>
      <c r="AV18" s="1">
        <f t="shared" si="124"/>
        <v>33.75</v>
      </c>
      <c r="AW18" s="1">
        <f t="shared" si="124"/>
        <v>34.375</v>
      </c>
      <c r="AX18" s="1">
        <f t="shared" si="124"/>
        <v>35</v>
      </c>
      <c r="AY18" s="1">
        <f t="shared" si="124"/>
        <v>35.625</v>
      </c>
      <c r="AZ18" s="1">
        <f t="shared" si="124"/>
        <v>36.25</v>
      </c>
      <c r="BA18" s="1">
        <f t="shared" si="124"/>
        <v>36.875</v>
      </c>
      <c r="BB18" s="1">
        <f t="shared" si="124"/>
        <v>37.5</v>
      </c>
      <c r="BC18" s="1">
        <f t="shared" si="124"/>
        <v>38.125</v>
      </c>
      <c r="BD18" s="1">
        <f t="shared" si="124"/>
        <v>38.75</v>
      </c>
      <c r="BE18" s="1">
        <f t="shared" si="124"/>
        <v>39.375</v>
      </c>
      <c r="BF18" s="1">
        <f t="shared" si="124"/>
        <v>40</v>
      </c>
      <c r="BG18" s="1">
        <f t="shared" si="124"/>
        <v>40.625</v>
      </c>
      <c r="BH18" s="1">
        <f t="shared" si="124"/>
        <v>41.25</v>
      </c>
      <c r="BI18" s="1">
        <f t="shared" si="124"/>
        <v>41.875</v>
      </c>
      <c r="BJ18" s="1">
        <f t="shared" si="124"/>
        <v>42.5</v>
      </c>
      <c r="BK18" s="1">
        <f t="shared" si="124"/>
        <v>43.125</v>
      </c>
      <c r="BL18" s="1">
        <f t="shared" si="124"/>
        <v>43.75</v>
      </c>
      <c r="BM18" s="1">
        <f t="shared" si="124"/>
        <v>44.375</v>
      </c>
      <c r="BN18" s="1">
        <f t="shared" si="124"/>
        <v>45</v>
      </c>
      <c r="BO18" s="1">
        <f t="shared" si="124"/>
        <v>45.625</v>
      </c>
      <c r="BP18" s="1">
        <f t="shared" si="124"/>
        <v>46.25</v>
      </c>
      <c r="BQ18" s="1">
        <f t="shared" ref="BQ18:EB18" si="126">IF($U$3=0,0,($U$2*(BQ$13+($G$9/$G$10)))/(2*POWER(2,$C18)*$U$3))</f>
        <v>46.875</v>
      </c>
      <c r="BR18" s="1">
        <f t="shared" si="126"/>
        <v>47.5</v>
      </c>
      <c r="BS18" s="1">
        <f t="shared" si="126"/>
        <v>48.125</v>
      </c>
      <c r="BT18" s="1">
        <f t="shared" si="126"/>
        <v>48.75</v>
      </c>
      <c r="BU18" s="1">
        <f t="shared" si="126"/>
        <v>49.375</v>
      </c>
      <c r="BV18" s="1">
        <f t="shared" si="126"/>
        <v>50</v>
      </c>
      <c r="BW18" s="1">
        <f t="shared" si="126"/>
        <v>50.625</v>
      </c>
      <c r="BX18" s="1">
        <f t="shared" si="126"/>
        <v>51.25</v>
      </c>
      <c r="BY18" s="1">
        <f t="shared" si="126"/>
        <v>51.875</v>
      </c>
      <c r="BZ18" s="1">
        <f t="shared" si="126"/>
        <v>52.5</v>
      </c>
      <c r="CA18" s="1">
        <f t="shared" si="126"/>
        <v>53.125</v>
      </c>
      <c r="CB18" s="1">
        <f t="shared" si="126"/>
        <v>53.75</v>
      </c>
      <c r="CC18" s="1">
        <f t="shared" si="126"/>
        <v>54.375</v>
      </c>
      <c r="CD18" s="1">
        <f t="shared" si="126"/>
        <v>55</v>
      </c>
      <c r="CE18" s="1">
        <f t="shared" si="126"/>
        <v>55.625</v>
      </c>
      <c r="CF18" s="1">
        <f t="shared" si="126"/>
        <v>56.25</v>
      </c>
      <c r="CG18" s="1">
        <f t="shared" si="126"/>
        <v>56.875</v>
      </c>
      <c r="CH18" s="1">
        <f t="shared" si="126"/>
        <v>57.5</v>
      </c>
      <c r="CI18" s="1">
        <f t="shared" si="126"/>
        <v>58.125</v>
      </c>
      <c r="CJ18" s="1">
        <f t="shared" si="126"/>
        <v>58.75</v>
      </c>
      <c r="CK18" s="1">
        <f t="shared" si="126"/>
        <v>59.375</v>
      </c>
      <c r="CL18" s="1">
        <f t="shared" si="126"/>
        <v>60</v>
      </c>
      <c r="CM18" s="1">
        <f t="shared" si="126"/>
        <v>60.625</v>
      </c>
      <c r="CN18" s="1">
        <f t="shared" si="126"/>
        <v>61.25</v>
      </c>
      <c r="CO18" s="1">
        <f t="shared" si="126"/>
        <v>61.875</v>
      </c>
      <c r="CP18" s="1">
        <f t="shared" si="126"/>
        <v>62.5</v>
      </c>
      <c r="CQ18" s="1">
        <f t="shared" si="126"/>
        <v>63.125</v>
      </c>
      <c r="CR18" s="1">
        <f t="shared" si="126"/>
        <v>63.75</v>
      </c>
      <c r="CS18" s="1">
        <f t="shared" si="126"/>
        <v>64.375</v>
      </c>
      <c r="CT18" s="1">
        <f t="shared" si="126"/>
        <v>65</v>
      </c>
      <c r="CU18" s="1">
        <f t="shared" si="126"/>
        <v>65.625</v>
      </c>
      <c r="CV18" s="1">
        <f t="shared" si="126"/>
        <v>66.25</v>
      </c>
      <c r="CW18" s="1">
        <f t="shared" si="126"/>
        <v>66.875</v>
      </c>
      <c r="CX18" s="1">
        <f t="shared" si="126"/>
        <v>67.5</v>
      </c>
      <c r="CY18" s="1">
        <f t="shared" si="126"/>
        <v>68.125</v>
      </c>
      <c r="CZ18" s="1">
        <f t="shared" si="126"/>
        <v>68.75</v>
      </c>
      <c r="DA18" s="1">
        <f t="shared" si="126"/>
        <v>69.375</v>
      </c>
      <c r="DB18" s="1">
        <f t="shared" si="126"/>
        <v>70</v>
      </c>
      <c r="DC18" s="1">
        <f t="shared" si="126"/>
        <v>70.625</v>
      </c>
      <c r="DD18" s="1">
        <f t="shared" si="126"/>
        <v>71.25</v>
      </c>
      <c r="DE18" s="1">
        <f t="shared" si="126"/>
        <v>71.875</v>
      </c>
      <c r="DF18" s="1">
        <f t="shared" si="126"/>
        <v>72.5</v>
      </c>
      <c r="DG18" s="1">
        <f t="shared" si="126"/>
        <v>73.125</v>
      </c>
      <c r="DH18" s="1">
        <f t="shared" si="126"/>
        <v>73.75</v>
      </c>
      <c r="DI18" s="1">
        <f t="shared" si="126"/>
        <v>74.375</v>
      </c>
      <c r="DJ18" s="1">
        <f t="shared" si="126"/>
        <v>75</v>
      </c>
      <c r="DK18" s="1">
        <f t="shared" si="126"/>
        <v>75.625</v>
      </c>
      <c r="DL18" s="1">
        <f t="shared" si="126"/>
        <v>76.25</v>
      </c>
      <c r="DM18" s="1">
        <f t="shared" si="126"/>
        <v>76.875</v>
      </c>
      <c r="DN18" s="1">
        <f t="shared" si="126"/>
        <v>77.5</v>
      </c>
      <c r="DO18" s="1">
        <f t="shared" si="126"/>
        <v>78.125</v>
      </c>
      <c r="DP18" s="1">
        <f t="shared" si="126"/>
        <v>78.75</v>
      </c>
      <c r="DQ18" s="1">
        <f t="shared" si="126"/>
        <v>79.375</v>
      </c>
      <c r="DR18" s="1">
        <f t="shared" si="126"/>
        <v>80</v>
      </c>
      <c r="DS18" s="1">
        <f t="shared" si="126"/>
        <v>80.625</v>
      </c>
      <c r="DT18" s="1">
        <f t="shared" si="126"/>
        <v>81.25</v>
      </c>
      <c r="DU18" s="1">
        <f t="shared" si="126"/>
        <v>81.875</v>
      </c>
      <c r="DV18" s="1">
        <f t="shared" si="126"/>
        <v>82.5</v>
      </c>
      <c r="DW18" s="1">
        <f t="shared" si="126"/>
        <v>83.125</v>
      </c>
      <c r="DX18" s="1">
        <f t="shared" si="126"/>
        <v>83.75</v>
      </c>
      <c r="DY18" s="1">
        <f t="shared" si="126"/>
        <v>84.375</v>
      </c>
      <c r="DZ18" s="1">
        <f t="shared" si="126"/>
        <v>85</v>
      </c>
      <c r="EA18" s="1">
        <f t="shared" si="126"/>
        <v>85.625</v>
      </c>
      <c r="EB18" s="1">
        <f t="shared" si="126"/>
        <v>86.25</v>
      </c>
      <c r="EC18" s="1">
        <f t="shared" si="125"/>
        <v>86.875</v>
      </c>
      <c r="ED18" s="1">
        <f t="shared" si="125"/>
        <v>87.5</v>
      </c>
      <c r="EE18" s="1">
        <f t="shared" si="125"/>
        <v>88.125</v>
      </c>
      <c r="EF18" s="1">
        <f t="shared" si="125"/>
        <v>88.75</v>
      </c>
      <c r="EG18" s="1">
        <f t="shared" si="125"/>
        <v>89.375</v>
      </c>
      <c r="EH18" s="1">
        <f t="shared" si="125"/>
        <v>90</v>
      </c>
      <c r="EI18" s="1">
        <f t="shared" si="125"/>
        <v>90.625</v>
      </c>
      <c r="EJ18" s="1">
        <f t="shared" si="125"/>
        <v>91.25</v>
      </c>
      <c r="EK18" s="1">
        <f t="shared" si="125"/>
        <v>91.875</v>
      </c>
      <c r="EL18" s="1">
        <f t="shared" si="125"/>
        <v>92.5</v>
      </c>
      <c r="EM18" s="1">
        <f t="shared" si="125"/>
        <v>93.125</v>
      </c>
      <c r="EN18" s="1">
        <f t="shared" si="125"/>
        <v>93.75</v>
      </c>
    </row>
    <row r="19" spans="1:144" x14ac:dyDescent="0.3">
      <c r="A19" s="45"/>
      <c r="B19" s="44"/>
      <c r="C19" s="3"/>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row>
    <row r="20" spans="1:144" x14ac:dyDescent="0.3">
      <c r="A20" s="45"/>
      <c r="B20" s="44"/>
      <c r="C20" s="3"/>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row>
    <row r="21" spans="1:144" x14ac:dyDescent="0.3">
      <c r="A21" s="45"/>
      <c r="B21" s="44"/>
      <c r="C21" s="3"/>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row>
    <row r="22" spans="1:144" x14ac:dyDescent="0.3">
      <c r="A22" s="45"/>
      <c r="B22" s="44"/>
      <c r="C22" s="3"/>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row>
    <row r="23" spans="1:144" x14ac:dyDescent="0.3">
      <c r="A23" s="45"/>
      <c r="B23" s="44"/>
      <c r="C23" s="3"/>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row>
    <row r="24" spans="1:144" x14ac:dyDescent="0.3">
      <c r="A24" s="45"/>
      <c r="B24" s="44"/>
      <c r="C24" s="3"/>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row>
    <row r="25" spans="1:144" x14ac:dyDescent="0.3">
      <c r="A25" s="45"/>
      <c r="B25" s="44"/>
      <c r="C25" s="3"/>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row>
    <row r="26" spans="1:144" x14ac:dyDescent="0.3">
      <c r="A26" s="45"/>
      <c r="B26" s="44"/>
      <c r="C26" s="3"/>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row>
    <row r="27" spans="1:144" s="22" customFormat="1" x14ac:dyDescent="0.3">
      <c r="A27" s="45"/>
      <c r="B27" s="44"/>
      <c r="C27" s="3"/>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row>
  </sheetData>
  <mergeCells count="7">
    <mergeCell ref="D11:DS11"/>
    <mergeCell ref="V2:Z6"/>
    <mergeCell ref="D1:V1"/>
    <mergeCell ref="A14:A18"/>
    <mergeCell ref="A3:B3"/>
    <mergeCell ref="A1:C2"/>
    <mergeCell ref="A4:B4"/>
  </mergeCells>
  <conditionalFormatting sqref="D14:EN18">
    <cfRule type="expression" dxfId="65" priority="2" stopIfTrue="1">
      <formula>OR($U$2*(D$13+($G$9/$G$10))/$U$3 &lt; $U$5, $U$2*(D$13+($G$9/$G$10))/$U$3 &gt; $U$6)</formula>
    </cfRule>
    <cfRule type="expression" dxfId="64" priority="11">
      <formula>D14 &gt;$U$7</formula>
    </cfRule>
    <cfRule type="expression" dxfId="63" priority="12">
      <formula>D14&gt;$U$4</formula>
    </cfRule>
    <cfRule type="expression" dxfId="62" priority="13" stopIfTrue="1">
      <formula>D14 = $U$4</formula>
    </cfRule>
  </conditionalFormatting>
  <conditionalFormatting sqref="S11">
    <cfRule type="expression" dxfId="61" priority="4">
      <formula>"OR(S11 &gt; pll0_phi!$U$6, S11 &lt; pll0_phi!$U$5)"</formula>
    </cfRule>
  </conditionalFormatting>
  <conditionalFormatting sqref="C4">
    <cfRule type="expression" dxfId="60" priority="1">
      <formula>OR(B6/C4 &lt;#REF!, B6/C4&gt;#REF!)</formula>
    </cfRule>
  </conditionalFormatting>
  <dataValidations count="3">
    <dataValidation type="whole" allowBlank="1" showInputMessage="1" showErrorMessage="1" sqref="G9" xr:uid="{00000000-0002-0000-0900-000000000000}">
      <formula1>0</formula1>
      <formula2>16383</formula2>
    </dataValidation>
    <dataValidation type="whole" allowBlank="1" showInputMessage="1" showErrorMessage="1" sqref="G10" xr:uid="{00000000-0002-0000-0900-000001000000}">
      <formula1>IF(G9=0,1,G9)</formula1>
      <formula2>65535</formula2>
    </dataValidation>
    <dataValidation type="list" allowBlank="1" showInputMessage="1" showErrorMessage="1" sqref="C4" xr:uid="{00000000-0002-0000-0900-000002000000}">
      <formula1>"1,2,3,4,5,6"</formula1>
    </dataValidation>
  </dataValidations>
  <hyperlinks>
    <hyperlink ref="S2" location="FMPLL!D9" display="FMPLL_PHI0 reference" xr:uid="{00000000-0004-0000-0900-000000000000}"/>
    <hyperlink ref="S3" location="fmpll_phi0!C4" display="PLL0DV[PREDIV]" xr:uid="{00000000-0004-0000-0900-000001000000}"/>
    <hyperlink ref="S4" location="fmpll_phi0!C3" display="Requested F(phi)" xr:uid="{00000000-0004-0000-0900-000002000000}"/>
    <hyperlink ref="D9" location="FMPLL!P11" display="MFN" xr:uid="{00000000-0004-0000-0900-000003000000}"/>
    <hyperlink ref="D10" location="FMPLL!S11" display="MFDEN" xr:uid="{00000000-0004-0000-0900-000004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FB24"/>
  <sheetViews>
    <sheetView zoomScale="80" zoomScaleNormal="80" workbookViewId="0">
      <pane xSplit="3" ySplit="16" topLeftCell="D18" activePane="bottomRight" state="frozen"/>
      <selection pane="topRight" activeCell="C1" sqref="C1"/>
      <selection pane="bottomLeft" activeCell="A12" sqref="A12"/>
      <selection pane="bottomRight" activeCell="D20" sqref="D20:EN24"/>
    </sheetView>
  </sheetViews>
  <sheetFormatPr defaultRowHeight="14.4" x14ac:dyDescent="0.3"/>
  <cols>
    <col min="2" max="3" width="8.6640625" customWidth="1"/>
  </cols>
  <sheetData>
    <row r="1" spans="1:24" ht="69" customHeight="1" x14ac:dyDescent="0.35">
      <c r="A1" s="115" t="s">
        <v>12</v>
      </c>
      <c r="B1" s="115"/>
      <c r="C1" s="115"/>
      <c r="D1" s="108" t="s">
        <v>7</v>
      </c>
      <c r="E1" s="121"/>
      <c r="F1" s="121"/>
      <c r="G1" s="121"/>
      <c r="H1" s="121"/>
      <c r="I1" s="121"/>
      <c r="J1" s="121"/>
      <c r="K1" s="121"/>
      <c r="L1" s="121"/>
      <c r="M1" s="121"/>
      <c r="N1" s="121"/>
      <c r="O1" s="121"/>
      <c r="P1" s="121"/>
      <c r="Q1" s="121"/>
      <c r="R1" s="121"/>
      <c r="S1" s="121"/>
      <c r="T1" s="121"/>
      <c r="U1" s="11"/>
      <c r="V1" s="11"/>
      <c r="W1" s="11"/>
      <c r="X1" s="11"/>
    </row>
    <row r="2" spans="1:24" ht="15" thickBot="1" x14ac:dyDescent="0.35">
      <c r="A2" s="115"/>
      <c r="B2" s="115"/>
      <c r="C2" s="115"/>
      <c r="T2" s="43" t="s">
        <v>3</v>
      </c>
      <c r="V2">
        <f>FMPLL!D9</f>
        <v>40</v>
      </c>
      <c r="W2" s="106" t="s">
        <v>57</v>
      </c>
      <c r="X2" s="120"/>
    </row>
    <row r="3" spans="1:24" ht="15.6" thickTop="1" thickBot="1" x14ac:dyDescent="0.35">
      <c r="A3" s="114" t="s">
        <v>14</v>
      </c>
      <c r="B3" s="114"/>
      <c r="C3" s="63">
        <v>80</v>
      </c>
      <c r="T3" s="43" t="s">
        <v>2</v>
      </c>
      <c r="V3">
        <f>C4</f>
        <v>1</v>
      </c>
      <c r="W3" s="120"/>
      <c r="X3" s="120"/>
    </row>
    <row r="4" spans="1:24" ht="15.6" thickTop="1" thickBot="1" x14ac:dyDescent="0.35">
      <c r="A4" s="114" t="s">
        <v>2</v>
      </c>
      <c r="B4" s="114"/>
      <c r="C4" s="63">
        <v>1</v>
      </c>
      <c r="T4" s="43" t="s">
        <v>5</v>
      </c>
      <c r="V4">
        <f>C3</f>
        <v>80</v>
      </c>
      <c r="W4" s="120"/>
      <c r="X4" s="120"/>
    </row>
    <row r="5" spans="1:24" ht="15" thickTop="1" x14ac:dyDescent="0.3">
      <c r="A5" s="25" t="s">
        <v>11</v>
      </c>
      <c r="T5" t="s">
        <v>0</v>
      </c>
      <c r="V5">
        <f>Limits!$B$5</f>
        <v>600</v>
      </c>
      <c r="W5" s="120"/>
      <c r="X5" s="120"/>
    </row>
    <row r="6" spans="1:24" x14ac:dyDescent="0.3">
      <c r="T6" t="s">
        <v>1</v>
      </c>
      <c r="V6">
        <f>Limits!$B$6</f>
        <v>1280</v>
      </c>
      <c r="W6" s="120"/>
      <c r="X6" s="120"/>
    </row>
    <row r="7" spans="1:24" ht="23.4" x14ac:dyDescent="0.3">
      <c r="T7" t="s">
        <v>33</v>
      </c>
      <c r="V7">
        <f>Limits!B10</f>
        <v>80</v>
      </c>
      <c r="W7" s="42"/>
      <c r="X7" s="42"/>
    </row>
    <row r="8" spans="1:24" ht="23.4" x14ac:dyDescent="0.3">
      <c r="W8" s="42"/>
      <c r="X8" s="42"/>
    </row>
    <row r="11" spans="1:24" x14ac:dyDescent="0.3">
      <c r="M11" s="5"/>
      <c r="N11" t="s">
        <v>4</v>
      </c>
    </row>
    <row r="12" spans="1:24" x14ac:dyDescent="0.3">
      <c r="M12" s="7"/>
      <c r="N12" t="s">
        <v>31</v>
      </c>
    </row>
    <row r="13" spans="1:24" ht="15" thickBot="1" x14ac:dyDescent="0.35">
      <c r="M13" s="6"/>
      <c r="N13" t="s">
        <v>6</v>
      </c>
    </row>
    <row r="14" spans="1:24" ht="15.6" thickTop="1" thickBot="1" x14ac:dyDescent="0.35">
      <c r="D14" s="46" t="s">
        <v>27</v>
      </c>
      <c r="E14" s="47"/>
      <c r="F14" s="47"/>
      <c r="G14" s="65">
        <v>0</v>
      </c>
      <c r="M14" s="18"/>
      <c r="N14" t="s">
        <v>5</v>
      </c>
    </row>
    <row r="15" spans="1:24" ht="15.6" thickTop="1" thickBot="1" x14ac:dyDescent="0.35">
      <c r="D15" s="48" t="s">
        <v>28</v>
      </c>
      <c r="E15" s="49"/>
      <c r="F15" s="49"/>
      <c r="G15" s="65">
        <v>65535</v>
      </c>
    </row>
    <row r="16" spans="1:24" ht="15" thickTop="1" x14ac:dyDescent="0.3"/>
    <row r="17" spans="1:158" s="34" customFormat="1" x14ac:dyDescent="0.3">
      <c r="A17" s="50"/>
      <c r="B17" s="44"/>
      <c r="C17" s="51"/>
      <c r="D17" s="104" t="s">
        <v>18</v>
      </c>
      <c r="E17" s="119"/>
      <c r="F17" s="119"/>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c r="CB17" s="119"/>
      <c r="CC17" s="119"/>
      <c r="CD17" s="119"/>
      <c r="CE17" s="119"/>
      <c r="CF17" s="119"/>
      <c r="CG17" s="119"/>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row>
    <row r="18" spans="1:158" x14ac:dyDescent="0.3">
      <c r="D18" s="16" t="str">
        <f t="shared" ref="D18:AI18" si="0">"0x"&amp;DEC2HEX(D19,2)</f>
        <v>0x0A</v>
      </c>
      <c r="E18" s="16" t="str">
        <f t="shared" si="0"/>
        <v>0x0B</v>
      </c>
      <c r="F18" s="16" t="str">
        <f t="shared" si="0"/>
        <v>0x0C</v>
      </c>
      <c r="G18" s="16" t="str">
        <f t="shared" si="0"/>
        <v>0x0D</v>
      </c>
      <c r="H18" s="16" t="str">
        <f t="shared" si="0"/>
        <v>0x0E</v>
      </c>
      <c r="I18" s="16" t="str">
        <f t="shared" si="0"/>
        <v>0x0F</v>
      </c>
      <c r="J18" s="16" t="str">
        <f t="shared" si="0"/>
        <v>0x10</v>
      </c>
      <c r="K18" s="16" t="str">
        <f t="shared" si="0"/>
        <v>0x11</v>
      </c>
      <c r="L18" s="16" t="str">
        <f t="shared" si="0"/>
        <v>0x12</v>
      </c>
      <c r="M18" s="16" t="str">
        <f t="shared" si="0"/>
        <v>0x13</v>
      </c>
      <c r="N18" s="16" t="str">
        <f t="shared" si="0"/>
        <v>0x14</v>
      </c>
      <c r="O18" s="16" t="str">
        <f t="shared" si="0"/>
        <v>0x15</v>
      </c>
      <c r="P18" s="16" t="str">
        <f t="shared" si="0"/>
        <v>0x16</v>
      </c>
      <c r="Q18" s="16" t="str">
        <f t="shared" si="0"/>
        <v>0x17</v>
      </c>
      <c r="R18" s="16" t="str">
        <f t="shared" si="0"/>
        <v>0x18</v>
      </c>
      <c r="S18" s="16" t="str">
        <f t="shared" si="0"/>
        <v>0x19</v>
      </c>
      <c r="T18" s="16" t="str">
        <f t="shared" si="0"/>
        <v>0x1A</v>
      </c>
      <c r="U18" s="16" t="str">
        <f t="shared" si="0"/>
        <v>0x1B</v>
      </c>
      <c r="V18" s="16" t="str">
        <f t="shared" si="0"/>
        <v>0x1C</v>
      </c>
      <c r="W18" s="16" t="str">
        <f t="shared" si="0"/>
        <v>0x1D</v>
      </c>
      <c r="X18" s="16" t="str">
        <f t="shared" si="0"/>
        <v>0x1E</v>
      </c>
      <c r="Y18" s="16" t="str">
        <f t="shared" si="0"/>
        <v>0x1F</v>
      </c>
      <c r="Z18" s="16" t="str">
        <f t="shared" si="0"/>
        <v>0x20</v>
      </c>
      <c r="AA18" s="16" t="str">
        <f t="shared" si="0"/>
        <v>0x21</v>
      </c>
      <c r="AB18" s="16" t="str">
        <f t="shared" si="0"/>
        <v>0x22</v>
      </c>
      <c r="AC18" s="16" t="str">
        <f t="shared" si="0"/>
        <v>0x23</v>
      </c>
      <c r="AD18" s="16" t="str">
        <f t="shared" si="0"/>
        <v>0x24</v>
      </c>
      <c r="AE18" s="16" t="str">
        <f t="shared" si="0"/>
        <v>0x25</v>
      </c>
      <c r="AF18" s="16" t="str">
        <f t="shared" si="0"/>
        <v>0x26</v>
      </c>
      <c r="AG18" s="16" t="str">
        <f t="shared" si="0"/>
        <v>0x27</v>
      </c>
      <c r="AH18" s="16" t="str">
        <f t="shared" si="0"/>
        <v>0x28</v>
      </c>
      <c r="AI18" s="16" t="str">
        <f t="shared" si="0"/>
        <v>0x29</v>
      </c>
      <c r="AJ18" s="16" t="str">
        <f t="shared" ref="AJ18:BO18" si="1">"0x"&amp;DEC2HEX(AJ19,2)</f>
        <v>0x2A</v>
      </c>
      <c r="AK18" s="16" t="str">
        <f t="shared" si="1"/>
        <v>0x2B</v>
      </c>
      <c r="AL18" s="16" t="str">
        <f t="shared" si="1"/>
        <v>0x2C</v>
      </c>
      <c r="AM18" s="16" t="str">
        <f t="shared" si="1"/>
        <v>0x2D</v>
      </c>
      <c r="AN18" s="16" t="str">
        <f t="shared" si="1"/>
        <v>0x2E</v>
      </c>
      <c r="AO18" s="16" t="str">
        <f t="shared" si="1"/>
        <v>0x2F</v>
      </c>
      <c r="AP18" s="16" t="str">
        <f t="shared" si="1"/>
        <v>0x30</v>
      </c>
      <c r="AQ18" s="16" t="str">
        <f t="shared" si="1"/>
        <v>0x31</v>
      </c>
      <c r="AR18" s="16" t="str">
        <f t="shared" si="1"/>
        <v>0x32</v>
      </c>
      <c r="AS18" s="16" t="str">
        <f t="shared" si="1"/>
        <v>0x33</v>
      </c>
      <c r="AT18" s="16" t="str">
        <f t="shared" si="1"/>
        <v>0x34</v>
      </c>
      <c r="AU18" s="16" t="str">
        <f t="shared" si="1"/>
        <v>0x35</v>
      </c>
      <c r="AV18" s="16" t="str">
        <f t="shared" si="1"/>
        <v>0x36</v>
      </c>
      <c r="AW18" s="16" t="str">
        <f t="shared" si="1"/>
        <v>0x37</v>
      </c>
      <c r="AX18" s="16" t="str">
        <f t="shared" si="1"/>
        <v>0x38</v>
      </c>
      <c r="AY18" s="16" t="str">
        <f t="shared" si="1"/>
        <v>0x39</v>
      </c>
      <c r="AZ18" s="16" t="str">
        <f t="shared" si="1"/>
        <v>0x3A</v>
      </c>
      <c r="BA18" s="16" t="str">
        <f t="shared" si="1"/>
        <v>0x3B</v>
      </c>
      <c r="BB18" s="16" t="str">
        <f t="shared" si="1"/>
        <v>0x3C</v>
      </c>
      <c r="BC18" s="16" t="str">
        <f t="shared" si="1"/>
        <v>0x3D</v>
      </c>
      <c r="BD18" s="16" t="str">
        <f t="shared" si="1"/>
        <v>0x3E</v>
      </c>
      <c r="BE18" s="16" t="str">
        <f t="shared" si="1"/>
        <v>0x3F</v>
      </c>
      <c r="BF18" s="16" t="str">
        <f t="shared" si="1"/>
        <v>0x40</v>
      </c>
      <c r="BG18" s="16" t="str">
        <f t="shared" si="1"/>
        <v>0x41</v>
      </c>
      <c r="BH18" s="16" t="str">
        <f t="shared" si="1"/>
        <v>0x42</v>
      </c>
      <c r="BI18" s="16" t="str">
        <f t="shared" si="1"/>
        <v>0x43</v>
      </c>
      <c r="BJ18" s="16" t="str">
        <f t="shared" si="1"/>
        <v>0x44</v>
      </c>
      <c r="BK18" s="16" t="str">
        <f t="shared" si="1"/>
        <v>0x45</v>
      </c>
      <c r="BL18" s="16" t="str">
        <f t="shared" si="1"/>
        <v>0x46</v>
      </c>
      <c r="BM18" s="16" t="str">
        <f t="shared" si="1"/>
        <v>0x47</v>
      </c>
      <c r="BN18" s="16" t="str">
        <f t="shared" si="1"/>
        <v>0x48</v>
      </c>
      <c r="BO18" s="16" t="str">
        <f t="shared" si="1"/>
        <v>0x49</v>
      </c>
      <c r="BP18" s="16" t="str">
        <f t="shared" ref="BP18:CU18" si="2">"0x"&amp;DEC2HEX(BP19,2)</f>
        <v>0x4A</v>
      </c>
      <c r="BQ18" s="16" t="str">
        <f t="shared" si="2"/>
        <v>0x4B</v>
      </c>
      <c r="BR18" s="16" t="str">
        <f t="shared" si="2"/>
        <v>0x4C</v>
      </c>
      <c r="BS18" s="16" t="str">
        <f t="shared" si="2"/>
        <v>0x4D</v>
      </c>
      <c r="BT18" s="16" t="str">
        <f t="shared" si="2"/>
        <v>0x4E</v>
      </c>
      <c r="BU18" s="16" t="str">
        <f t="shared" si="2"/>
        <v>0x4F</v>
      </c>
      <c r="BV18" s="16" t="str">
        <f t="shared" si="2"/>
        <v>0x50</v>
      </c>
      <c r="BW18" s="16" t="str">
        <f t="shared" si="2"/>
        <v>0x51</v>
      </c>
      <c r="BX18" s="16" t="str">
        <f t="shared" si="2"/>
        <v>0x52</v>
      </c>
      <c r="BY18" s="16" t="str">
        <f t="shared" si="2"/>
        <v>0x53</v>
      </c>
      <c r="BZ18" s="16" t="str">
        <f t="shared" si="2"/>
        <v>0x54</v>
      </c>
      <c r="CA18" s="16" t="str">
        <f t="shared" si="2"/>
        <v>0x55</v>
      </c>
      <c r="CB18" s="16" t="str">
        <f t="shared" si="2"/>
        <v>0x56</v>
      </c>
      <c r="CC18" s="16" t="str">
        <f t="shared" si="2"/>
        <v>0x57</v>
      </c>
      <c r="CD18" s="16" t="str">
        <f t="shared" si="2"/>
        <v>0x58</v>
      </c>
      <c r="CE18" s="16" t="str">
        <f t="shared" si="2"/>
        <v>0x59</v>
      </c>
      <c r="CF18" s="16" t="str">
        <f t="shared" si="2"/>
        <v>0x5A</v>
      </c>
      <c r="CG18" s="16" t="str">
        <f t="shared" si="2"/>
        <v>0x5B</v>
      </c>
      <c r="CH18" s="16" t="str">
        <f t="shared" si="2"/>
        <v>0x5C</v>
      </c>
      <c r="CI18" s="16" t="str">
        <f t="shared" si="2"/>
        <v>0x5D</v>
      </c>
      <c r="CJ18" s="16" t="str">
        <f t="shared" si="2"/>
        <v>0x5E</v>
      </c>
      <c r="CK18" s="16" t="str">
        <f t="shared" si="2"/>
        <v>0x5F</v>
      </c>
      <c r="CL18" s="16" t="str">
        <f t="shared" si="2"/>
        <v>0x60</v>
      </c>
      <c r="CM18" s="16" t="str">
        <f t="shared" si="2"/>
        <v>0x61</v>
      </c>
      <c r="CN18" s="16" t="str">
        <f t="shared" si="2"/>
        <v>0x62</v>
      </c>
      <c r="CO18" s="16" t="str">
        <f t="shared" si="2"/>
        <v>0x63</v>
      </c>
      <c r="CP18" s="16" t="str">
        <f t="shared" si="2"/>
        <v>0x64</v>
      </c>
      <c r="CQ18" s="16" t="str">
        <f t="shared" si="2"/>
        <v>0x65</v>
      </c>
      <c r="CR18" s="16" t="str">
        <f t="shared" si="2"/>
        <v>0x66</v>
      </c>
      <c r="CS18" s="16" t="str">
        <f t="shared" si="2"/>
        <v>0x67</v>
      </c>
      <c r="CT18" s="16" t="str">
        <f t="shared" si="2"/>
        <v>0x68</v>
      </c>
      <c r="CU18" s="16" t="str">
        <f t="shared" si="2"/>
        <v>0x69</v>
      </c>
      <c r="CV18" s="16" t="str">
        <f t="shared" ref="CV18:EN18" si="3">"0x"&amp;DEC2HEX(CV19,2)</f>
        <v>0x6A</v>
      </c>
      <c r="CW18" s="16" t="str">
        <f t="shared" si="3"/>
        <v>0x6B</v>
      </c>
      <c r="CX18" s="16" t="str">
        <f t="shared" si="3"/>
        <v>0x6C</v>
      </c>
      <c r="CY18" s="16" t="str">
        <f t="shared" si="3"/>
        <v>0x6D</v>
      </c>
      <c r="CZ18" s="16" t="str">
        <f t="shared" si="3"/>
        <v>0x6E</v>
      </c>
      <c r="DA18" s="16" t="str">
        <f t="shared" si="3"/>
        <v>0x6F</v>
      </c>
      <c r="DB18" s="16" t="str">
        <f t="shared" si="3"/>
        <v>0x70</v>
      </c>
      <c r="DC18" s="16" t="str">
        <f t="shared" si="3"/>
        <v>0x71</v>
      </c>
      <c r="DD18" s="16" t="str">
        <f t="shared" si="3"/>
        <v>0x72</v>
      </c>
      <c r="DE18" s="16" t="str">
        <f t="shared" si="3"/>
        <v>0x73</v>
      </c>
      <c r="DF18" s="16" t="str">
        <f t="shared" si="3"/>
        <v>0x74</v>
      </c>
      <c r="DG18" s="16" t="str">
        <f t="shared" si="3"/>
        <v>0x75</v>
      </c>
      <c r="DH18" s="16" t="str">
        <f t="shared" si="3"/>
        <v>0x76</v>
      </c>
      <c r="DI18" s="16" t="str">
        <f t="shared" si="3"/>
        <v>0x77</v>
      </c>
      <c r="DJ18" s="16" t="str">
        <f t="shared" si="3"/>
        <v>0x78</v>
      </c>
      <c r="DK18" s="16" t="str">
        <f t="shared" si="3"/>
        <v>0x79</v>
      </c>
      <c r="DL18" s="16" t="str">
        <f t="shared" si="3"/>
        <v>0x7A</v>
      </c>
      <c r="DM18" s="16" t="str">
        <f t="shared" si="3"/>
        <v>0x7B</v>
      </c>
      <c r="DN18" s="16" t="str">
        <f t="shared" si="3"/>
        <v>0x7C</v>
      </c>
      <c r="DO18" s="16" t="str">
        <f t="shared" si="3"/>
        <v>0x7D</v>
      </c>
      <c r="DP18" s="16" t="str">
        <f t="shared" si="3"/>
        <v>0x7E</v>
      </c>
      <c r="DQ18" s="16" t="str">
        <f t="shared" si="3"/>
        <v>0x7F</v>
      </c>
      <c r="DR18" s="16" t="str">
        <f t="shared" si="3"/>
        <v>0x80</v>
      </c>
      <c r="DS18" s="16" t="str">
        <f t="shared" si="3"/>
        <v>0x81</v>
      </c>
      <c r="DT18" s="16" t="str">
        <f t="shared" si="3"/>
        <v>0x82</v>
      </c>
      <c r="DU18" s="16" t="str">
        <f t="shared" si="3"/>
        <v>0x83</v>
      </c>
      <c r="DV18" s="16" t="str">
        <f t="shared" si="3"/>
        <v>0x84</v>
      </c>
      <c r="DW18" s="16" t="str">
        <f t="shared" si="3"/>
        <v>0x85</v>
      </c>
      <c r="DX18" s="16" t="str">
        <f t="shared" si="3"/>
        <v>0x86</v>
      </c>
      <c r="DY18" s="16" t="str">
        <f t="shared" si="3"/>
        <v>0x87</v>
      </c>
      <c r="DZ18" s="16" t="str">
        <f t="shared" si="3"/>
        <v>0x88</v>
      </c>
      <c r="EA18" s="16" t="str">
        <f t="shared" si="3"/>
        <v>0x89</v>
      </c>
      <c r="EB18" s="16" t="str">
        <f t="shared" si="3"/>
        <v>0x8A</v>
      </c>
      <c r="EC18" s="16" t="str">
        <f t="shared" si="3"/>
        <v>0x8B</v>
      </c>
      <c r="ED18" s="16" t="str">
        <f t="shared" si="3"/>
        <v>0x8C</v>
      </c>
      <c r="EE18" s="16" t="str">
        <f t="shared" si="3"/>
        <v>0x8D</v>
      </c>
      <c r="EF18" s="16" t="str">
        <f t="shared" si="3"/>
        <v>0x8E</v>
      </c>
      <c r="EG18" s="16" t="str">
        <f t="shared" si="3"/>
        <v>0x8F</v>
      </c>
      <c r="EH18" s="16" t="str">
        <f t="shared" si="3"/>
        <v>0x90</v>
      </c>
      <c r="EI18" s="16" t="str">
        <f t="shared" si="3"/>
        <v>0x91</v>
      </c>
      <c r="EJ18" s="16" t="str">
        <f t="shared" si="3"/>
        <v>0x92</v>
      </c>
      <c r="EK18" s="16" t="str">
        <f t="shared" si="3"/>
        <v>0x93</v>
      </c>
      <c r="EL18" s="16" t="str">
        <f t="shared" si="3"/>
        <v>0x94</v>
      </c>
      <c r="EM18" s="16" t="str">
        <f t="shared" si="3"/>
        <v>0x95</v>
      </c>
      <c r="EN18" s="16" t="str">
        <f t="shared" si="3"/>
        <v>0x96</v>
      </c>
      <c r="EO18" s="34"/>
      <c r="EP18" s="52"/>
      <c r="EQ18" s="52"/>
      <c r="ER18" s="52"/>
      <c r="ES18" s="52"/>
      <c r="ET18" s="52"/>
      <c r="EU18" s="52"/>
      <c r="EV18" s="52"/>
      <c r="EW18" s="52"/>
      <c r="EX18" s="52"/>
      <c r="EY18" s="52"/>
      <c r="EZ18" s="52"/>
      <c r="FA18" s="52"/>
      <c r="FB18" s="52"/>
    </row>
    <row r="19" spans="1:158" x14ac:dyDescent="0.3">
      <c r="C19" s="2"/>
      <c r="D19" s="17">
        <v>10</v>
      </c>
      <c r="E19" s="17">
        <f t="shared" ref="E19:L19" si="4">D19+1</f>
        <v>11</v>
      </c>
      <c r="F19" s="17">
        <f t="shared" si="4"/>
        <v>12</v>
      </c>
      <c r="G19" s="17">
        <f t="shared" si="4"/>
        <v>13</v>
      </c>
      <c r="H19" s="17">
        <f t="shared" si="4"/>
        <v>14</v>
      </c>
      <c r="I19" s="17">
        <f t="shared" si="4"/>
        <v>15</v>
      </c>
      <c r="J19" s="17">
        <f t="shared" si="4"/>
        <v>16</v>
      </c>
      <c r="K19" s="17">
        <f t="shared" si="4"/>
        <v>17</v>
      </c>
      <c r="L19" s="17">
        <f t="shared" si="4"/>
        <v>18</v>
      </c>
      <c r="M19" s="17">
        <f>L19+1</f>
        <v>19</v>
      </c>
      <c r="N19" s="17">
        <f t="shared" ref="N19:BY19" si="5">M19+1</f>
        <v>20</v>
      </c>
      <c r="O19" s="17">
        <f t="shared" si="5"/>
        <v>21</v>
      </c>
      <c r="P19" s="17">
        <f t="shared" si="5"/>
        <v>22</v>
      </c>
      <c r="Q19" s="17">
        <f t="shared" si="5"/>
        <v>23</v>
      </c>
      <c r="R19" s="17">
        <f t="shared" si="5"/>
        <v>24</v>
      </c>
      <c r="S19" s="17">
        <f t="shared" si="5"/>
        <v>25</v>
      </c>
      <c r="T19" s="17">
        <f t="shared" si="5"/>
        <v>26</v>
      </c>
      <c r="U19" s="17">
        <f t="shared" si="5"/>
        <v>27</v>
      </c>
      <c r="V19" s="17">
        <f t="shared" si="5"/>
        <v>28</v>
      </c>
      <c r="W19" s="17">
        <f t="shared" si="5"/>
        <v>29</v>
      </c>
      <c r="X19" s="17">
        <f t="shared" si="5"/>
        <v>30</v>
      </c>
      <c r="Y19" s="17">
        <f t="shared" si="5"/>
        <v>31</v>
      </c>
      <c r="Z19" s="17">
        <f t="shared" si="5"/>
        <v>32</v>
      </c>
      <c r="AA19" s="17">
        <f t="shared" si="5"/>
        <v>33</v>
      </c>
      <c r="AB19" s="17">
        <f t="shared" si="5"/>
        <v>34</v>
      </c>
      <c r="AC19" s="17">
        <f t="shared" si="5"/>
        <v>35</v>
      </c>
      <c r="AD19" s="17">
        <f t="shared" si="5"/>
        <v>36</v>
      </c>
      <c r="AE19" s="17">
        <f t="shared" si="5"/>
        <v>37</v>
      </c>
      <c r="AF19" s="17">
        <f t="shared" si="5"/>
        <v>38</v>
      </c>
      <c r="AG19" s="17">
        <f t="shared" si="5"/>
        <v>39</v>
      </c>
      <c r="AH19" s="17">
        <f t="shared" si="5"/>
        <v>40</v>
      </c>
      <c r="AI19" s="17">
        <f t="shared" si="5"/>
        <v>41</v>
      </c>
      <c r="AJ19" s="17">
        <f t="shared" si="5"/>
        <v>42</v>
      </c>
      <c r="AK19" s="17">
        <f t="shared" si="5"/>
        <v>43</v>
      </c>
      <c r="AL19" s="17">
        <f t="shared" si="5"/>
        <v>44</v>
      </c>
      <c r="AM19" s="17">
        <f t="shared" si="5"/>
        <v>45</v>
      </c>
      <c r="AN19" s="17">
        <f t="shared" si="5"/>
        <v>46</v>
      </c>
      <c r="AO19" s="17">
        <f t="shared" si="5"/>
        <v>47</v>
      </c>
      <c r="AP19" s="17">
        <f t="shared" si="5"/>
        <v>48</v>
      </c>
      <c r="AQ19" s="17">
        <f t="shared" si="5"/>
        <v>49</v>
      </c>
      <c r="AR19" s="17">
        <f t="shared" si="5"/>
        <v>50</v>
      </c>
      <c r="AS19" s="17">
        <f t="shared" si="5"/>
        <v>51</v>
      </c>
      <c r="AT19" s="17">
        <f t="shared" si="5"/>
        <v>52</v>
      </c>
      <c r="AU19" s="17">
        <f t="shared" si="5"/>
        <v>53</v>
      </c>
      <c r="AV19" s="17">
        <f t="shared" si="5"/>
        <v>54</v>
      </c>
      <c r="AW19" s="17">
        <f t="shared" si="5"/>
        <v>55</v>
      </c>
      <c r="AX19" s="17">
        <f t="shared" si="5"/>
        <v>56</v>
      </c>
      <c r="AY19" s="17">
        <f t="shared" si="5"/>
        <v>57</v>
      </c>
      <c r="AZ19" s="17">
        <f t="shared" si="5"/>
        <v>58</v>
      </c>
      <c r="BA19" s="17">
        <f t="shared" si="5"/>
        <v>59</v>
      </c>
      <c r="BB19" s="17">
        <f t="shared" si="5"/>
        <v>60</v>
      </c>
      <c r="BC19" s="17">
        <f t="shared" si="5"/>
        <v>61</v>
      </c>
      <c r="BD19" s="17">
        <f t="shared" si="5"/>
        <v>62</v>
      </c>
      <c r="BE19" s="17">
        <f t="shared" si="5"/>
        <v>63</v>
      </c>
      <c r="BF19" s="17">
        <f t="shared" si="5"/>
        <v>64</v>
      </c>
      <c r="BG19" s="17">
        <f t="shared" si="5"/>
        <v>65</v>
      </c>
      <c r="BH19" s="17">
        <f t="shared" si="5"/>
        <v>66</v>
      </c>
      <c r="BI19" s="17">
        <f t="shared" si="5"/>
        <v>67</v>
      </c>
      <c r="BJ19" s="17">
        <f t="shared" si="5"/>
        <v>68</v>
      </c>
      <c r="BK19" s="17">
        <f t="shared" si="5"/>
        <v>69</v>
      </c>
      <c r="BL19" s="17">
        <f t="shared" si="5"/>
        <v>70</v>
      </c>
      <c r="BM19" s="17">
        <f t="shared" si="5"/>
        <v>71</v>
      </c>
      <c r="BN19" s="17">
        <f t="shared" si="5"/>
        <v>72</v>
      </c>
      <c r="BO19" s="17">
        <f t="shared" si="5"/>
        <v>73</v>
      </c>
      <c r="BP19" s="17">
        <f t="shared" si="5"/>
        <v>74</v>
      </c>
      <c r="BQ19" s="17">
        <f t="shared" si="5"/>
        <v>75</v>
      </c>
      <c r="BR19" s="17">
        <f t="shared" si="5"/>
        <v>76</v>
      </c>
      <c r="BS19" s="17">
        <f t="shared" si="5"/>
        <v>77</v>
      </c>
      <c r="BT19" s="17">
        <f t="shared" si="5"/>
        <v>78</v>
      </c>
      <c r="BU19" s="17">
        <f t="shared" si="5"/>
        <v>79</v>
      </c>
      <c r="BV19" s="17">
        <f t="shared" si="5"/>
        <v>80</v>
      </c>
      <c r="BW19" s="17">
        <f t="shared" si="5"/>
        <v>81</v>
      </c>
      <c r="BX19" s="17">
        <f t="shared" si="5"/>
        <v>82</v>
      </c>
      <c r="BY19" s="17">
        <f t="shared" si="5"/>
        <v>83</v>
      </c>
      <c r="BZ19" s="17">
        <f t="shared" ref="BZ19:DS19" si="6">BY19+1</f>
        <v>84</v>
      </c>
      <c r="CA19" s="17">
        <f t="shared" si="6"/>
        <v>85</v>
      </c>
      <c r="CB19" s="17">
        <f t="shared" si="6"/>
        <v>86</v>
      </c>
      <c r="CC19" s="17">
        <f t="shared" si="6"/>
        <v>87</v>
      </c>
      <c r="CD19" s="17">
        <f t="shared" si="6"/>
        <v>88</v>
      </c>
      <c r="CE19" s="17">
        <f t="shared" si="6"/>
        <v>89</v>
      </c>
      <c r="CF19" s="17">
        <f t="shared" si="6"/>
        <v>90</v>
      </c>
      <c r="CG19" s="17">
        <f t="shared" si="6"/>
        <v>91</v>
      </c>
      <c r="CH19" s="17">
        <f t="shared" si="6"/>
        <v>92</v>
      </c>
      <c r="CI19" s="17">
        <f t="shared" si="6"/>
        <v>93</v>
      </c>
      <c r="CJ19" s="17">
        <f t="shared" si="6"/>
        <v>94</v>
      </c>
      <c r="CK19" s="17">
        <f t="shared" si="6"/>
        <v>95</v>
      </c>
      <c r="CL19" s="17">
        <f t="shared" si="6"/>
        <v>96</v>
      </c>
      <c r="CM19" s="17">
        <f t="shared" si="6"/>
        <v>97</v>
      </c>
      <c r="CN19" s="17">
        <f t="shared" si="6"/>
        <v>98</v>
      </c>
      <c r="CO19" s="17">
        <f t="shared" si="6"/>
        <v>99</v>
      </c>
      <c r="CP19" s="17">
        <f t="shared" si="6"/>
        <v>100</v>
      </c>
      <c r="CQ19" s="17">
        <f t="shared" si="6"/>
        <v>101</v>
      </c>
      <c r="CR19" s="17">
        <f t="shared" si="6"/>
        <v>102</v>
      </c>
      <c r="CS19" s="17">
        <f t="shared" si="6"/>
        <v>103</v>
      </c>
      <c r="CT19" s="17">
        <f t="shared" si="6"/>
        <v>104</v>
      </c>
      <c r="CU19" s="17">
        <f t="shared" si="6"/>
        <v>105</v>
      </c>
      <c r="CV19" s="17">
        <f t="shared" si="6"/>
        <v>106</v>
      </c>
      <c r="CW19" s="17">
        <f t="shared" si="6"/>
        <v>107</v>
      </c>
      <c r="CX19" s="17">
        <f t="shared" si="6"/>
        <v>108</v>
      </c>
      <c r="CY19" s="17">
        <f t="shared" si="6"/>
        <v>109</v>
      </c>
      <c r="CZ19" s="17">
        <f t="shared" si="6"/>
        <v>110</v>
      </c>
      <c r="DA19" s="17">
        <f t="shared" si="6"/>
        <v>111</v>
      </c>
      <c r="DB19" s="17">
        <f t="shared" si="6"/>
        <v>112</v>
      </c>
      <c r="DC19" s="17">
        <f t="shared" si="6"/>
        <v>113</v>
      </c>
      <c r="DD19" s="17">
        <f t="shared" si="6"/>
        <v>114</v>
      </c>
      <c r="DE19" s="17">
        <f t="shared" si="6"/>
        <v>115</v>
      </c>
      <c r="DF19" s="17">
        <f t="shared" si="6"/>
        <v>116</v>
      </c>
      <c r="DG19" s="17">
        <f t="shared" si="6"/>
        <v>117</v>
      </c>
      <c r="DH19" s="17">
        <f t="shared" si="6"/>
        <v>118</v>
      </c>
      <c r="DI19" s="17">
        <f t="shared" si="6"/>
        <v>119</v>
      </c>
      <c r="DJ19" s="17">
        <f t="shared" si="6"/>
        <v>120</v>
      </c>
      <c r="DK19" s="17">
        <f t="shared" si="6"/>
        <v>121</v>
      </c>
      <c r="DL19" s="17">
        <f t="shared" si="6"/>
        <v>122</v>
      </c>
      <c r="DM19" s="17">
        <f t="shared" si="6"/>
        <v>123</v>
      </c>
      <c r="DN19" s="17">
        <f t="shared" si="6"/>
        <v>124</v>
      </c>
      <c r="DO19" s="17">
        <f t="shared" si="6"/>
        <v>125</v>
      </c>
      <c r="DP19" s="17">
        <f t="shared" si="6"/>
        <v>126</v>
      </c>
      <c r="DQ19" s="17">
        <f t="shared" si="6"/>
        <v>127</v>
      </c>
      <c r="DR19" s="17">
        <f t="shared" si="6"/>
        <v>128</v>
      </c>
      <c r="DS19" s="17">
        <f t="shared" si="6"/>
        <v>129</v>
      </c>
      <c r="DT19" s="17">
        <f t="shared" ref="DT19" si="7">DS19+1</f>
        <v>130</v>
      </c>
      <c r="DU19" s="17">
        <f t="shared" ref="DU19" si="8">DT19+1</f>
        <v>131</v>
      </c>
      <c r="DV19" s="17">
        <f t="shared" ref="DV19" si="9">DU19+1</f>
        <v>132</v>
      </c>
      <c r="DW19" s="17">
        <f t="shared" ref="DW19" si="10">DV19+1</f>
        <v>133</v>
      </c>
      <c r="DX19" s="17">
        <f t="shared" ref="DX19" si="11">DW19+1</f>
        <v>134</v>
      </c>
      <c r="DY19" s="17">
        <f t="shared" ref="DY19" si="12">DX19+1</f>
        <v>135</v>
      </c>
      <c r="DZ19" s="17">
        <f t="shared" ref="DZ19" si="13">DY19+1</f>
        <v>136</v>
      </c>
      <c r="EA19" s="17">
        <f t="shared" ref="EA19" si="14">DZ19+1</f>
        <v>137</v>
      </c>
      <c r="EB19" s="17">
        <f t="shared" ref="EB19" si="15">EA19+1</f>
        <v>138</v>
      </c>
      <c r="EC19" s="17">
        <f t="shared" ref="EC19" si="16">EB19+1</f>
        <v>139</v>
      </c>
      <c r="ED19" s="17">
        <f t="shared" ref="ED19" si="17">EC19+1</f>
        <v>140</v>
      </c>
      <c r="EE19" s="17">
        <f t="shared" ref="EE19" si="18">ED19+1</f>
        <v>141</v>
      </c>
      <c r="EF19" s="17">
        <f t="shared" ref="EF19" si="19">EE19+1</f>
        <v>142</v>
      </c>
      <c r="EG19" s="17">
        <f t="shared" ref="EG19" si="20">EF19+1</f>
        <v>143</v>
      </c>
      <c r="EH19" s="17">
        <f t="shared" ref="EH19" si="21">EG19+1</f>
        <v>144</v>
      </c>
      <c r="EI19" s="17">
        <f t="shared" ref="EI19" si="22">EH19+1</f>
        <v>145</v>
      </c>
      <c r="EJ19" s="17">
        <f t="shared" ref="EJ19" si="23">EI19+1</f>
        <v>146</v>
      </c>
      <c r="EK19" s="17">
        <f t="shared" ref="EK19" si="24">EJ19+1</f>
        <v>147</v>
      </c>
      <c r="EL19" s="17">
        <f t="shared" ref="EL19" si="25">EK19+1</f>
        <v>148</v>
      </c>
      <c r="EM19" s="17">
        <f t="shared" ref="EM19" si="26">EL19+1</f>
        <v>149</v>
      </c>
      <c r="EN19" s="17">
        <f t="shared" ref="EN19" si="27">EM19+1</f>
        <v>150</v>
      </c>
      <c r="EO19" s="51"/>
      <c r="EP19" s="51"/>
      <c r="EQ19" s="51"/>
      <c r="ER19" s="51"/>
      <c r="ES19" s="51"/>
      <c r="ET19" s="51"/>
      <c r="EU19" s="51"/>
      <c r="EV19" s="51"/>
      <c r="EW19" s="51"/>
      <c r="EX19" s="51"/>
      <c r="EY19" s="51"/>
      <c r="EZ19" s="51"/>
      <c r="FA19" s="51"/>
      <c r="FB19" s="51"/>
    </row>
    <row r="20" spans="1:158" ht="18.75" customHeight="1" x14ac:dyDescent="0.3">
      <c r="A20" s="116" t="s">
        <v>29</v>
      </c>
      <c r="B20" s="13" t="str">
        <f>"0x"&amp;DEC2HEX(C20,2)</f>
        <v>0x00</v>
      </c>
      <c r="C20" s="17">
        <v>0</v>
      </c>
      <c r="D20" s="1">
        <f>IF($V$3=0,0,($V$2*(D$19 + ($G$14/$G$15)))/ (2*POWER(2,$C20) * $V$3))</f>
        <v>200</v>
      </c>
      <c r="E20" s="1">
        <f t="shared" ref="E20:BP21" si="28">IF($V$3=0,0,($V$2*(E$19 + ($G$14/$G$15)))/ (2*POWER(2,$C20) * $V$3))</f>
        <v>220</v>
      </c>
      <c r="F20" s="1">
        <f t="shared" si="28"/>
        <v>240</v>
      </c>
      <c r="G20" s="1">
        <f t="shared" si="28"/>
        <v>260</v>
      </c>
      <c r="H20" s="1">
        <f t="shared" si="28"/>
        <v>280</v>
      </c>
      <c r="I20" s="1">
        <f t="shared" si="28"/>
        <v>300</v>
      </c>
      <c r="J20" s="1">
        <f t="shared" si="28"/>
        <v>320</v>
      </c>
      <c r="K20" s="1">
        <f t="shared" si="28"/>
        <v>340</v>
      </c>
      <c r="L20" s="1">
        <f t="shared" si="28"/>
        <v>360</v>
      </c>
      <c r="M20" s="1">
        <f t="shared" si="28"/>
        <v>380</v>
      </c>
      <c r="N20" s="1">
        <f t="shared" si="28"/>
        <v>400</v>
      </c>
      <c r="O20" s="1">
        <f t="shared" si="28"/>
        <v>420</v>
      </c>
      <c r="P20" s="1">
        <f t="shared" si="28"/>
        <v>440</v>
      </c>
      <c r="Q20" s="1">
        <f t="shared" si="28"/>
        <v>460</v>
      </c>
      <c r="R20" s="1">
        <f t="shared" si="28"/>
        <v>480</v>
      </c>
      <c r="S20" s="1">
        <f t="shared" si="28"/>
        <v>500</v>
      </c>
      <c r="T20" s="1">
        <f t="shared" si="28"/>
        <v>520</v>
      </c>
      <c r="U20" s="1">
        <f t="shared" si="28"/>
        <v>540</v>
      </c>
      <c r="V20" s="1">
        <f t="shared" si="28"/>
        <v>560</v>
      </c>
      <c r="W20" s="1">
        <f t="shared" si="28"/>
        <v>580</v>
      </c>
      <c r="X20" s="1">
        <f t="shared" si="28"/>
        <v>600</v>
      </c>
      <c r="Y20" s="1">
        <f t="shared" si="28"/>
        <v>620</v>
      </c>
      <c r="Z20" s="1">
        <f t="shared" si="28"/>
        <v>640</v>
      </c>
      <c r="AA20" s="1">
        <f t="shared" si="28"/>
        <v>660</v>
      </c>
      <c r="AB20" s="1">
        <f t="shared" si="28"/>
        <v>680</v>
      </c>
      <c r="AC20" s="1">
        <f t="shared" si="28"/>
        <v>700</v>
      </c>
      <c r="AD20" s="1">
        <f t="shared" si="28"/>
        <v>720</v>
      </c>
      <c r="AE20" s="1">
        <f t="shared" si="28"/>
        <v>740</v>
      </c>
      <c r="AF20" s="1">
        <f t="shared" si="28"/>
        <v>760</v>
      </c>
      <c r="AG20" s="1">
        <f t="shared" si="28"/>
        <v>780</v>
      </c>
      <c r="AH20" s="1">
        <f t="shared" si="28"/>
        <v>800</v>
      </c>
      <c r="AI20" s="1">
        <f t="shared" si="28"/>
        <v>820</v>
      </c>
      <c r="AJ20" s="1">
        <f t="shared" si="28"/>
        <v>840</v>
      </c>
      <c r="AK20" s="1">
        <f t="shared" si="28"/>
        <v>860</v>
      </c>
      <c r="AL20" s="1">
        <f t="shared" si="28"/>
        <v>880</v>
      </c>
      <c r="AM20" s="1">
        <f t="shared" si="28"/>
        <v>900</v>
      </c>
      <c r="AN20" s="1">
        <f t="shared" si="28"/>
        <v>920</v>
      </c>
      <c r="AO20" s="1">
        <f t="shared" si="28"/>
        <v>940</v>
      </c>
      <c r="AP20" s="1">
        <f t="shared" si="28"/>
        <v>960</v>
      </c>
      <c r="AQ20" s="1">
        <f t="shared" si="28"/>
        <v>980</v>
      </c>
      <c r="AR20" s="1">
        <f t="shared" si="28"/>
        <v>1000</v>
      </c>
      <c r="AS20" s="1">
        <f t="shared" si="28"/>
        <v>1020</v>
      </c>
      <c r="AT20" s="1">
        <f t="shared" si="28"/>
        <v>1040</v>
      </c>
      <c r="AU20" s="1">
        <f t="shared" si="28"/>
        <v>1060</v>
      </c>
      <c r="AV20" s="1">
        <f t="shared" si="28"/>
        <v>1080</v>
      </c>
      <c r="AW20" s="1">
        <f t="shared" si="28"/>
        <v>1100</v>
      </c>
      <c r="AX20" s="1">
        <f t="shared" si="28"/>
        <v>1120</v>
      </c>
      <c r="AY20" s="1">
        <f t="shared" si="28"/>
        <v>1140</v>
      </c>
      <c r="AZ20" s="1">
        <f t="shared" si="28"/>
        <v>1160</v>
      </c>
      <c r="BA20" s="1">
        <f t="shared" si="28"/>
        <v>1180</v>
      </c>
      <c r="BB20" s="1">
        <f t="shared" si="28"/>
        <v>1200</v>
      </c>
      <c r="BC20" s="1">
        <f t="shared" si="28"/>
        <v>1220</v>
      </c>
      <c r="BD20" s="1">
        <f t="shared" si="28"/>
        <v>1240</v>
      </c>
      <c r="BE20" s="1">
        <f t="shared" si="28"/>
        <v>1260</v>
      </c>
      <c r="BF20" s="1">
        <f t="shared" si="28"/>
        <v>1280</v>
      </c>
      <c r="BG20" s="1">
        <f t="shared" si="28"/>
        <v>1300</v>
      </c>
      <c r="BH20" s="1">
        <f t="shared" si="28"/>
        <v>1320</v>
      </c>
      <c r="BI20" s="1">
        <f t="shared" si="28"/>
        <v>1340</v>
      </c>
      <c r="BJ20" s="1">
        <f t="shared" si="28"/>
        <v>1360</v>
      </c>
      <c r="BK20" s="1">
        <f t="shared" si="28"/>
        <v>1380</v>
      </c>
      <c r="BL20" s="1">
        <f t="shared" si="28"/>
        <v>1400</v>
      </c>
      <c r="BM20" s="1">
        <f t="shared" si="28"/>
        <v>1420</v>
      </c>
      <c r="BN20" s="1">
        <f t="shared" si="28"/>
        <v>1440</v>
      </c>
      <c r="BO20" s="1">
        <f t="shared" si="28"/>
        <v>1460</v>
      </c>
      <c r="BP20" s="1">
        <f t="shared" si="28"/>
        <v>1480</v>
      </c>
      <c r="BQ20" s="1">
        <f t="shared" ref="BQ20:EB23" si="29">IF($V$3=0,0,($V$2*(BQ$19 + ($G$14/$G$15)))/ (2*POWER(2,$C20) * $V$3))</f>
        <v>1500</v>
      </c>
      <c r="BR20" s="1">
        <f t="shared" si="29"/>
        <v>1520</v>
      </c>
      <c r="BS20" s="1">
        <f t="shared" si="29"/>
        <v>1540</v>
      </c>
      <c r="BT20" s="1">
        <f t="shared" si="29"/>
        <v>1560</v>
      </c>
      <c r="BU20" s="1">
        <f t="shared" si="29"/>
        <v>1580</v>
      </c>
      <c r="BV20" s="1">
        <f t="shared" si="29"/>
        <v>1600</v>
      </c>
      <c r="BW20" s="1">
        <f t="shared" si="29"/>
        <v>1620</v>
      </c>
      <c r="BX20" s="1">
        <f t="shared" si="29"/>
        <v>1640</v>
      </c>
      <c r="BY20" s="1">
        <f t="shared" si="29"/>
        <v>1660</v>
      </c>
      <c r="BZ20" s="1">
        <f t="shared" si="29"/>
        <v>1680</v>
      </c>
      <c r="CA20" s="1">
        <f t="shared" si="29"/>
        <v>1700</v>
      </c>
      <c r="CB20" s="1">
        <f t="shared" si="29"/>
        <v>1720</v>
      </c>
      <c r="CC20" s="1">
        <f t="shared" si="29"/>
        <v>1740</v>
      </c>
      <c r="CD20" s="1">
        <f t="shared" si="29"/>
        <v>1760</v>
      </c>
      <c r="CE20" s="1">
        <f t="shared" si="29"/>
        <v>1780</v>
      </c>
      <c r="CF20" s="1">
        <f t="shared" si="29"/>
        <v>1800</v>
      </c>
      <c r="CG20" s="1">
        <f t="shared" si="29"/>
        <v>1820</v>
      </c>
      <c r="CH20" s="1">
        <f t="shared" si="29"/>
        <v>1840</v>
      </c>
      <c r="CI20" s="1">
        <f t="shared" si="29"/>
        <v>1860</v>
      </c>
      <c r="CJ20" s="1">
        <f t="shared" si="29"/>
        <v>1880</v>
      </c>
      <c r="CK20" s="1">
        <f t="shared" si="29"/>
        <v>1900</v>
      </c>
      <c r="CL20" s="1">
        <f t="shared" si="29"/>
        <v>1920</v>
      </c>
      <c r="CM20" s="1">
        <f t="shared" si="29"/>
        <v>1940</v>
      </c>
      <c r="CN20" s="1">
        <f t="shared" si="29"/>
        <v>1960</v>
      </c>
      <c r="CO20" s="1">
        <f t="shared" si="29"/>
        <v>1980</v>
      </c>
      <c r="CP20" s="1">
        <f t="shared" si="29"/>
        <v>2000</v>
      </c>
      <c r="CQ20" s="1">
        <f t="shared" si="29"/>
        <v>2020</v>
      </c>
      <c r="CR20" s="1">
        <f t="shared" si="29"/>
        <v>2040</v>
      </c>
      <c r="CS20" s="1">
        <f t="shared" si="29"/>
        <v>2060</v>
      </c>
      <c r="CT20" s="1">
        <f t="shared" si="29"/>
        <v>2080</v>
      </c>
      <c r="CU20" s="1">
        <f t="shared" si="29"/>
        <v>2100</v>
      </c>
      <c r="CV20" s="1">
        <f t="shared" si="29"/>
        <v>2120</v>
      </c>
      <c r="CW20" s="1">
        <f t="shared" si="29"/>
        <v>2140</v>
      </c>
      <c r="CX20" s="1">
        <f t="shared" si="29"/>
        <v>2160</v>
      </c>
      <c r="CY20" s="1">
        <f t="shared" si="29"/>
        <v>2180</v>
      </c>
      <c r="CZ20" s="1">
        <f t="shared" si="29"/>
        <v>2200</v>
      </c>
      <c r="DA20" s="1">
        <f t="shared" si="29"/>
        <v>2220</v>
      </c>
      <c r="DB20" s="1">
        <f t="shared" si="29"/>
        <v>2240</v>
      </c>
      <c r="DC20" s="1">
        <f t="shared" si="29"/>
        <v>2260</v>
      </c>
      <c r="DD20" s="1">
        <f t="shared" si="29"/>
        <v>2280</v>
      </c>
      <c r="DE20" s="1">
        <f t="shared" si="29"/>
        <v>2300</v>
      </c>
      <c r="DF20" s="1">
        <f t="shared" si="29"/>
        <v>2320</v>
      </c>
      <c r="DG20" s="1">
        <f t="shared" si="29"/>
        <v>2340</v>
      </c>
      <c r="DH20" s="1">
        <f t="shared" si="29"/>
        <v>2360</v>
      </c>
      <c r="DI20" s="1">
        <f t="shared" si="29"/>
        <v>2380</v>
      </c>
      <c r="DJ20" s="1">
        <f t="shared" si="29"/>
        <v>2400</v>
      </c>
      <c r="DK20" s="1">
        <f t="shared" si="29"/>
        <v>2420</v>
      </c>
      <c r="DL20" s="1">
        <f t="shared" si="29"/>
        <v>2440</v>
      </c>
      <c r="DM20" s="1">
        <f t="shared" si="29"/>
        <v>2460</v>
      </c>
      <c r="DN20" s="1">
        <f t="shared" si="29"/>
        <v>2480</v>
      </c>
      <c r="DO20" s="1">
        <f t="shared" si="29"/>
        <v>2500</v>
      </c>
      <c r="DP20" s="1">
        <f t="shared" si="29"/>
        <v>2520</v>
      </c>
      <c r="DQ20" s="1">
        <f t="shared" si="29"/>
        <v>2540</v>
      </c>
      <c r="DR20" s="1">
        <f t="shared" si="29"/>
        <v>2560</v>
      </c>
      <c r="DS20" s="1">
        <f t="shared" si="29"/>
        <v>2580</v>
      </c>
      <c r="DT20" s="1">
        <f t="shared" si="29"/>
        <v>2600</v>
      </c>
      <c r="DU20" s="1">
        <f t="shared" si="29"/>
        <v>2620</v>
      </c>
      <c r="DV20" s="1">
        <f t="shared" si="29"/>
        <v>2640</v>
      </c>
      <c r="DW20" s="1">
        <f t="shared" si="29"/>
        <v>2660</v>
      </c>
      <c r="DX20" s="1">
        <f t="shared" si="29"/>
        <v>2680</v>
      </c>
      <c r="DY20" s="1">
        <f t="shared" si="29"/>
        <v>2700</v>
      </c>
      <c r="DZ20" s="1">
        <f t="shared" si="29"/>
        <v>2720</v>
      </c>
      <c r="EA20" s="1">
        <f t="shared" si="29"/>
        <v>2740</v>
      </c>
      <c r="EB20" s="1">
        <f t="shared" si="29"/>
        <v>2760</v>
      </c>
      <c r="EC20" s="1">
        <f t="shared" ref="EC20:EN22" si="30">IF($V$3=0,0,($V$2*(EC$19 + ($G$14/$G$15)))/ (2*POWER(2,$C20) * $V$3))</f>
        <v>2780</v>
      </c>
      <c r="ED20" s="1">
        <f t="shared" si="30"/>
        <v>2800</v>
      </c>
      <c r="EE20" s="1">
        <f t="shared" si="30"/>
        <v>2820</v>
      </c>
      <c r="EF20" s="1">
        <f t="shared" si="30"/>
        <v>2840</v>
      </c>
      <c r="EG20" s="1">
        <f t="shared" si="30"/>
        <v>2860</v>
      </c>
      <c r="EH20" s="1">
        <f t="shared" si="30"/>
        <v>2880</v>
      </c>
      <c r="EI20" s="1">
        <f t="shared" si="30"/>
        <v>2900</v>
      </c>
      <c r="EJ20" s="1">
        <f t="shared" si="30"/>
        <v>2920</v>
      </c>
      <c r="EK20" s="1">
        <f t="shared" si="30"/>
        <v>2940</v>
      </c>
      <c r="EL20" s="1">
        <f t="shared" si="30"/>
        <v>2960</v>
      </c>
      <c r="EM20" s="1">
        <f t="shared" si="30"/>
        <v>2980</v>
      </c>
      <c r="EN20" s="1">
        <f t="shared" si="30"/>
        <v>3000</v>
      </c>
      <c r="EO20" s="34"/>
      <c r="EP20" s="34"/>
      <c r="EQ20" s="34"/>
      <c r="ER20" s="34"/>
      <c r="ES20" s="34"/>
      <c r="ET20" s="34"/>
      <c r="EU20" s="34"/>
      <c r="EV20" s="34"/>
      <c r="EW20" s="34"/>
      <c r="EX20" s="34"/>
      <c r="EY20" s="34"/>
      <c r="EZ20" s="34"/>
      <c r="FA20" s="34"/>
      <c r="FB20" s="34"/>
    </row>
    <row r="21" spans="1:158" x14ac:dyDescent="0.3">
      <c r="A21" s="117"/>
      <c r="B21" s="13" t="str">
        <f>"0x"&amp;DEC2HEX(C21,2)</f>
        <v>0x01</v>
      </c>
      <c r="C21" s="17">
        <f>C20+1</f>
        <v>1</v>
      </c>
      <c r="D21" s="1">
        <f t="shared" ref="D21:S24" si="31">IF($V$3=0,0,($V$2*(D$19 + ($G$14/$G$15)))/ (2*POWER(2,$C21) * $V$3))</f>
        <v>100</v>
      </c>
      <c r="E21" s="1">
        <f t="shared" si="31"/>
        <v>110</v>
      </c>
      <c r="F21" s="1">
        <f t="shared" si="31"/>
        <v>120</v>
      </c>
      <c r="G21" s="1">
        <f t="shared" si="31"/>
        <v>130</v>
      </c>
      <c r="H21" s="1">
        <f t="shared" si="31"/>
        <v>140</v>
      </c>
      <c r="I21" s="1">
        <f t="shared" si="31"/>
        <v>150</v>
      </c>
      <c r="J21" s="1">
        <f t="shared" si="31"/>
        <v>160</v>
      </c>
      <c r="K21" s="1">
        <f t="shared" si="31"/>
        <v>170</v>
      </c>
      <c r="L21" s="1">
        <f t="shared" si="31"/>
        <v>180</v>
      </c>
      <c r="M21" s="1">
        <f t="shared" si="31"/>
        <v>190</v>
      </c>
      <c r="N21" s="1">
        <f t="shared" si="31"/>
        <v>200</v>
      </c>
      <c r="O21" s="1">
        <f t="shared" si="31"/>
        <v>210</v>
      </c>
      <c r="P21" s="1">
        <f t="shared" si="31"/>
        <v>220</v>
      </c>
      <c r="Q21" s="1">
        <f t="shared" si="31"/>
        <v>230</v>
      </c>
      <c r="R21" s="1">
        <f t="shared" si="31"/>
        <v>240</v>
      </c>
      <c r="S21" s="1">
        <f t="shared" si="31"/>
        <v>250</v>
      </c>
      <c r="T21" s="1">
        <f t="shared" si="28"/>
        <v>260</v>
      </c>
      <c r="U21" s="1">
        <f t="shared" si="28"/>
        <v>270</v>
      </c>
      <c r="V21" s="1">
        <f t="shared" si="28"/>
        <v>280</v>
      </c>
      <c r="W21" s="1">
        <f t="shared" si="28"/>
        <v>290</v>
      </c>
      <c r="X21" s="1">
        <f t="shared" si="28"/>
        <v>300</v>
      </c>
      <c r="Y21" s="1">
        <f t="shared" si="28"/>
        <v>310</v>
      </c>
      <c r="Z21" s="1">
        <f t="shared" si="28"/>
        <v>320</v>
      </c>
      <c r="AA21" s="1">
        <f t="shared" si="28"/>
        <v>330</v>
      </c>
      <c r="AB21" s="1">
        <f t="shared" si="28"/>
        <v>340</v>
      </c>
      <c r="AC21" s="1">
        <f t="shared" si="28"/>
        <v>350</v>
      </c>
      <c r="AD21" s="1">
        <f t="shared" si="28"/>
        <v>360</v>
      </c>
      <c r="AE21" s="1">
        <f t="shared" si="28"/>
        <v>370</v>
      </c>
      <c r="AF21" s="1">
        <f t="shared" si="28"/>
        <v>380</v>
      </c>
      <c r="AG21" s="1">
        <f t="shared" si="28"/>
        <v>390</v>
      </c>
      <c r="AH21" s="1">
        <f t="shared" si="28"/>
        <v>400</v>
      </c>
      <c r="AI21" s="1">
        <f t="shared" si="28"/>
        <v>410</v>
      </c>
      <c r="AJ21" s="1">
        <f t="shared" si="28"/>
        <v>420</v>
      </c>
      <c r="AK21" s="1">
        <f t="shared" si="28"/>
        <v>430</v>
      </c>
      <c r="AL21" s="1">
        <f t="shared" si="28"/>
        <v>440</v>
      </c>
      <c r="AM21" s="1">
        <f t="shared" si="28"/>
        <v>450</v>
      </c>
      <c r="AN21" s="1">
        <f t="shared" si="28"/>
        <v>460</v>
      </c>
      <c r="AO21" s="1">
        <f t="shared" si="28"/>
        <v>470</v>
      </c>
      <c r="AP21" s="1">
        <f t="shared" si="28"/>
        <v>480</v>
      </c>
      <c r="AQ21" s="1">
        <f t="shared" si="28"/>
        <v>490</v>
      </c>
      <c r="AR21" s="1">
        <f t="shared" si="28"/>
        <v>500</v>
      </c>
      <c r="AS21" s="1">
        <f t="shared" si="28"/>
        <v>510</v>
      </c>
      <c r="AT21" s="1">
        <f t="shared" si="28"/>
        <v>520</v>
      </c>
      <c r="AU21" s="1">
        <f t="shared" si="28"/>
        <v>530</v>
      </c>
      <c r="AV21" s="1">
        <f t="shared" si="28"/>
        <v>540</v>
      </c>
      <c r="AW21" s="1">
        <f t="shared" si="28"/>
        <v>550</v>
      </c>
      <c r="AX21" s="1">
        <f t="shared" si="28"/>
        <v>560</v>
      </c>
      <c r="AY21" s="1">
        <f t="shared" si="28"/>
        <v>570</v>
      </c>
      <c r="AZ21" s="1">
        <f t="shared" si="28"/>
        <v>580</v>
      </c>
      <c r="BA21" s="1">
        <f t="shared" si="28"/>
        <v>590</v>
      </c>
      <c r="BB21" s="1">
        <f t="shared" si="28"/>
        <v>600</v>
      </c>
      <c r="BC21" s="1">
        <f t="shared" si="28"/>
        <v>610</v>
      </c>
      <c r="BD21" s="1">
        <f t="shared" si="28"/>
        <v>620</v>
      </c>
      <c r="BE21" s="1">
        <f t="shared" si="28"/>
        <v>630</v>
      </c>
      <c r="BF21" s="1">
        <f t="shared" si="28"/>
        <v>640</v>
      </c>
      <c r="BG21" s="1">
        <f t="shared" si="28"/>
        <v>650</v>
      </c>
      <c r="BH21" s="1">
        <f t="shared" si="28"/>
        <v>660</v>
      </c>
      <c r="BI21" s="1">
        <f t="shared" si="28"/>
        <v>670</v>
      </c>
      <c r="BJ21" s="1">
        <f t="shared" si="28"/>
        <v>680</v>
      </c>
      <c r="BK21" s="1">
        <f t="shared" si="28"/>
        <v>690</v>
      </c>
      <c r="BL21" s="1">
        <f t="shared" si="28"/>
        <v>700</v>
      </c>
      <c r="BM21" s="1">
        <f t="shared" si="28"/>
        <v>710</v>
      </c>
      <c r="BN21" s="1">
        <f t="shared" si="28"/>
        <v>720</v>
      </c>
      <c r="BO21" s="1">
        <f t="shared" si="28"/>
        <v>730</v>
      </c>
      <c r="BP21" s="1">
        <f t="shared" si="28"/>
        <v>740</v>
      </c>
      <c r="BQ21" s="1">
        <f t="shared" si="29"/>
        <v>750</v>
      </c>
      <c r="BR21" s="1">
        <f t="shared" si="29"/>
        <v>760</v>
      </c>
      <c r="BS21" s="1">
        <f t="shared" si="29"/>
        <v>770</v>
      </c>
      <c r="BT21" s="1">
        <f t="shared" si="29"/>
        <v>780</v>
      </c>
      <c r="BU21" s="1">
        <f t="shared" si="29"/>
        <v>790</v>
      </c>
      <c r="BV21" s="1">
        <f t="shared" si="29"/>
        <v>800</v>
      </c>
      <c r="BW21" s="1">
        <f t="shared" si="29"/>
        <v>810</v>
      </c>
      <c r="BX21" s="1">
        <f t="shared" si="29"/>
        <v>820</v>
      </c>
      <c r="BY21" s="1">
        <f t="shared" si="29"/>
        <v>830</v>
      </c>
      <c r="BZ21" s="1">
        <f t="shared" si="29"/>
        <v>840</v>
      </c>
      <c r="CA21" s="1">
        <f t="shared" si="29"/>
        <v>850</v>
      </c>
      <c r="CB21" s="1">
        <f t="shared" si="29"/>
        <v>860</v>
      </c>
      <c r="CC21" s="1">
        <f t="shared" si="29"/>
        <v>870</v>
      </c>
      <c r="CD21" s="1">
        <f t="shared" si="29"/>
        <v>880</v>
      </c>
      <c r="CE21" s="1">
        <f t="shared" si="29"/>
        <v>890</v>
      </c>
      <c r="CF21" s="1">
        <f t="shared" si="29"/>
        <v>900</v>
      </c>
      <c r="CG21" s="1">
        <f t="shared" si="29"/>
        <v>910</v>
      </c>
      <c r="CH21" s="1">
        <f t="shared" si="29"/>
        <v>920</v>
      </c>
      <c r="CI21" s="1">
        <f t="shared" si="29"/>
        <v>930</v>
      </c>
      <c r="CJ21" s="1">
        <f t="shared" si="29"/>
        <v>940</v>
      </c>
      <c r="CK21" s="1">
        <f t="shared" si="29"/>
        <v>950</v>
      </c>
      <c r="CL21" s="1">
        <f t="shared" si="29"/>
        <v>960</v>
      </c>
      <c r="CM21" s="1">
        <f t="shared" si="29"/>
        <v>970</v>
      </c>
      <c r="CN21" s="1">
        <f t="shared" si="29"/>
        <v>980</v>
      </c>
      <c r="CO21" s="1">
        <f t="shared" si="29"/>
        <v>990</v>
      </c>
      <c r="CP21" s="1">
        <f t="shared" si="29"/>
        <v>1000</v>
      </c>
      <c r="CQ21" s="1">
        <f t="shared" si="29"/>
        <v>1010</v>
      </c>
      <c r="CR21" s="1">
        <f t="shared" si="29"/>
        <v>1020</v>
      </c>
      <c r="CS21" s="1">
        <f t="shared" si="29"/>
        <v>1030</v>
      </c>
      <c r="CT21" s="1">
        <f t="shared" si="29"/>
        <v>1040</v>
      </c>
      <c r="CU21" s="1">
        <f t="shared" si="29"/>
        <v>1050</v>
      </c>
      <c r="CV21" s="1">
        <f t="shared" si="29"/>
        <v>1060</v>
      </c>
      <c r="CW21" s="1">
        <f t="shared" si="29"/>
        <v>1070</v>
      </c>
      <c r="CX21" s="1">
        <f t="shared" si="29"/>
        <v>1080</v>
      </c>
      <c r="CY21" s="1">
        <f t="shared" si="29"/>
        <v>1090</v>
      </c>
      <c r="CZ21" s="1">
        <f t="shared" si="29"/>
        <v>1100</v>
      </c>
      <c r="DA21" s="1">
        <f t="shared" si="29"/>
        <v>1110</v>
      </c>
      <c r="DB21" s="1">
        <f t="shared" si="29"/>
        <v>1120</v>
      </c>
      <c r="DC21" s="1">
        <f t="shared" si="29"/>
        <v>1130</v>
      </c>
      <c r="DD21" s="1">
        <f t="shared" si="29"/>
        <v>1140</v>
      </c>
      <c r="DE21" s="1">
        <f t="shared" si="29"/>
        <v>1150</v>
      </c>
      <c r="DF21" s="1">
        <f t="shared" si="29"/>
        <v>1160</v>
      </c>
      <c r="DG21" s="1">
        <f t="shared" si="29"/>
        <v>1170</v>
      </c>
      <c r="DH21" s="1">
        <f t="shared" si="29"/>
        <v>1180</v>
      </c>
      <c r="DI21" s="1">
        <f t="shared" si="29"/>
        <v>1190</v>
      </c>
      <c r="DJ21" s="1">
        <f t="shared" si="29"/>
        <v>1200</v>
      </c>
      <c r="DK21" s="1">
        <f t="shared" si="29"/>
        <v>1210</v>
      </c>
      <c r="DL21" s="1">
        <f t="shared" si="29"/>
        <v>1220</v>
      </c>
      <c r="DM21" s="1">
        <f t="shared" si="29"/>
        <v>1230</v>
      </c>
      <c r="DN21" s="1">
        <f t="shared" si="29"/>
        <v>1240</v>
      </c>
      <c r="DO21" s="1">
        <f t="shared" si="29"/>
        <v>1250</v>
      </c>
      <c r="DP21" s="1">
        <f t="shared" si="29"/>
        <v>1260</v>
      </c>
      <c r="DQ21" s="1">
        <f t="shared" si="29"/>
        <v>1270</v>
      </c>
      <c r="DR21" s="1">
        <f t="shared" si="29"/>
        <v>1280</v>
      </c>
      <c r="DS21" s="1">
        <f t="shared" si="29"/>
        <v>1290</v>
      </c>
      <c r="DT21" s="1">
        <f t="shared" si="29"/>
        <v>1300</v>
      </c>
      <c r="DU21" s="1">
        <f t="shared" si="29"/>
        <v>1310</v>
      </c>
      <c r="DV21" s="1">
        <f t="shared" si="29"/>
        <v>1320</v>
      </c>
      <c r="DW21" s="1">
        <f t="shared" si="29"/>
        <v>1330</v>
      </c>
      <c r="DX21" s="1">
        <f t="shared" si="29"/>
        <v>1340</v>
      </c>
      <c r="DY21" s="1">
        <f t="shared" si="29"/>
        <v>1350</v>
      </c>
      <c r="DZ21" s="1">
        <f t="shared" si="29"/>
        <v>1360</v>
      </c>
      <c r="EA21" s="1">
        <f t="shared" si="29"/>
        <v>1370</v>
      </c>
      <c r="EB21" s="1">
        <f t="shared" si="29"/>
        <v>1380</v>
      </c>
      <c r="EC21" s="1">
        <f t="shared" si="30"/>
        <v>1390</v>
      </c>
      <c r="ED21" s="1">
        <f t="shared" si="30"/>
        <v>1400</v>
      </c>
      <c r="EE21" s="1">
        <f t="shared" si="30"/>
        <v>1410</v>
      </c>
      <c r="EF21" s="1">
        <f t="shared" si="30"/>
        <v>1420</v>
      </c>
      <c r="EG21" s="1">
        <f t="shared" si="30"/>
        <v>1430</v>
      </c>
      <c r="EH21" s="1">
        <f t="shared" si="30"/>
        <v>1440</v>
      </c>
      <c r="EI21" s="1">
        <f t="shared" si="30"/>
        <v>1450</v>
      </c>
      <c r="EJ21" s="1">
        <f t="shared" si="30"/>
        <v>1460</v>
      </c>
      <c r="EK21" s="1">
        <f t="shared" si="30"/>
        <v>1470</v>
      </c>
      <c r="EL21" s="1">
        <f t="shared" si="30"/>
        <v>1480</v>
      </c>
      <c r="EM21" s="1">
        <f t="shared" si="30"/>
        <v>1490</v>
      </c>
      <c r="EN21" s="1">
        <f t="shared" si="30"/>
        <v>1500</v>
      </c>
      <c r="EO21" s="34"/>
      <c r="EP21" s="34"/>
      <c r="EQ21" s="34"/>
      <c r="ER21" s="34"/>
      <c r="ES21" s="34"/>
      <c r="ET21" s="34"/>
      <c r="EU21" s="34"/>
      <c r="EV21" s="34"/>
      <c r="EW21" s="34"/>
      <c r="EX21" s="52"/>
      <c r="EY21" s="34"/>
      <c r="EZ21" s="34"/>
      <c r="FA21" s="34"/>
      <c r="FB21" s="34"/>
    </row>
    <row r="22" spans="1:158" x14ac:dyDescent="0.3">
      <c r="A22" s="117"/>
      <c r="B22" s="13" t="str">
        <f>"0x"&amp;DEC2HEX(C22,2)</f>
        <v>0x02</v>
      </c>
      <c r="C22" s="17">
        <f t="shared" ref="C22:C24" si="32">C21+1</f>
        <v>2</v>
      </c>
      <c r="D22" s="1">
        <f t="shared" si="31"/>
        <v>50</v>
      </c>
      <c r="E22" s="1">
        <f t="shared" ref="E22:BP24" si="33">IF($V$3=0,0,($V$2*(E$19 + ($G$14/$G$15)))/ (2*POWER(2,$C22) * $V$3))</f>
        <v>55</v>
      </c>
      <c r="F22" s="1">
        <f t="shared" si="33"/>
        <v>60</v>
      </c>
      <c r="G22" s="1">
        <f t="shared" si="33"/>
        <v>65</v>
      </c>
      <c r="H22" s="1">
        <f t="shared" si="33"/>
        <v>70</v>
      </c>
      <c r="I22" s="1">
        <f t="shared" si="33"/>
        <v>75</v>
      </c>
      <c r="J22" s="1">
        <f t="shared" si="33"/>
        <v>80</v>
      </c>
      <c r="K22" s="1">
        <f t="shared" si="33"/>
        <v>85</v>
      </c>
      <c r="L22" s="1">
        <f t="shared" si="33"/>
        <v>90</v>
      </c>
      <c r="M22" s="1">
        <f t="shared" si="33"/>
        <v>95</v>
      </c>
      <c r="N22" s="1">
        <f t="shared" si="33"/>
        <v>100</v>
      </c>
      <c r="O22" s="1">
        <f t="shared" si="33"/>
        <v>105</v>
      </c>
      <c r="P22" s="1">
        <f t="shared" si="33"/>
        <v>110</v>
      </c>
      <c r="Q22" s="1">
        <f t="shared" si="33"/>
        <v>115</v>
      </c>
      <c r="R22" s="1">
        <f t="shared" si="33"/>
        <v>120</v>
      </c>
      <c r="S22" s="1">
        <f t="shared" si="33"/>
        <v>125</v>
      </c>
      <c r="T22" s="1">
        <f t="shared" si="33"/>
        <v>130</v>
      </c>
      <c r="U22" s="1">
        <f t="shared" si="33"/>
        <v>135</v>
      </c>
      <c r="V22" s="1">
        <f t="shared" si="33"/>
        <v>140</v>
      </c>
      <c r="W22" s="1">
        <f t="shared" si="33"/>
        <v>145</v>
      </c>
      <c r="X22" s="1">
        <f t="shared" si="33"/>
        <v>150</v>
      </c>
      <c r="Y22" s="1">
        <f t="shared" si="33"/>
        <v>155</v>
      </c>
      <c r="Z22" s="1">
        <f t="shared" si="33"/>
        <v>160</v>
      </c>
      <c r="AA22" s="1">
        <f t="shared" si="33"/>
        <v>165</v>
      </c>
      <c r="AB22" s="1">
        <f t="shared" si="33"/>
        <v>170</v>
      </c>
      <c r="AC22" s="1">
        <f t="shared" si="33"/>
        <v>175</v>
      </c>
      <c r="AD22" s="1">
        <f t="shared" si="33"/>
        <v>180</v>
      </c>
      <c r="AE22" s="1">
        <f t="shared" si="33"/>
        <v>185</v>
      </c>
      <c r="AF22" s="1">
        <f t="shared" si="33"/>
        <v>190</v>
      </c>
      <c r="AG22" s="1">
        <f t="shared" si="33"/>
        <v>195</v>
      </c>
      <c r="AH22" s="1">
        <f t="shared" si="33"/>
        <v>200</v>
      </c>
      <c r="AI22" s="1">
        <f t="shared" si="33"/>
        <v>205</v>
      </c>
      <c r="AJ22" s="1">
        <f t="shared" si="33"/>
        <v>210</v>
      </c>
      <c r="AK22" s="1">
        <f t="shared" si="33"/>
        <v>215</v>
      </c>
      <c r="AL22" s="1">
        <f t="shared" si="33"/>
        <v>220</v>
      </c>
      <c r="AM22" s="1">
        <f t="shared" si="33"/>
        <v>225</v>
      </c>
      <c r="AN22" s="1">
        <f t="shared" si="33"/>
        <v>230</v>
      </c>
      <c r="AO22" s="1">
        <f t="shared" si="33"/>
        <v>235</v>
      </c>
      <c r="AP22" s="1">
        <f t="shared" si="33"/>
        <v>240</v>
      </c>
      <c r="AQ22" s="1">
        <f t="shared" si="33"/>
        <v>245</v>
      </c>
      <c r="AR22" s="1">
        <f t="shared" si="33"/>
        <v>250</v>
      </c>
      <c r="AS22" s="1">
        <f t="shared" si="33"/>
        <v>255</v>
      </c>
      <c r="AT22" s="1">
        <f t="shared" si="33"/>
        <v>260</v>
      </c>
      <c r="AU22" s="1">
        <f t="shared" si="33"/>
        <v>265</v>
      </c>
      <c r="AV22" s="1">
        <f t="shared" si="33"/>
        <v>270</v>
      </c>
      <c r="AW22" s="1">
        <f t="shared" si="33"/>
        <v>275</v>
      </c>
      <c r="AX22" s="1">
        <f t="shared" si="33"/>
        <v>280</v>
      </c>
      <c r="AY22" s="1">
        <f t="shared" si="33"/>
        <v>285</v>
      </c>
      <c r="AZ22" s="1">
        <f t="shared" si="33"/>
        <v>290</v>
      </c>
      <c r="BA22" s="1">
        <f t="shared" si="33"/>
        <v>295</v>
      </c>
      <c r="BB22" s="1">
        <f t="shared" si="33"/>
        <v>300</v>
      </c>
      <c r="BC22" s="1">
        <f t="shared" si="33"/>
        <v>305</v>
      </c>
      <c r="BD22" s="1">
        <f t="shared" si="33"/>
        <v>310</v>
      </c>
      <c r="BE22" s="1">
        <f t="shared" si="33"/>
        <v>315</v>
      </c>
      <c r="BF22" s="1">
        <f t="shared" si="33"/>
        <v>320</v>
      </c>
      <c r="BG22" s="1">
        <f t="shared" si="33"/>
        <v>325</v>
      </c>
      <c r="BH22" s="1">
        <f t="shared" si="33"/>
        <v>330</v>
      </c>
      <c r="BI22" s="1">
        <f t="shared" si="33"/>
        <v>335</v>
      </c>
      <c r="BJ22" s="1">
        <f t="shared" si="33"/>
        <v>340</v>
      </c>
      <c r="BK22" s="1">
        <f t="shared" si="33"/>
        <v>345</v>
      </c>
      <c r="BL22" s="1">
        <f t="shared" si="33"/>
        <v>350</v>
      </c>
      <c r="BM22" s="1">
        <f t="shared" si="33"/>
        <v>355</v>
      </c>
      <c r="BN22" s="1">
        <f t="shared" si="33"/>
        <v>360</v>
      </c>
      <c r="BO22" s="1">
        <f t="shared" si="33"/>
        <v>365</v>
      </c>
      <c r="BP22" s="1">
        <f t="shared" si="33"/>
        <v>370</v>
      </c>
      <c r="BQ22" s="1">
        <f t="shared" si="29"/>
        <v>375</v>
      </c>
      <c r="BR22" s="1">
        <f t="shared" si="29"/>
        <v>380</v>
      </c>
      <c r="BS22" s="1">
        <f t="shared" si="29"/>
        <v>385</v>
      </c>
      <c r="BT22" s="1">
        <f t="shared" si="29"/>
        <v>390</v>
      </c>
      <c r="BU22" s="1">
        <f t="shared" si="29"/>
        <v>395</v>
      </c>
      <c r="BV22" s="1">
        <f t="shared" si="29"/>
        <v>400</v>
      </c>
      <c r="BW22" s="1">
        <f t="shared" si="29"/>
        <v>405</v>
      </c>
      <c r="BX22" s="1">
        <f t="shared" si="29"/>
        <v>410</v>
      </c>
      <c r="BY22" s="1">
        <f t="shared" si="29"/>
        <v>415</v>
      </c>
      <c r="BZ22" s="1">
        <f t="shared" si="29"/>
        <v>420</v>
      </c>
      <c r="CA22" s="1">
        <f t="shared" si="29"/>
        <v>425</v>
      </c>
      <c r="CB22" s="1">
        <f t="shared" si="29"/>
        <v>430</v>
      </c>
      <c r="CC22" s="1">
        <f t="shared" si="29"/>
        <v>435</v>
      </c>
      <c r="CD22" s="1">
        <f t="shared" si="29"/>
        <v>440</v>
      </c>
      <c r="CE22" s="1">
        <f t="shared" si="29"/>
        <v>445</v>
      </c>
      <c r="CF22" s="1">
        <f t="shared" si="29"/>
        <v>450</v>
      </c>
      <c r="CG22" s="1">
        <f t="shared" si="29"/>
        <v>455</v>
      </c>
      <c r="CH22" s="1">
        <f t="shared" si="29"/>
        <v>460</v>
      </c>
      <c r="CI22" s="1">
        <f t="shared" si="29"/>
        <v>465</v>
      </c>
      <c r="CJ22" s="1">
        <f t="shared" si="29"/>
        <v>470</v>
      </c>
      <c r="CK22" s="1">
        <f t="shared" si="29"/>
        <v>475</v>
      </c>
      <c r="CL22" s="1">
        <f t="shared" si="29"/>
        <v>480</v>
      </c>
      <c r="CM22" s="1">
        <f t="shared" si="29"/>
        <v>485</v>
      </c>
      <c r="CN22" s="1">
        <f t="shared" si="29"/>
        <v>490</v>
      </c>
      <c r="CO22" s="1">
        <f t="shared" si="29"/>
        <v>495</v>
      </c>
      <c r="CP22" s="1">
        <f t="shared" si="29"/>
        <v>500</v>
      </c>
      <c r="CQ22" s="1">
        <f t="shared" si="29"/>
        <v>505</v>
      </c>
      <c r="CR22" s="1">
        <f t="shared" si="29"/>
        <v>510</v>
      </c>
      <c r="CS22" s="1">
        <f t="shared" si="29"/>
        <v>515</v>
      </c>
      <c r="CT22" s="1">
        <f t="shared" si="29"/>
        <v>520</v>
      </c>
      <c r="CU22" s="1">
        <f t="shared" si="29"/>
        <v>525</v>
      </c>
      <c r="CV22" s="1">
        <f t="shared" si="29"/>
        <v>530</v>
      </c>
      <c r="CW22" s="1">
        <f t="shared" si="29"/>
        <v>535</v>
      </c>
      <c r="CX22" s="1">
        <f t="shared" si="29"/>
        <v>540</v>
      </c>
      <c r="CY22" s="1">
        <f t="shared" si="29"/>
        <v>545</v>
      </c>
      <c r="CZ22" s="1">
        <f t="shared" si="29"/>
        <v>550</v>
      </c>
      <c r="DA22" s="1">
        <f t="shared" si="29"/>
        <v>555</v>
      </c>
      <c r="DB22" s="1">
        <f t="shared" si="29"/>
        <v>560</v>
      </c>
      <c r="DC22" s="1">
        <f t="shared" si="29"/>
        <v>565</v>
      </c>
      <c r="DD22" s="1">
        <f t="shared" si="29"/>
        <v>570</v>
      </c>
      <c r="DE22" s="1">
        <f t="shared" si="29"/>
        <v>575</v>
      </c>
      <c r="DF22" s="1">
        <f t="shared" si="29"/>
        <v>580</v>
      </c>
      <c r="DG22" s="1">
        <f t="shared" si="29"/>
        <v>585</v>
      </c>
      <c r="DH22" s="1">
        <f t="shared" si="29"/>
        <v>590</v>
      </c>
      <c r="DI22" s="1">
        <f t="shared" si="29"/>
        <v>595</v>
      </c>
      <c r="DJ22" s="1">
        <f t="shared" si="29"/>
        <v>600</v>
      </c>
      <c r="DK22" s="1">
        <f t="shared" si="29"/>
        <v>605</v>
      </c>
      <c r="DL22" s="1">
        <f t="shared" si="29"/>
        <v>610</v>
      </c>
      <c r="DM22" s="1">
        <f t="shared" si="29"/>
        <v>615</v>
      </c>
      <c r="DN22" s="1">
        <f t="shared" si="29"/>
        <v>620</v>
      </c>
      <c r="DO22" s="1">
        <f t="shared" si="29"/>
        <v>625</v>
      </c>
      <c r="DP22" s="1">
        <f t="shared" si="29"/>
        <v>630</v>
      </c>
      <c r="DQ22" s="1">
        <f t="shared" si="29"/>
        <v>635</v>
      </c>
      <c r="DR22" s="1">
        <f t="shared" si="29"/>
        <v>640</v>
      </c>
      <c r="DS22" s="1">
        <f t="shared" si="29"/>
        <v>645</v>
      </c>
      <c r="DT22" s="1">
        <f t="shared" si="29"/>
        <v>650</v>
      </c>
      <c r="DU22" s="1">
        <f t="shared" si="29"/>
        <v>655</v>
      </c>
      <c r="DV22" s="1">
        <f t="shared" si="29"/>
        <v>660</v>
      </c>
      <c r="DW22" s="1">
        <f t="shared" si="29"/>
        <v>665</v>
      </c>
      <c r="DX22" s="1">
        <f t="shared" si="29"/>
        <v>670</v>
      </c>
      <c r="DY22" s="1">
        <f t="shared" si="29"/>
        <v>675</v>
      </c>
      <c r="DZ22" s="1">
        <f t="shared" si="29"/>
        <v>680</v>
      </c>
      <c r="EA22" s="1">
        <f t="shared" si="29"/>
        <v>685</v>
      </c>
      <c r="EB22" s="1">
        <f t="shared" si="29"/>
        <v>690</v>
      </c>
      <c r="EC22" s="1">
        <f t="shared" si="30"/>
        <v>695</v>
      </c>
      <c r="ED22" s="1">
        <f t="shared" si="30"/>
        <v>700</v>
      </c>
      <c r="EE22" s="1">
        <f t="shared" si="30"/>
        <v>705</v>
      </c>
      <c r="EF22" s="1">
        <f t="shared" si="30"/>
        <v>710</v>
      </c>
      <c r="EG22" s="1">
        <f t="shared" si="30"/>
        <v>715</v>
      </c>
      <c r="EH22" s="1">
        <f t="shared" si="30"/>
        <v>720</v>
      </c>
      <c r="EI22" s="1">
        <f t="shared" si="30"/>
        <v>725</v>
      </c>
      <c r="EJ22" s="1">
        <f t="shared" si="30"/>
        <v>730</v>
      </c>
      <c r="EK22" s="1">
        <f t="shared" si="30"/>
        <v>735</v>
      </c>
      <c r="EL22" s="1">
        <f t="shared" si="30"/>
        <v>740</v>
      </c>
      <c r="EM22" s="1">
        <f t="shared" si="30"/>
        <v>745</v>
      </c>
      <c r="EN22" s="1">
        <f t="shared" si="30"/>
        <v>750</v>
      </c>
      <c r="EO22" s="34"/>
      <c r="EP22" s="34"/>
      <c r="EQ22" s="34"/>
      <c r="ER22" s="34"/>
      <c r="ES22" s="34"/>
      <c r="ET22" s="34"/>
      <c r="EU22" s="34"/>
      <c r="EV22" s="34"/>
      <c r="EW22" s="34"/>
      <c r="EX22" s="34"/>
      <c r="EY22" s="34"/>
      <c r="EZ22" s="34"/>
      <c r="FA22" s="34"/>
      <c r="FB22" s="34"/>
    </row>
    <row r="23" spans="1:158" x14ac:dyDescent="0.3">
      <c r="A23" s="117"/>
      <c r="B23" s="13" t="str">
        <f>"0x"&amp;DEC2HEX(C23,2)</f>
        <v>0x03</v>
      </c>
      <c r="C23" s="17">
        <f t="shared" si="32"/>
        <v>3</v>
      </c>
      <c r="D23" s="1">
        <f t="shared" si="31"/>
        <v>25</v>
      </c>
      <c r="E23" s="1">
        <f t="shared" si="33"/>
        <v>27.5</v>
      </c>
      <c r="F23" s="1">
        <f t="shared" si="33"/>
        <v>30</v>
      </c>
      <c r="G23" s="1">
        <f t="shared" si="33"/>
        <v>32.5</v>
      </c>
      <c r="H23" s="1">
        <f t="shared" si="33"/>
        <v>35</v>
      </c>
      <c r="I23" s="1">
        <f t="shared" si="33"/>
        <v>37.5</v>
      </c>
      <c r="J23" s="1">
        <f t="shared" si="33"/>
        <v>40</v>
      </c>
      <c r="K23" s="1">
        <f t="shared" si="33"/>
        <v>42.5</v>
      </c>
      <c r="L23" s="1">
        <f t="shared" si="33"/>
        <v>45</v>
      </c>
      <c r="M23" s="1">
        <f t="shared" si="33"/>
        <v>47.5</v>
      </c>
      <c r="N23" s="1">
        <f t="shared" si="33"/>
        <v>50</v>
      </c>
      <c r="O23" s="1">
        <f t="shared" si="33"/>
        <v>52.5</v>
      </c>
      <c r="P23" s="1">
        <f t="shared" si="33"/>
        <v>55</v>
      </c>
      <c r="Q23" s="1">
        <f t="shared" si="33"/>
        <v>57.5</v>
      </c>
      <c r="R23" s="1">
        <f t="shared" si="33"/>
        <v>60</v>
      </c>
      <c r="S23" s="1">
        <f t="shared" si="33"/>
        <v>62.5</v>
      </c>
      <c r="T23" s="1">
        <f t="shared" si="33"/>
        <v>65</v>
      </c>
      <c r="U23" s="1">
        <f t="shared" si="33"/>
        <v>67.5</v>
      </c>
      <c r="V23" s="1">
        <f t="shared" si="33"/>
        <v>70</v>
      </c>
      <c r="W23" s="1">
        <f t="shared" si="33"/>
        <v>72.5</v>
      </c>
      <c r="X23" s="1">
        <f t="shared" si="33"/>
        <v>75</v>
      </c>
      <c r="Y23" s="1">
        <f t="shared" si="33"/>
        <v>77.5</v>
      </c>
      <c r="Z23" s="1">
        <f t="shared" si="33"/>
        <v>80</v>
      </c>
      <c r="AA23" s="1">
        <f t="shared" si="33"/>
        <v>82.5</v>
      </c>
      <c r="AB23" s="1">
        <f t="shared" si="33"/>
        <v>85</v>
      </c>
      <c r="AC23" s="1">
        <f t="shared" si="33"/>
        <v>87.5</v>
      </c>
      <c r="AD23" s="1">
        <f t="shared" si="33"/>
        <v>90</v>
      </c>
      <c r="AE23" s="1">
        <f t="shared" si="33"/>
        <v>92.5</v>
      </c>
      <c r="AF23" s="1">
        <f t="shared" si="33"/>
        <v>95</v>
      </c>
      <c r="AG23" s="1">
        <f t="shared" si="33"/>
        <v>97.5</v>
      </c>
      <c r="AH23" s="1">
        <f t="shared" si="33"/>
        <v>100</v>
      </c>
      <c r="AI23" s="1">
        <f t="shared" si="33"/>
        <v>102.5</v>
      </c>
      <c r="AJ23" s="1">
        <f t="shared" si="33"/>
        <v>105</v>
      </c>
      <c r="AK23" s="1">
        <f t="shared" si="33"/>
        <v>107.5</v>
      </c>
      <c r="AL23" s="1">
        <f t="shared" si="33"/>
        <v>110</v>
      </c>
      <c r="AM23" s="1">
        <f t="shared" si="33"/>
        <v>112.5</v>
      </c>
      <c r="AN23" s="1">
        <f t="shared" si="33"/>
        <v>115</v>
      </c>
      <c r="AO23" s="1">
        <f t="shared" si="33"/>
        <v>117.5</v>
      </c>
      <c r="AP23" s="1">
        <f t="shared" si="33"/>
        <v>120</v>
      </c>
      <c r="AQ23" s="1">
        <f t="shared" si="33"/>
        <v>122.5</v>
      </c>
      <c r="AR23" s="1">
        <f t="shared" si="33"/>
        <v>125</v>
      </c>
      <c r="AS23" s="1">
        <f t="shared" si="33"/>
        <v>127.5</v>
      </c>
      <c r="AT23" s="1">
        <f t="shared" si="33"/>
        <v>130</v>
      </c>
      <c r="AU23" s="1">
        <f t="shared" si="33"/>
        <v>132.5</v>
      </c>
      <c r="AV23" s="1">
        <f t="shared" si="33"/>
        <v>135</v>
      </c>
      <c r="AW23" s="1">
        <f t="shared" si="33"/>
        <v>137.5</v>
      </c>
      <c r="AX23" s="1">
        <f t="shared" si="33"/>
        <v>140</v>
      </c>
      <c r="AY23" s="1">
        <f t="shared" si="33"/>
        <v>142.5</v>
      </c>
      <c r="AZ23" s="1">
        <f t="shared" si="33"/>
        <v>145</v>
      </c>
      <c r="BA23" s="1">
        <f t="shared" si="33"/>
        <v>147.5</v>
      </c>
      <c r="BB23" s="1">
        <f t="shared" si="33"/>
        <v>150</v>
      </c>
      <c r="BC23" s="1">
        <f t="shared" si="33"/>
        <v>152.5</v>
      </c>
      <c r="BD23" s="1">
        <f t="shared" si="33"/>
        <v>155</v>
      </c>
      <c r="BE23" s="1">
        <f t="shared" si="33"/>
        <v>157.5</v>
      </c>
      <c r="BF23" s="1">
        <f t="shared" si="33"/>
        <v>160</v>
      </c>
      <c r="BG23" s="1">
        <f t="shared" si="33"/>
        <v>162.5</v>
      </c>
      <c r="BH23" s="1">
        <f t="shared" si="33"/>
        <v>165</v>
      </c>
      <c r="BI23" s="1">
        <f t="shared" si="33"/>
        <v>167.5</v>
      </c>
      <c r="BJ23" s="1">
        <f t="shared" si="33"/>
        <v>170</v>
      </c>
      <c r="BK23" s="1">
        <f t="shared" si="33"/>
        <v>172.5</v>
      </c>
      <c r="BL23" s="1">
        <f t="shared" si="33"/>
        <v>175</v>
      </c>
      <c r="BM23" s="1">
        <f t="shared" si="33"/>
        <v>177.5</v>
      </c>
      <c r="BN23" s="1">
        <f t="shared" si="33"/>
        <v>180</v>
      </c>
      <c r="BO23" s="1">
        <f t="shared" si="33"/>
        <v>182.5</v>
      </c>
      <c r="BP23" s="1">
        <f t="shared" si="33"/>
        <v>185</v>
      </c>
      <c r="BQ23" s="1">
        <f t="shared" si="29"/>
        <v>187.5</v>
      </c>
      <c r="BR23" s="1">
        <f t="shared" si="29"/>
        <v>190</v>
      </c>
      <c r="BS23" s="1">
        <f t="shared" si="29"/>
        <v>192.5</v>
      </c>
      <c r="BT23" s="1">
        <f t="shared" si="29"/>
        <v>195</v>
      </c>
      <c r="BU23" s="1">
        <f t="shared" si="29"/>
        <v>197.5</v>
      </c>
      <c r="BV23" s="1">
        <f t="shared" si="29"/>
        <v>200</v>
      </c>
      <c r="BW23" s="1">
        <f t="shared" si="29"/>
        <v>202.5</v>
      </c>
      <c r="BX23" s="1">
        <f t="shared" si="29"/>
        <v>205</v>
      </c>
      <c r="BY23" s="1">
        <f t="shared" si="29"/>
        <v>207.5</v>
      </c>
      <c r="BZ23" s="1">
        <f t="shared" si="29"/>
        <v>210</v>
      </c>
      <c r="CA23" s="1">
        <f t="shared" si="29"/>
        <v>212.5</v>
      </c>
      <c r="CB23" s="1">
        <f t="shared" si="29"/>
        <v>215</v>
      </c>
      <c r="CC23" s="1">
        <f t="shared" si="29"/>
        <v>217.5</v>
      </c>
      <c r="CD23" s="1">
        <f t="shared" si="29"/>
        <v>220</v>
      </c>
      <c r="CE23" s="1">
        <f t="shared" si="29"/>
        <v>222.5</v>
      </c>
      <c r="CF23" s="1">
        <f t="shared" si="29"/>
        <v>225</v>
      </c>
      <c r="CG23" s="1">
        <f t="shared" si="29"/>
        <v>227.5</v>
      </c>
      <c r="CH23" s="1">
        <f t="shared" si="29"/>
        <v>230</v>
      </c>
      <c r="CI23" s="1">
        <f t="shared" si="29"/>
        <v>232.5</v>
      </c>
      <c r="CJ23" s="1">
        <f t="shared" si="29"/>
        <v>235</v>
      </c>
      <c r="CK23" s="1">
        <f t="shared" si="29"/>
        <v>237.5</v>
      </c>
      <c r="CL23" s="1">
        <f t="shared" si="29"/>
        <v>240</v>
      </c>
      <c r="CM23" s="1">
        <f t="shared" si="29"/>
        <v>242.5</v>
      </c>
      <c r="CN23" s="1">
        <f t="shared" si="29"/>
        <v>245</v>
      </c>
      <c r="CO23" s="1">
        <f t="shared" si="29"/>
        <v>247.5</v>
      </c>
      <c r="CP23" s="1">
        <f t="shared" si="29"/>
        <v>250</v>
      </c>
      <c r="CQ23" s="1">
        <f t="shared" si="29"/>
        <v>252.5</v>
      </c>
      <c r="CR23" s="1">
        <f t="shared" si="29"/>
        <v>255</v>
      </c>
      <c r="CS23" s="1">
        <f t="shared" si="29"/>
        <v>257.5</v>
      </c>
      <c r="CT23" s="1">
        <f t="shared" si="29"/>
        <v>260</v>
      </c>
      <c r="CU23" s="1">
        <f t="shared" si="29"/>
        <v>262.5</v>
      </c>
      <c r="CV23" s="1">
        <f t="shared" si="29"/>
        <v>265</v>
      </c>
      <c r="CW23" s="1">
        <f t="shared" si="29"/>
        <v>267.5</v>
      </c>
      <c r="CX23" s="1">
        <f t="shared" si="29"/>
        <v>270</v>
      </c>
      <c r="CY23" s="1">
        <f t="shared" si="29"/>
        <v>272.5</v>
      </c>
      <c r="CZ23" s="1">
        <f t="shared" si="29"/>
        <v>275</v>
      </c>
      <c r="DA23" s="1">
        <f t="shared" si="29"/>
        <v>277.5</v>
      </c>
      <c r="DB23" s="1">
        <f t="shared" si="29"/>
        <v>280</v>
      </c>
      <c r="DC23" s="1">
        <f t="shared" si="29"/>
        <v>282.5</v>
      </c>
      <c r="DD23" s="1">
        <f t="shared" si="29"/>
        <v>285</v>
      </c>
      <c r="DE23" s="1">
        <f t="shared" si="29"/>
        <v>287.5</v>
      </c>
      <c r="DF23" s="1">
        <f t="shared" si="29"/>
        <v>290</v>
      </c>
      <c r="DG23" s="1">
        <f t="shared" si="29"/>
        <v>292.5</v>
      </c>
      <c r="DH23" s="1">
        <f t="shared" si="29"/>
        <v>295</v>
      </c>
      <c r="DI23" s="1">
        <f t="shared" si="29"/>
        <v>297.5</v>
      </c>
      <c r="DJ23" s="1">
        <f t="shared" si="29"/>
        <v>300</v>
      </c>
      <c r="DK23" s="1">
        <f t="shared" si="29"/>
        <v>302.5</v>
      </c>
      <c r="DL23" s="1">
        <f t="shared" si="29"/>
        <v>305</v>
      </c>
      <c r="DM23" s="1">
        <f t="shared" si="29"/>
        <v>307.5</v>
      </c>
      <c r="DN23" s="1">
        <f t="shared" si="29"/>
        <v>310</v>
      </c>
      <c r="DO23" s="1">
        <f t="shared" si="29"/>
        <v>312.5</v>
      </c>
      <c r="DP23" s="1">
        <f t="shared" si="29"/>
        <v>315</v>
      </c>
      <c r="DQ23" s="1">
        <f t="shared" si="29"/>
        <v>317.5</v>
      </c>
      <c r="DR23" s="1">
        <f t="shared" si="29"/>
        <v>320</v>
      </c>
      <c r="DS23" s="1">
        <f t="shared" si="29"/>
        <v>322.5</v>
      </c>
      <c r="DT23" s="1">
        <f t="shared" si="29"/>
        <v>325</v>
      </c>
      <c r="DU23" s="1">
        <f t="shared" si="29"/>
        <v>327.5</v>
      </c>
      <c r="DV23" s="1">
        <f t="shared" si="29"/>
        <v>330</v>
      </c>
      <c r="DW23" s="1">
        <f t="shared" si="29"/>
        <v>332.5</v>
      </c>
      <c r="DX23" s="1">
        <f t="shared" si="29"/>
        <v>335</v>
      </c>
      <c r="DY23" s="1">
        <f t="shared" si="29"/>
        <v>337.5</v>
      </c>
      <c r="DZ23" s="1">
        <f t="shared" si="29"/>
        <v>340</v>
      </c>
      <c r="EA23" s="1">
        <f t="shared" si="29"/>
        <v>342.5</v>
      </c>
      <c r="EB23" s="1">
        <f t="shared" ref="EB23:EN24" si="34">IF($V$3=0,0,($V$2*(EB$19 + ($G$14/$G$15)))/ (2*POWER(2,$C23) * $V$3))</f>
        <v>345</v>
      </c>
      <c r="EC23" s="1">
        <f t="shared" si="34"/>
        <v>347.5</v>
      </c>
      <c r="ED23" s="1">
        <f t="shared" si="34"/>
        <v>350</v>
      </c>
      <c r="EE23" s="1">
        <f t="shared" si="34"/>
        <v>352.5</v>
      </c>
      <c r="EF23" s="1">
        <f t="shared" si="34"/>
        <v>355</v>
      </c>
      <c r="EG23" s="1">
        <f t="shared" si="34"/>
        <v>357.5</v>
      </c>
      <c r="EH23" s="1">
        <f t="shared" si="34"/>
        <v>360</v>
      </c>
      <c r="EI23" s="1">
        <f t="shared" si="34"/>
        <v>362.5</v>
      </c>
      <c r="EJ23" s="1">
        <f t="shared" si="34"/>
        <v>365</v>
      </c>
      <c r="EK23" s="1">
        <f t="shared" si="34"/>
        <v>367.5</v>
      </c>
      <c r="EL23" s="1">
        <f t="shared" si="34"/>
        <v>370</v>
      </c>
      <c r="EM23" s="1">
        <f t="shared" si="34"/>
        <v>372.5</v>
      </c>
      <c r="EN23" s="1">
        <f t="shared" si="34"/>
        <v>375</v>
      </c>
      <c r="EO23" s="34"/>
      <c r="EP23" s="34"/>
      <c r="EQ23" s="34"/>
      <c r="ER23" s="34"/>
      <c r="ES23" s="34"/>
      <c r="ET23" s="34"/>
      <c r="EU23" s="34"/>
      <c r="EV23" s="34"/>
      <c r="EW23" s="34"/>
      <c r="EX23" s="34"/>
      <c r="EY23" s="34"/>
      <c r="EZ23" s="34"/>
      <c r="FA23" s="34"/>
      <c r="FB23" s="34"/>
    </row>
    <row r="24" spans="1:158" x14ac:dyDescent="0.3">
      <c r="A24" s="118"/>
      <c r="B24" s="14" t="str">
        <f>"0x"&amp;DEC2HEX(C24,2)</f>
        <v>0x04</v>
      </c>
      <c r="C24" s="17">
        <f t="shared" si="32"/>
        <v>4</v>
      </c>
      <c r="D24" s="1">
        <f t="shared" si="31"/>
        <v>12.5</v>
      </c>
      <c r="E24" s="1">
        <f t="shared" si="33"/>
        <v>13.75</v>
      </c>
      <c r="F24" s="1">
        <f t="shared" si="33"/>
        <v>15</v>
      </c>
      <c r="G24" s="1">
        <f t="shared" si="33"/>
        <v>16.25</v>
      </c>
      <c r="H24" s="1">
        <f t="shared" si="33"/>
        <v>17.5</v>
      </c>
      <c r="I24" s="1">
        <f t="shared" si="33"/>
        <v>18.75</v>
      </c>
      <c r="J24" s="1">
        <f t="shared" si="33"/>
        <v>20</v>
      </c>
      <c r="K24" s="1">
        <f t="shared" si="33"/>
        <v>21.25</v>
      </c>
      <c r="L24" s="1">
        <f t="shared" si="33"/>
        <v>22.5</v>
      </c>
      <c r="M24" s="1">
        <f t="shared" si="33"/>
        <v>23.75</v>
      </c>
      <c r="N24" s="1">
        <f t="shared" si="33"/>
        <v>25</v>
      </c>
      <c r="O24" s="1">
        <f t="shared" si="33"/>
        <v>26.25</v>
      </c>
      <c r="P24" s="1">
        <f t="shared" si="33"/>
        <v>27.5</v>
      </c>
      <c r="Q24" s="1">
        <f t="shared" si="33"/>
        <v>28.75</v>
      </c>
      <c r="R24" s="1">
        <f t="shared" si="33"/>
        <v>30</v>
      </c>
      <c r="S24" s="1">
        <f t="shared" si="33"/>
        <v>31.25</v>
      </c>
      <c r="T24" s="1">
        <f t="shared" si="33"/>
        <v>32.5</v>
      </c>
      <c r="U24" s="1">
        <f t="shared" si="33"/>
        <v>33.75</v>
      </c>
      <c r="V24" s="1">
        <f t="shared" si="33"/>
        <v>35</v>
      </c>
      <c r="W24" s="1">
        <f t="shared" si="33"/>
        <v>36.25</v>
      </c>
      <c r="X24" s="1">
        <f t="shared" si="33"/>
        <v>37.5</v>
      </c>
      <c r="Y24" s="1">
        <f t="shared" si="33"/>
        <v>38.75</v>
      </c>
      <c r="Z24" s="1">
        <f t="shared" si="33"/>
        <v>40</v>
      </c>
      <c r="AA24" s="1">
        <f t="shared" si="33"/>
        <v>41.25</v>
      </c>
      <c r="AB24" s="1">
        <f t="shared" si="33"/>
        <v>42.5</v>
      </c>
      <c r="AC24" s="1">
        <f t="shared" si="33"/>
        <v>43.75</v>
      </c>
      <c r="AD24" s="1">
        <f t="shared" si="33"/>
        <v>45</v>
      </c>
      <c r="AE24" s="1">
        <f t="shared" si="33"/>
        <v>46.25</v>
      </c>
      <c r="AF24" s="1">
        <f t="shared" si="33"/>
        <v>47.5</v>
      </c>
      <c r="AG24" s="1">
        <f t="shared" si="33"/>
        <v>48.75</v>
      </c>
      <c r="AH24" s="1">
        <f t="shared" si="33"/>
        <v>50</v>
      </c>
      <c r="AI24" s="1">
        <f t="shared" si="33"/>
        <v>51.25</v>
      </c>
      <c r="AJ24" s="1">
        <f t="shared" si="33"/>
        <v>52.5</v>
      </c>
      <c r="AK24" s="1">
        <f t="shared" si="33"/>
        <v>53.75</v>
      </c>
      <c r="AL24" s="1">
        <f t="shared" si="33"/>
        <v>55</v>
      </c>
      <c r="AM24" s="1">
        <f t="shared" si="33"/>
        <v>56.25</v>
      </c>
      <c r="AN24" s="1">
        <f t="shared" si="33"/>
        <v>57.5</v>
      </c>
      <c r="AO24" s="1">
        <f t="shared" si="33"/>
        <v>58.75</v>
      </c>
      <c r="AP24" s="1">
        <f t="shared" si="33"/>
        <v>60</v>
      </c>
      <c r="AQ24" s="1">
        <f t="shared" si="33"/>
        <v>61.25</v>
      </c>
      <c r="AR24" s="1">
        <f t="shared" si="33"/>
        <v>62.5</v>
      </c>
      <c r="AS24" s="1">
        <f t="shared" si="33"/>
        <v>63.75</v>
      </c>
      <c r="AT24" s="1">
        <f t="shared" si="33"/>
        <v>65</v>
      </c>
      <c r="AU24" s="1">
        <f t="shared" si="33"/>
        <v>66.25</v>
      </c>
      <c r="AV24" s="1">
        <f t="shared" si="33"/>
        <v>67.5</v>
      </c>
      <c r="AW24" s="1">
        <f t="shared" si="33"/>
        <v>68.75</v>
      </c>
      <c r="AX24" s="1">
        <f t="shared" si="33"/>
        <v>70</v>
      </c>
      <c r="AY24" s="1">
        <f t="shared" si="33"/>
        <v>71.25</v>
      </c>
      <c r="AZ24" s="1">
        <f t="shared" si="33"/>
        <v>72.5</v>
      </c>
      <c r="BA24" s="1">
        <f t="shared" si="33"/>
        <v>73.75</v>
      </c>
      <c r="BB24" s="1">
        <f t="shared" si="33"/>
        <v>75</v>
      </c>
      <c r="BC24" s="1">
        <f t="shared" si="33"/>
        <v>76.25</v>
      </c>
      <c r="BD24" s="1">
        <f t="shared" si="33"/>
        <v>77.5</v>
      </c>
      <c r="BE24" s="1">
        <f t="shared" si="33"/>
        <v>78.75</v>
      </c>
      <c r="BF24" s="1">
        <f t="shared" si="33"/>
        <v>80</v>
      </c>
      <c r="BG24" s="1">
        <f t="shared" si="33"/>
        <v>81.25</v>
      </c>
      <c r="BH24" s="1">
        <f t="shared" si="33"/>
        <v>82.5</v>
      </c>
      <c r="BI24" s="1">
        <f t="shared" si="33"/>
        <v>83.75</v>
      </c>
      <c r="BJ24" s="1">
        <f t="shared" si="33"/>
        <v>85</v>
      </c>
      <c r="BK24" s="1">
        <f t="shared" si="33"/>
        <v>86.25</v>
      </c>
      <c r="BL24" s="1">
        <f t="shared" si="33"/>
        <v>87.5</v>
      </c>
      <c r="BM24" s="1">
        <f t="shared" si="33"/>
        <v>88.75</v>
      </c>
      <c r="BN24" s="1">
        <f t="shared" si="33"/>
        <v>90</v>
      </c>
      <c r="BO24" s="1">
        <f t="shared" si="33"/>
        <v>91.25</v>
      </c>
      <c r="BP24" s="1">
        <f t="shared" si="33"/>
        <v>92.5</v>
      </c>
      <c r="BQ24" s="1">
        <f t="shared" ref="BQ24:EB24" si="35">IF($V$3=0,0,($V$2*(BQ$19 + ($G$14/$G$15)))/ (2*POWER(2,$C24) * $V$3))</f>
        <v>93.75</v>
      </c>
      <c r="BR24" s="1">
        <f t="shared" si="35"/>
        <v>95</v>
      </c>
      <c r="BS24" s="1">
        <f t="shared" si="35"/>
        <v>96.25</v>
      </c>
      <c r="BT24" s="1">
        <f t="shared" si="35"/>
        <v>97.5</v>
      </c>
      <c r="BU24" s="1">
        <f t="shared" si="35"/>
        <v>98.75</v>
      </c>
      <c r="BV24" s="1">
        <f t="shared" si="35"/>
        <v>100</v>
      </c>
      <c r="BW24" s="1">
        <f t="shared" si="35"/>
        <v>101.25</v>
      </c>
      <c r="BX24" s="1">
        <f t="shared" si="35"/>
        <v>102.5</v>
      </c>
      <c r="BY24" s="1">
        <f t="shared" si="35"/>
        <v>103.75</v>
      </c>
      <c r="BZ24" s="1">
        <f t="shared" si="35"/>
        <v>105</v>
      </c>
      <c r="CA24" s="1">
        <f t="shared" si="35"/>
        <v>106.25</v>
      </c>
      <c r="CB24" s="1">
        <f t="shared" si="35"/>
        <v>107.5</v>
      </c>
      <c r="CC24" s="1">
        <f t="shared" si="35"/>
        <v>108.75</v>
      </c>
      <c r="CD24" s="1">
        <f t="shared" si="35"/>
        <v>110</v>
      </c>
      <c r="CE24" s="1">
        <f t="shared" si="35"/>
        <v>111.25</v>
      </c>
      <c r="CF24" s="1">
        <f t="shared" si="35"/>
        <v>112.5</v>
      </c>
      <c r="CG24" s="1">
        <f t="shared" si="35"/>
        <v>113.75</v>
      </c>
      <c r="CH24" s="1">
        <f t="shared" si="35"/>
        <v>115</v>
      </c>
      <c r="CI24" s="1">
        <f t="shared" si="35"/>
        <v>116.25</v>
      </c>
      <c r="CJ24" s="1">
        <f t="shared" si="35"/>
        <v>117.5</v>
      </c>
      <c r="CK24" s="1">
        <f t="shared" si="35"/>
        <v>118.75</v>
      </c>
      <c r="CL24" s="1">
        <f t="shared" si="35"/>
        <v>120</v>
      </c>
      <c r="CM24" s="1">
        <f t="shared" si="35"/>
        <v>121.25</v>
      </c>
      <c r="CN24" s="1">
        <f t="shared" si="35"/>
        <v>122.5</v>
      </c>
      <c r="CO24" s="1">
        <f t="shared" si="35"/>
        <v>123.75</v>
      </c>
      <c r="CP24" s="1">
        <f t="shared" si="35"/>
        <v>125</v>
      </c>
      <c r="CQ24" s="1">
        <f t="shared" si="35"/>
        <v>126.25</v>
      </c>
      <c r="CR24" s="1">
        <f t="shared" si="35"/>
        <v>127.5</v>
      </c>
      <c r="CS24" s="1">
        <f t="shared" si="35"/>
        <v>128.75</v>
      </c>
      <c r="CT24" s="1">
        <f t="shared" si="35"/>
        <v>130</v>
      </c>
      <c r="CU24" s="1">
        <f t="shared" si="35"/>
        <v>131.25</v>
      </c>
      <c r="CV24" s="1">
        <f t="shared" si="35"/>
        <v>132.5</v>
      </c>
      <c r="CW24" s="1">
        <f t="shared" si="35"/>
        <v>133.75</v>
      </c>
      <c r="CX24" s="1">
        <f t="shared" si="35"/>
        <v>135</v>
      </c>
      <c r="CY24" s="1">
        <f t="shared" si="35"/>
        <v>136.25</v>
      </c>
      <c r="CZ24" s="1">
        <f t="shared" si="35"/>
        <v>137.5</v>
      </c>
      <c r="DA24" s="1">
        <f t="shared" si="35"/>
        <v>138.75</v>
      </c>
      <c r="DB24" s="1">
        <f t="shared" si="35"/>
        <v>140</v>
      </c>
      <c r="DC24" s="1">
        <f t="shared" si="35"/>
        <v>141.25</v>
      </c>
      <c r="DD24" s="1">
        <f t="shared" si="35"/>
        <v>142.5</v>
      </c>
      <c r="DE24" s="1">
        <f t="shared" si="35"/>
        <v>143.75</v>
      </c>
      <c r="DF24" s="1">
        <f t="shared" si="35"/>
        <v>145</v>
      </c>
      <c r="DG24" s="1">
        <f t="shared" si="35"/>
        <v>146.25</v>
      </c>
      <c r="DH24" s="1">
        <f t="shared" si="35"/>
        <v>147.5</v>
      </c>
      <c r="DI24" s="1">
        <f t="shared" si="35"/>
        <v>148.75</v>
      </c>
      <c r="DJ24" s="1">
        <f t="shared" si="35"/>
        <v>150</v>
      </c>
      <c r="DK24" s="1">
        <f t="shared" si="35"/>
        <v>151.25</v>
      </c>
      <c r="DL24" s="1">
        <f t="shared" si="35"/>
        <v>152.5</v>
      </c>
      <c r="DM24" s="1">
        <f t="shared" si="35"/>
        <v>153.75</v>
      </c>
      <c r="DN24" s="1">
        <f t="shared" si="35"/>
        <v>155</v>
      </c>
      <c r="DO24" s="1">
        <f t="shared" si="35"/>
        <v>156.25</v>
      </c>
      <c r="DP24" s="1">
        <f t="shared" si="35"/>
        <v>157.5</v>
      </c>
      <c r="DQ24" s="1">
        <f t="shared" si="35"/>
        <v>158.75</v>
      </c>
      <c r="DR24" s="1">
        <f t="shared" si="35"/>
        <v>160</v>
      </c>
      <c r="DS24" s="1">
        <f t="shared" si="35"/>
        <v>161.25</v>
      </c>
      <c r="DT24" s="1">
        <f t="shared" si="35"/>
        <v>162.5</v>
      </c>
      <c r="DU24" s="1">
        <f t="shared" si="35"/>
        <v>163.75</v>
      </c>
      <c r="DV24" s="1">
        <f t="shared" si="35"/>
        <v>165</v>
      </c>
      <c r="DW24" s="1">
        <f t="shared" si="35"/>
        <v>166.25</v>
      </c>
      <c r="DX24" s="1">
        <f t="shared" si="35"/>
        <v>167.5</v>
      </c>
      <c r="DY24" s="1">
        <f t="shared" si="35"/>
        <v>168.75</v>
      </c>
      <c r="DZ24" s="1">
        <f t="shared" si="35"/>
        <v>170</v>
      </c>
      <c r="EA24" s="1">
        <f t="shared" si="35"/>
        <v>171.25</v>
      </c>
      <c r="EB24" s="1">
        <f t="shared" si="35"/>
        <v>172.5</v>
      </c>
      <c r="EC24" s="1">
        <f t="shared" si="34"/>
        <v>173.75</v>
      </c>
      <c r="ED24" s="1">
        <f t="shared" si="34"/>
        <v>175</v>
      </c>
      <c r="EE24" s="1">
        <f t="shared" si="34"/>
        <v>176.25</v>
      </c>
      <c r="EF24" s="1">
        <f t="shared" si="34"/>
        <v>177.5</v>
      </c>
      <c r="EG24" s="1">
        <f t="shared" si="34"/>
        <v>178.75</v>
      </c>
      <c r="EH24" s="1">
        <f t="shared" si="34"/>
        <v>180</v>
      </c>
      <c r="EI24" s="1">
        <f t="shared" si="34"/>
        <v>181.25</v>
      </c>
      <c r="EJ24" s="1">
        <f t="shared" si="34"/>
        <v>182.5</v>
      </c>
      <c r="EK24" s="1">
        <f t="shared" si="34"/>
        <v>183.75</v>
      </c>
      <c r="EL24" s="1">
        <f t="shared" si="34"/>
        <v>185</v>
      </c>
      <c r="EM24" s="1">
        <f t="shared" si="34"/>
        <v>186.25</v>
      </c>
      <c r="EN24" s="1">
        <f t="shared" si="34"/>
        <v>187.5</v>
      </c>
      <c r="EO24" s="34"/>
      <c r="EP24" s="34"/>
      <c r="EQ24" s="34"/>
      <c r="ER24" s="34"/>
      <c r="ES24" s="34"/>
      <c r="ET24" s="34"/>
      <c r="EU24" s="34"/>
      <c r="EV24" s="34"/>
      <c r="EW24" s="34"/>
      <c r="EX24" s="34"/>
      <c r="EY24" s="34"/>
      <c r="EZ24" s="34"/>
      <c r="FA24" s="34"/>
      <c r="FB24" s="34"/>
    </row>
  </sheetData>
  <mergeCells count="7">
    <mergeCell ref="A20:A24"/>
    <mergeCell ref="D17:EN17"/>
    <mergeCell ref="W2:X6"/>
    <mergeCell ref="D1:T1"/>
    <mergeCell ref="A1:C2"/>
    <mergeCell ref="A3:B3"/>
    <mergeCell ref="A4:B4"/>
  </mergeCells>
  <conditionalFormatting sqref="D20:EN24">
    <cfRule type="expression" dxfId="59" priority="2">
      <formula>OR((D20 * 2*POWER(2,$C20)) &lt; $V$5, (D20 * 2*POWER(2,$C20)) &gt; $V$6)</formula>
    </cfRule>
    <cfRule type="expression" dxfId="58" priority="3">
      <formula>D20 &gt; $V$7</formula>
    </cfRule>
    <cfRule type="expression" dxfId="57" priority="4">
      <formula>D20 &gt; $V$4</formula>
    </cfRule>
    <cfRule type="expression" dxfId="56" priority="5">
      <formula>D20 = $V$4</formula>
    </cfRule>
  </conditionalFormatting>
  <conditionalFormatting sqref="C4">
    <cfRule type="expression" dxfId="55" priority="1">
      <formula>OR(B6/C4 &lt;#REF!, B6/C4&gt;#REF!)</formula>
    </cfRule>
  </conditionalFormatting>
  <dataValidations count="3">
    <dataValidation type="whole" allowBlank="1" showInputMessage="1" showErrorMessage="1" sqref="G15" xr:uid="{00000000-0002-0000-0A00-000000000000}">
      <formula1>IF(G14=0,1,G14)</formula1>
      <formula2>65535</formula2>
    </dataValidation>
    <dataValidation type="whole" allowBlank="1" showInputMessage="1" showErrorMessage="1" sqref="G14" xr:uid="{00000000-0002-0000-0A00-000001000000}">
      <formula1>0</formula1>
      <formula2>16383</formula2>
    </dataValidation>
    <dataValidation type="list" allowBlank="1" showInputMessage="1" showErrorMessage="1" sqref="C4" xr:uid="{00000000-0002-0000-0A00-000002000000}">
      <formula1>"1,2,3,4,5,6"</formula1>
    </dataValidation>
  </dataValidations>
  <hyperlinks>
    <hyperlink ref="T2" location="FMPLL!D9" display="PLL0 reference" xr:uid="{00000000-0004-0000-0A00-000000000000}"/>
    <hyperlink ref="T3" location="fmpll_phi1!C4" display="PLL0DV[PREDIV]" xr:uid="{00000000-0004-0000-0A00-000001000000}"/>
    <hyperlink ref="T4" location="fmpll_phi1!C3" display="Requested F(phi)" xr:uid="{00000000-0004-0000-0A00-000002000000}"/>
    <hyperlink ref="D14" location="FMPLL!P11" display="MFN" xr:uid="{00000000-0004-0000-0A00-000003000000}"/>
    <hyperlink ref="D15" location="FMPLL!S11" display="MFDEN" xr:uid="{00000000-0004-0000-0A00-000004000000}"/>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6:L195"/>
  <sheetViews>
    <sheetView topLeftCell="B1" workbookViewId="0">
      <selection activeCell="L7" sqref="L7:L55"/>
    </sheetView>
  </sheetViews>
  <sheetFormatPr defaultRowHeight="14.4" x14ac:dyDescent="0.3"/>
  <cols>
    <col min="1" max="1" width="21.44140625" bestFit="1" customWidth="1"/>
    <col min="2" max="2" width="40.109375" bestFit="1" customWidth="1"/>
    <col min="7" max="7" width="26.33203125" bestFit="1" customWidth="1"/>
    <col min="8" max="8" width="34" bestFit="1" customWidth="1"/>
    <col min="9" max="9" width="19.44140625" customWidth="1"/>
    <col min="10" max="10" width="9.5546875" customWidth="1"/>
    <col min="11" max="11" width="8.88671875" customWidth="1"/>
    <col min="12" max="12" width="10.109375" customWidth="1"/>
    <col min="13" max="13" width="11" customWidth="1"/>
  </cols>
  <sheetData>
    <row r="6" spans="1:12" ht="15" thickBot="1" x14ac:dyDescent="0.35"/>
    <row r="7" spans="1:12" x14ac:dyDescent="0.3">
      <c r="A7" s="31" t="s">
        <v>62</v>
      </c>
      <c r="B7" s="32" t="s">
        <v>63</v>
      </c>
      <c r="G7" s="31" t="s">
        <v>130</v>
      </c>
      <c r="H7" s="32" t="s">
        <v>131</v>
      </c>
      <c r="I7" s="32" t="s">
        <v>133</v>
      </c>
      <c r="L7" t="str">
        <f>"//Enable XOSC, PLL0, PLL1, and enter "&amp;IF(Tree!S31="Run","DRUN",IF(Tree!S31="STANDBY","STANDBY",IF(Tree!S31="STOP","STOP",IF(Tree!S31="LPU_RUN","LPU_RUN",IF(Tree!S31="LPU_STOP","LPU_STOP",IF(Tree!S31="LPU_SLEEP","LPU_SLEEP","LPU_STANDBY"))))))&amp;" with "&amp;IF(OR(Tree!S31="Run",Tree!S31="STOP",Tree!S31="STANDBY"),IF(Tree!G15=0,"FIRC",IF(Tree!G15=1,"FXOSC","FMPLL_PHI0")),"LPU_SYS_CLK")&amp;" as system clock ("&amp;Tree!V8&amp;" MHz)."</f>
        <v>//Enable XOSC, PLL0, PLL1, and enter LPU_STANDBY with LPU_SYS_CLK as system clock (160 MHz).</v>
      </c>
    </row>
    <row r="8" spans="1:12" x14ac:dyDescent="0.3">
      <c r="A8" s="19" t="s">
        <v>64</v>
      </c>
      <c r="B8" s="71" t="s">
        <v>65</v>
      </c>
      <c r="G8" s="127" t="s">
        <v>132</v>
      </c>
      <c r="H8" s="73" t="s">
        <v>134</v>
      </c>
      <c r="I8" s="71">
        <f>Tree!D16</f>
        <v>16</v>
      </c>
      <c r="L8" t="str">
        <f>"void SysClk_Init(void)"</f>
        <v>void SysClk_Init(void)</v>
      </c>
    </row>
    <row r="9" spans="1:12" x14ac:dyDescent="0.3">
      <c r="A9" s="19" t="s">
        <v>66</v>
      </c>
      <c r="B9" s="71" t="s">
        <v>67</v>
      </c>
      <c r="G9" s="123"/>
      <c r="H9" s="73" t="s">
        <v>135</v>
      </c>
      <c r="I9" s="71">
        <f>Tree!G7</f>
        <v>16</v>
      </c>
      <c r="L9" t="str">
        <f>"{"</f>
        <v>{</v>
      </c>
    </row>
    <row r="10" spans="1:12" x14ac:dyDescent="0.3">
      <c r="A10" s="19" t="s">
        <v>68</v>
      </c>
      <c r="B10" s="71" t="str">
        <f>"0xX01"&amp;DEC2HEX(('Run mode-only Module Domains'!AL140*POWER(2,16))+('Clock Source Control'!AX38*POWER(2,8))+('Clock Source Control'!AK39*POWER(2,7))+('Clock Source Control'!BO11*POWER(2,6))+('Clock Source Control'!W7*POWER(2,5))+(1*POWER(2,4))+(Tree!G15),5)</f>
        <v>0xX01301F2</v>
      </c>
      <c r="G10" s="123"/>
      <c r="H10" s="73" t="s">
        <v>136</v>
      </c>
      <c r="I10" s="71">
        <f>Tree!F33</f>
        <v>40</v>
      </c>
      <c r="L10" t="str">
        <f>"    MC_CGM.AC5_SC.R = "&amp;B34&amp;";  //Connect "&amp;IF(Tree!G24=0,"FIRC","FXOSC")&amp;" to the FMPLL input."</f>
        <v xml:space="preserve">    MC_CGM.AC5_SC.R = 0x01000000;  //Connect FXOSC to the FMPLL input.</v>
      </c>
    </row>
    <row r="11" spans="1:12" x14ac:dyDescent="0.3">
      <c r="A11" s="19" t="s">
        <v>1558</v>
      </c>
      <c r="B11" s="71" t="str">
        <f>"0xX01"&amp;DEC2HEX(('Run mode-only Module Domains'!AL140*POWER(2,16))+('Clock Source Control'!AX47*POWER(2,8))+('Clock Source Control'!AK48*POWER(2,7))+('Clock Source Control'!BO21*POWER(2,6))+('Clock Source Control'!W42*POWER(2,5))+(POWER(2,4))+(Tree!G15),5)</f>
        <v>0xX01301F2</v>
      </c>
      <c r="G11" s="123"/>
      <c r="H11" s="73" t="s">
        <v>137</v>
      </c>
      <c r="I11" s="71">
        <f>Tree!J38</f>
        <v>40</v>
      </c>
      <c r="L11" t="str">
        <f>""</f>
        <v/>
      </c>
    </row>
    <row r="12" spans="1:12" x14ac:dyDescent="0.3">
      <c r="A12" s="19" t="s">
        <v>1559</v>
      </c>
      <c r="B12" s="71" t="str">
        <f>"0xX01"&amp;DEC2HEX(('Run mode-only Module Domains'!AL140*POWER(2,16))+('Clock Source Control'!AX57*POWER(2,8))+('Clock Source Control'!AK57*POWER(2,7))+('Clock Source Control'!BO31*POWER(2,6))+('Clock Source Control'!W51*POWER(2,5))+(POWER(2,4))+(Tree!G15),5)</f>
        <v>0xX01301F2</v>
      </c>
      <c r="G12" s="123"/>
      <c r="H12" s="73" t="s">
        <v>138</v>
      </c>
      <c r="I12" s="71">
        <f>Tree!L46</f>
        <v>0.128</v>
      </c>
      <c r="L12" t="str">
        <f>"    //Set FMPLL to "&amp;FMPLL!AB9&amp;" MHz with "&amp;FMPLL!D9&amp;" MHz "&amp;IF(Tree!G24=0,"FIRC","FXOSC")&amp;" reference."</f>
        <v xml:space="preserve">    //Set FMPLL to 160 MHz with 40 MHz FXOSC reference.</v>
      </c>
    </row>
    <row r="13" spans="1:12" x14ac:dyDescent="0.3">
      <c r="A13" s="19" t="s">
        <v>1560</v>
      </c>
      <c r="B13" s="71" t="str">
        <f>"0xX01"&amp;DEC2HEX(('Run mode-only Module Domains'!AL140*POWER(2,16))+('Clock Source Control'!AX66*POWER(2,8))+('Clock Source Control'!AK66*POWER(2,7))+('Clock Source Control'!BO42*POWER(2,6))+('Clock Source Control'!W60*POWER(2,5))+(POWER(2,4))+(Tree!G15),5)</f>
        <v>0xX01301F2</v>
      </c>
      <c r="G13" s="123"/>
      <c r="H13" s="73" t="s">
        <v>139</v>
      </c>
      <c r="I13" s="71">
        <f>Tree!L48</f>
        <v>0.128</v>
      </c>
      <c r="L13" t="str">
        <f>"    PLLDIG.PLLDV.R = 0x"&amp;DEC2HEX((FMPLL!X20*POWER(2,25))+(FMPLL!X11*POWER(2,16))+(FMPLL!H11*POWER(2,12))+(FMPLL!M11),8)&amp;"; //PREDIV = "&amp;FMPLL!H11&amp;", MFD = "&amp;FMPLL!M11&amp;", RFDPHI = "&amp;FMPLL!X11&amp;", RFDPHI1 = "&amp;FMPLL!X20</f>
        <v xml:space="preserve">    PLLDIG.PLLDV.R = 0x04012020; //PREDIV = 2, MFD = 32, RFDPHI = 1, RFDPHI1 = 2</v>
      </c>
    </row>
    <row r="14" spans="1:12" x14ac:dyDescent="0.3">
      <c r="A14" s="19" t="s">
        <v>1561</v>
      </c>
      <c r="B14" s="71" t="str">
        <f>"0xX01"&amp;DEC2HEX(('Run mode-only Module Domains'!AL140*POWER(2,16))+('Clock Source Control'!AX75*POWER(2,8))+('Clock Source Control'!AK75*POWER(2,7))+('Clock Source Control'!BO54*POWER(2,6))+('Clock Source Control'!W69*POWER(2,5))+(POWER(2,4))+(Tree!G15),5)</f>
        <v>0xX01301F2</v>
      </c>
      <c r="G14" s="123"/>
      <c r="H14" s="73" t="s">
        <v>140</v>
      </c>
      <c r="I14" s="71">
        <f>Tree!L57</f>
        <v>3.2000000000000001E-2</v>
      </c>
      <c r="L14" t="str">
        <f>"    PLLDIG.PLLFD.R = 0x"&amp;DEC2HEX(FMPLL!P11,8)&amp;"; //PLL fractional numerators"</f>
        <v xml:space="preserve">    PLLDIG.PLLFD.R = 0x00000000; //PLL fractional numerators</v>
      </c>
    </row>
    <row r="15" spans="1:12" x14ac:dyDescent="0.3">
      <c r="A15" s="19" t="s">
        <v>69</v>
      </c>
      <c r="B15" s="71" t="str">
        <f>"0x00X"&amp;DEC2HEX(('Run mode-only Module Domains'!AL140*POWER(2,16))+('Clock Source Control'!AX85*POWER(2,8))+('Clock Source Control'!AK84*POWER(2,7))+('Clock Source Control'!W79*POWER(2,5))+('Clock Source Control'!I22*POWER(2,4))+(Tree!G15),5)</f>
        <v>0x00X301B2</v>
      </c>
      <c r="G15" s="123"/>
      <c r="H15" s="73" t="s">
        <v>141</v>
      </c>
      <c r="I15" s="71">
        <f>Tree!L59</f>
        <v>3.2000000000000001E-2</v>
      </c>
      <c r="L15" t="str">
        <f>"    PLLDIG.PLLCAL3.R = "&amp;B43&amp;";  //PLL fractional denominator"</f>
        <v xml:space="preserve">    PLLDIG.PLLCAL3.R = 0x00004000;  //PLL fractional denominator</v>
      </c>
    </row>
    <row r="16" spans="1:12" x14ac:dyDescent="0.3">
      <c r="A16" s="19" t="s">
        <v>70</v>
      </c>
      <c r="B16" s="71" t="str">
        <f>"0x00810"&amp;DEC2HEX(('Clock Source Control'!AX95*POWER(2,8))+('Clock Source Control'!AK94*POWER(2,7))+('Clock Source Control'!W89*POWER(2,5))+('Clock Source Control'!I51*POWER(2,4))+(15),3)</f>
        <v>0x008101BF</v>
      </c>
      <c r="G16" s="123"/>
      <c r="H16" s="73" t="s">
        <v>142</v>
      </c>
      <c r="I16" s="71">
        <f>Tree!K17</f>
        <v>160</v>
      </c>
      <c r="L16" t="str">
        <f>""</f>
        <v/>
      </c>
    </row>
    <row r="17" spans="1:12" x14ac:dyDescent="0.3">
      <c r="A17" s="19" t="s">
        <v>71</v>
      </c>
      <c r="B17" s="71" t="str">
        <f>"0x000"&amp;DEC2HEX(('LP-Enabled Module Domain Set 1'!I11),1)&amp;"0X"&amp;DEC2HEX((Tree!S43*POWER(2,7))+(IF(Tree!S31="LPU_SLEEP",1*POWER(2,6),0))+('Clock Source Control'!$AX$10*POWER(2,4))+('Clock Source Control'!$AK$10*POWER(2,3))+('Clock Source Control'!$W$15*POWER(2,1))+(1),2)</f>
        <v>0x00010X9B</v>
      </c>
      <c r="G17" s="123"/>
      <c r="H17" s="73" t="s">
        <v>143</v>
      </c>
      <c r="I17" s="71">
        <f>Tree!P33</f>
        <v>80</v>
      </c>
      <c r="L17" t="str">
        <f>"    //Turn on clock sources and select system clock source"</f>
        <v xml:space="preserve">    //Turn on clock sources and select system clock source</v>
      </c>
    </row>
    <row r="18" spans="1:12" x14ac:dyDescent="0.3">
      <c r="A18" s="19" t="s">
        <v>72</v>
      </c>
      <c r="B18" s="71" t="str">
        <f>"0x"&amp;DEC2HEX(('Clock Source Control'!$AX$10*POWER(2,4))+('Clock Source Control'!$AK$10*POWER(2,3))+('Clock Source Control'!$W$15*POWER(2,1))+('Clock Source Control'!$I$32),8)</f>
        <v>0x0000001B</v>
      </c>
      <c r="G18" s="123"/>
      <c r="H18" s="73" t="s">
        <v>144</v>
      </c>
      <c r="I18" s="71">
        <f>Tree!U41</f>
        <v>40</v>
      </c>
      <c r="L18" t="str">
        <f>"    MC_ME."&amp;Tree!S31&amp;"_MC.R = "&amp;IF(Tree!S31="RESET",B8,IF(Tree!S31="STANDBY",B16,IF(Tree!S31="SAFE","00930010",IF(Tree!S31="DRUN","0x001"&amp;DEC2HEX(('Run mode-only Module Domains'!AL140*POWER(2,16))+('Clock Source Control'!AX38*POWER(2,8))+('Clock Source Control'!AK39*POWER(2,7))+('Clock Source Control'!BO11*POWER(2,6))+('Clock Source Control'!W7*POWER(2,5))+(1*POWER(2,4))+(Tree!G15),5),IF(Tree!S31="RUN0","0x001"&amp;DEC2HEX(('Run mode-only Module Domains'!AL140*POWER(2,16))+('Clock Source Control'!AX47*POWER(2,8))+('Clock Source Control'!AK48*POWER(2,7))+('Clock Source Control'!BO21*POWER(2,6))+('Clock Source Control'!W42*POWER(2,5))+(POWER(2,4))+(Tree!G15),5),IF(Tree!S31="RUN1","0x001"&amp;DEC2HEX(('Run mode-only Module Domains'!AL140*POWER(2,16))+('Clock Source Control'!AX57*POWER(2,8))+('Clock Source Control'!AK57*POWER(2,7))+('Clock Source Control'!BO31*POWER(2,6))+('Clock Source Control'!W51*POWER(2,5))+(POWER(2,4))+(Tree!G15),5),IF(Tree!S31="RUN2","0x001"&amp;DEC2HEX(('Run mode-only Module Domains'!AL140*POWER(2,16))+('Clock Source Control'!AX66*POWER(2,8))+('Clock Source Control'!AK66*POWER(2,7))+('Clock Source Control'!BO42*POWER(2,6))+('Clock Source Control'!W60*POWER(2,5))+(POWER(2,4))+(Tree!G15),5),IF(Tree!S31="RUN3","0x001"&amp;DEC2HEX(('Run mode-only Module Domains'!AL140*POWER(2,16))+('Clock Source Control'!AX75*POWER(2,8))+('Clock Source Control'!AK75*POWER(2,7))+('Clock Source Control'!BO54*POWER(2,6))+('Clock Source Control'!W69*POWER(2,5))+(POWER(2,4))+(Tree!G15),5),"0x001"&amp;DEC2HEX(('Run mode-only Module Domains'!AL140*POWER(2,16))+('Clock Source Control'!AX85*POWER(2,8))+('Clock Source Control'!AK84*POWER(2,7))+('Clock Source Control'!W79*POWER(2,5))+('Clock Source Control'!I22*POWER(2,4))+(Tree!G15),5)))))))))&amp;";  //Configure "&amp;Tree!S31&amp;" mode settings with sysclk "&amp;IF(Tree!G15=0,"FIRC",IF(Tree!G15=1,"FXOSC",IF(Tree!G15=2,"FMPLL_PHI0","unavailable")))&amp;" ("&amp;Tree!V8&amp;" MHz)."</f>
        <v xml:space="preserve">    MC_ME.DRUN_MC.R = 0x001301F2;  //Configure DRUN mode settings with sysclk FMPLL_PHI0 (160 MHz).</v>
      </c>
    </row>
    <row r="19" spans="1:12" x14ac:dyDescent="0.3">
      <c r="A19" s="19" t="s">
        <v>73</v>
      </c>
      <c r="B19" s="71" t="str">
        <f>"0x"&amp;DEC2HEX(('Clock Source Control'!$AX$28*POWER(2,4))+('Clock Source Control'!$AK$29*POWER(2,3))+('Clock Source Control'!$W$33*POWER(2,1))+('Clock Source Control'!$I$41),8)</f>
        <v>0x0000001B</v>
      </c>
      <c r="G19" s="123"/>
      <c r="H19" s="73" t="s">
        <v>34</v>
      </c>
      <c r="I19" s="71">
        <f>Tree!V8</f>
        <v>160</v>
      </c>
      <c r="L19" t="str">
        <f>""</f>
        <v/>
      </c>
    </row>
    <row r="20" spans="1:12" x14ac:dyDescent="0.3">
      <c r="A20" s="19" t="s">
        <v>74</v>
      </c>
      <c r="B20" s="71" t="str">
        <f>"0x"&amp;DEC2HEX(('LP-Enabled Module Domain Set 1'!AG10*POWER(2,9))+('LP-Enabled Module Domain Set 0'!F12*POWER(2,8))+('LP-Enabled Module Domain Set 0'!F12*POWER(2,7))+('LP-Enabled Module Domain Set 0'!F12*POWER(2,6))+('LP-Enabled Module Domain Set 1'!AG20*POWER(2,5))+('LP-Enabled Module Domain Set 1'!AG29*POWER(2,4))+('LP-Enabled Module Domain Set 1'!L11*POWER(2,3))+('LP-Enabled Module Domain Set 1'!O27*POWER(2,2))+('LP-Enabled Module Domain Set 1'!O27*POWER(2,1))+('LP-Enabled Module Domain Set 1'!AJ39),8)</f>
        <v>0x00000000</v>
      </c>
      <c r="G20" s="123"/>
      <c r="H20" s="73" t="s">
        <v>35</v>
      </c>
      <c r="I20" s="71">
        <f>Tree!V10</f>
        <v>160</v>
      </c>
      <c r="L20" t="str">
        <f>"    //Configure the oscillator divided clocks"</f>
        <v xml:space="preserve">    //Configure the oscillator divided clocks</v>
      </c>
    </row>
    <row r="21" spans="1:12" x14ac:dyDescent="0.3">
      <c r="A21" s="19" t="s">
        <v>75</v>
      </c>
      <c r="B21" s="71" t="str">
        <f>"0x"&amp;DEC2HEX((Tree!J49*POWER(2,8))+(1*POWER(2,4))+(1),8)</f>
        <v>0x00000011</v>
      </c>
      <c r="G21" s="123"/>
      <c r="H21" s="73" t="s">
        <v>36</v>
      </c>
      <c r="I21" s="71">
        <f>Tree!V14</f>
        <v>80</v>
      </c>
      <c r="L21" t="str">
        <f>"    SIRC.CTL.R = "&amp;B21&amp;"; //SIRC_DIV_CLK is SIRC divided by "&amp;SUM(1,Tree!J49)&amp;" ("&amp;Tree!L48&amp;" MHz)."</f>
        <v xml:space="preserve">    SIRC.CTL.R = 0x00000011; //SIRC_DIV_CLK is SIRC divided by 1 (0.128 MHz).</v>
      </c>
    </row>
    <row r="22" spans="1:12" x14ac:dyDescent="0.3">
      <c r="A22" s="19" t="s">
        <v>76</v>
      </c>
      <c r="B22" s="71" t="str">
        <f>"0bXX000000XXXXXXXXX00"&amp;DEC2BIN(Tree!I60,5)&amp;"X0000000"</f>
        <v>0bXX000000XXXXXXXXX0000000X0000000</v>
      </c>
      <c r="G22" s="123"/>
      <c r="H22" s="73" t="s">
        <v>37</v>
      </c>
      <c r="I22" s="71">
        <f>Tree!V18</f>
        <v>80</v>
      </c>
      <c r="L22" t="str">
        <f>"    FIRC.CTL.R = "&amp;B24&amp;";  //FIRC_DIV_CLK is FIRC divided by "&amp;SUM(1,Tree!D8)&amp;" ("&amp;Tree!G7&amp;" MHz)."</f>
        <v xml:space="preserve">    FIRC.CTL.R = 0x00000011;  //FIRC_DIV_CLK is FIRC divided by 1 (16 MHz).</v>
      </c>
    </row>
    <row r="23" spans="1:12" x14ac:dyDescent="0.3">
      <c r="A23" s="19" t="s">
        <v>77</v>
      </c>
      <c r="B23" s="71" t="str">
        <f>"0bXX000000XXXXXXXXX00"&amp;DEC2BIN(Tree!G39,5)&amp;"X0000000"</f>
        <v>0bXX000000XXXXXXXXX0000000X0000000</v>
      </c>
      <c r="G23" s="123"/>
      <c r="H23" s="73" t="s">
        <v>38</v>
      </c>
      <c r="I23" s="71">
        <f>Tree!V21</f>
        <v>40</v>
      </c>
      <c r="L23" t="str">
        <f>"    SXOSC.CTL.B.OSCDIV = 0x"&amp;DEC2HEX(Tree!I60,2)&amp;";  //SXOSC_DIV_CLK is SXOSC divided by "&amp;SUM(1,Tree!I60)&amp;" ("&amp;Tree!L59&amp;" MHz)."</f>
        <v xml:space="preserve">    SXOSC.CTL.B.OSCDIV = 0x00;  //SXOSC_DIV_CLK is SXOSC divided by 1 (0.032 MHz).</v>
      </c>
    </row>
    <row r="24" spans="1:12" x14ac:dyDescent="0.3">
      <c r="A24" s="19" t="s">
        <v>78</v>
      </c>
      <c r="B24" s="71" t="str">
        <f>"0x"&amp;DEC2HEX((Tree!D8*POWER(2,8))+(1*POWER(2,4))+(1),8)</f>
        <v>0x00000011</v>
      </c>
      <c r="G24" s="123"/>
      <c r="H24" s="73" t="s">
        <v>39</v>
      </c>
      <c r="I24" s="71">
        <f>Tree!V25</f>
        <v>40</v>
      </c>
      <c r="L24" t="str">
        <f>"    FXOSC.CTL.B.OSCDIV = 0x"&amp;DEC2HEX(Tree!G39,2)&amp;";  //FXOSC_DIV_CLK is FXOSC divided by "&amp;SUM(1,Tree!G39)&amp;" ("&amp;Tree!J38&amp;" MHz)."</f>
        <v xml:space="preserve">    FXOSC.CTL.B.OSCDIV = 0x00;  //FXOSC_DIV_CLK is FXOSC divided by 1 (40 MHz).</v>
      </c>
    </row>
    <row r="25" spans="1:12" x14ac:dyDescent="0.3">
      <c r="A25" s="19" t="s">
        <v>79</v>
      </c>
      <c r="B25" s="71" t="str">
        <f>"0x"&amp;DEC2HEX((1*POWER(2,31))+(Tree!P11*POWER(2,16)),8)</f>
        <v>0x80000000</v>
      </c>
      <c r="G25" s="123"/>
      <c r="H25" s="73" t="s">
        <v>40</v>
      </c>
      <c r="I25" s="71">
        <f>Tree!V27</f>
        <v>80</v>
      </c>
      <c r="L25" t="str">
        <f>""</f>
        <v/>
      </c>
    </row>
    <row r="26" spans="1:12" ht="15" thickBot="1" x14ac:dyDescent="0.35">
      <c r="A26" s="19" t="s">
        <v>80</v>
      </c>
      <c r="B26" s="71" t="str">
        <f>"0x"&amp;DEC2HEX((1*POWER(2,31))+(Tree!P15*POWER(2,16)),8)</f>
        <v>0x80010000</v>
      </c>
      <c r="G26" s="124"/>
      <c r="H26" s="74" t="s">
        <v>41</v>
      </c>
      <c r="I26" s="72">
        <f>Tree!V29</f>
        <v>20</v>
      </c>
      <c r="L26" t="str">
        <f>"    MC_ME.RUN_PC[0].R = 0x000000FE;  //Enable peripherals to run in all modes"</f>
        <v xml:space="preserve">    MC_ME.RUN_PC[0].R = 0x000000FE;  //Enable peripherals to run in all modes</v>
      </c>
    </row>
    <row r="27" spans="1:12" x14ac:dyDescent="0.3">
      <c r="A27" s="19" t="s">
        <v>81</v>
      </c>
      <c r="B27" s="71" t="str">
        <f>"0x"&amp;DEC2HEX((1*POWER(2,31))+(Tree!P22*POWER(2,16)),8)</f>
        <v>0x80030000</v>
      </c>
      <c r="G27" s="122" t="s">
        <v>145</v>
      </c>
      <c r="H27" s="73" t="s">
        <v>146</v>
      </c>
      <c r="I27" s="71">
        <f>'Run mode-only Module Domains'!M7</f>
        <v>80</v>
      </c>
      <c r="L27" t="str">
        <f>IF(OR(Tree!S31="STOP",Tree!S31="STANDBY"),"    MC_ME.LP_PC[0].R = 0x00002400;  //Enable peripherals to run in low power modes","")</f>
        <v/>
      </c>
    </row>
    <row r="28" spans="1:12" ht="15" thickBot="1" x14ac:dyDescent="0.35">
      <c r="A28" s="19" t="s">
        <v>83</v>
      </c>
      <c r="B28" s="71" t="s">
        <v>84</v>
      </c>
      <c r="G28" s="124"/>
      <c r="H28" s="74" t="s">
        <v>147</v>
      </c>
      <c r="I28" s="72">
        <f>'Run mode-only Module Domains'!H12</f>
        <v>40</v>
      </c>
      <c r="L28" t="str">
        <f>""</f>
        <v/>
      </c>
    </row>
    <row r="29" spans="1:12" ht="15" thickBot="1" x14ac:dyDescent="0.35">
      <c r="A29" s="19" t="s">
        <v>85</v>
      </c>
      <c r="B29" s="71" t="s">
        <v>86</v>
      </c>
      <c r="G29" s="75" t="s">
        <v>148</v>
      </c>
      <c r="H29" s="76" t="s">
        <v>130</v>
      </c>
      <c r="I29" s="77">
        <f>'Run mode-only Module Domains'!F22</f>
        <v>160</v>
      </c>
      <c r="L29" t="str">
        <f>IF(OR(Tree!S31="STOP",Tree!S31="STANDBY"),"    //Cannot transition to "&amp;Tree!S31&amp;" directly from DRUN. Transition to RUN0 first.","")</f>
        <v/>
      </c>
    </row>
    <row r="30" spans="1:12" x14ac:dyDescent="0.3">
      <c r="A30" s="19" t="s">
        <v>82</v>
      </c>
      <c r="B30" s="71" t="str">
        <f>"0x"&amp;DEC2HEX((1*POWER(2,31))+(Tree!P19*POWER(2,16)),8)</f>
        <v>0x80010000</v>
      </c>
      <c r="G30" s="122" t="s">
        <v>149</v>
      </c>
      <c r="H30" s="73" t="s">
        <v>150</v>
      </c>
      <c r="I30" s="71">
        <f>'Run mode-only Module Domains'!M7</f>
        <v>80</v>
      </c>
      <c r="L30" t="str">
        <f>IF(OR(Tree!S31="STOP",Tree!S31="STANDBY"),"    MC_ME.MCTL.R = 0x40005AF0;","")</f>
        <v/>
      </c>
    </row>
    <row r="31" spans="1:12" ht="15" thickBot="1" x14ac:dyDescent="0.35">
      <c r="A31" s="19" t="s">
        <v>87</v>
      </c>
      <c r="B31" s="71" t="str">
        <f>"0x"&amp;DEC2HEX('ENET Clocking'!H18*POWER(2,24),8)</f>
        <v>0x01000000</v>
      </c>
      <c r="G31" s="124"/>
      <c r="H31" s="74" t="s">
        <v>147</v>
      </c>
      <c r="I31" s="72">
        <f>'Run mode-only Module Domains'!F31</f>
        <v>80</v>
      </c>
      <c r="L31" t="str">
        <f>IF(OR(Tree!S31="STOP",Tree!S31="STANDBY"),"    MC_ME.MCTL.R = 0x4000A50F;","")</f>
        <v/>
      </c>
    </row>
    <row r="32" spans="1:12" x14ac:dyDescent="0.3">
      <c r="A32" s="19" t="s">
        <v>88</v>
      </c>
      <c r="B32" s="71" t="str">
        <f>"0x"&amp;DEC2HEX('Run mode-only Module Domains'!AJ38*POWER(2,24),8)</f>
        <v>0x01000000</v>
      </c>
      <c r="G32" s="122" t="s">
        <v>151</v>
      </c>
      <c r="H32" s="73" t="s">
        <v>150</v>
      </c>
      <c r="I32" s="71">
        <f>'Run mode-only Module Domains'!R7</f>
        <v>40</v>
      </c>
      <c r="L32" t="str">
        <f>""</f>
        <v/>
      </c>
    </row>
    <row r="33" spans="1:12" ht="15" thickBot="1" x14ac:dyDescent="0.35">
      <c r="A33" s="19" t="s">
        <v>89</v>
      </c>
      <c r="B33" s="71" t="str">
        <f>"0x"&amp;DEC2HEX('Run mode-only Module Domains'!J55*POWER(2,24),8)</f>
        <v>0x01000000</v>
      </c>
      <c r="G33" s="124"/>
      <c r="H33" s="74" t="s">
        <v>152</v>
      </c>
      <c r="I33" s="72">
        <f>'Run mode-only Module Domains'!T7</f>
        <v>80</v>
      </c>
      <c r="L33" t="str">
        <f>"    "&amp;IF(OR(Tree!S31="LPU_RUN",Tree!S31="LPU_SLEEP",Tree!S31="LPU_STOP",Tree!S31="LPU_STANDBY"),"//Transition to DRUN (from DRUN) first before switching to low power mode:","//Mode transition to "&amp;Tree!S31&amp;" mode:")</f>
        <v xml:space="preserve">    //Mode transition to DRUN mode:</v>
      </c>
    </row>
    <row r="34" spans="1:12" x14ac:dyDescent="0.3">
      <c r="A34" s="19" t="s">
        <v>90</v>
      </c>
      <c r="B34" s="71" t="str">
        <f>"0x"&amp;DEC2HEX(Tree!G24*POWER(2,24),8)</f>
        <v>0x01000000</v>
      </c>
      <c r="G34" s="122" t="s">
        <v>153</v>
      </c>
      <c r="H34" s="73" t="s">
        <v>150</v>
      </c>
      <c r="I34" s="71">
        <f>'Run mode-only Module Domains'!R7</f>
        <v>40</v>
      </c>
      <c r="L34" t="str">
        <f>"    MC_ME.MCTL.R = 0x"&amp;IF(Tree!S31="RESET","0",IF(Tree!S31="SAFE","2",IF(Tree!S31="DRUN","3",IF(Tree!S31="RUN0","4",IF(Tree!S31="RUN1","5",IF(Tree!S31="RUN2","6",IF(Tree!S31="RUN3","7",IF(Tree!S31="STOP","A",IF(Tree!S31="STANDBY","D",IF(OR(Tree!S31="LPU_RUN",Tree!S31="LPU_SLEEP",Tree!S31="LPU_STOP",Tree!S31="LPU_STANDBY"),3,0))))))))))&amp;"0005AF0;  //Enter "&amp;IF(OR(Tree!S31="LPU_RUN",Tree!S31="LPU_SLEEP",Tree!S31="LPU_STOP",Tree!S31="LPU_STANDBY"),"DRUN",Tree!S31)&amp;" mode &amp; Key"</f>
        <v xml:space="preserve">    MC_ME.MCTL.R = 0x30005AF0;  //Enter DRUN mode &amp; Key</v>
      </c>
    </row>
    <row r="35" spans="1:12" x14ac:dyDescent="0.3">
      <c r="A35" s="19" t="s">
        <v>91</v>
      </c>
      <c r="B35" s="71" t="str">
        <f>"0x"&amp;DEC2HEX('Run mode-only Module Domains'!AN69*POWER(2,24),8)</f>
        <v>0x02000000</v>
      </c>
      <c r="G35" s="123"/>
      <c r="H35" s="73" t="s">
        <v>154</v>
      </c>
      <c r="I35" s="71">
        <f>'Run mode-only Module Domains'!H52</f>
        <v>40</v>
      </c>
      <c r="L35" t="str">
        <f>"    MC_ME.MCTL.R = 0x"&amp;IF(Tree!S31="RESET","0",IF(Tree!S31="SAFE","2",IF(Tree!S31="DRUN","3",IF(Tree!S31="RUN0","4",IF(Tree!S31="RUN1","5",IF(Tree!S31="RUN2","6",IF(Tree!S31="RUN3","7",IF(Tree!S31="STOP","A",IF(Tree!S31="STANDBY","D",IF(OR(Tree!S31="LPU_RUN",Tree!S31="LPU_SLEEP",Tree!S31="LPU_STOP",Tree!S31="LPU_STANDBY"),3,0))))))))))&amp;"000A50F;  //Enter "&amp;IF(OR(Tree!S31="LPU_RUN",Tree!S31="LPU_SLEEP",Tree!S31="LPU_STOP",Tree!S31="LPU_STANDBY"),"DRUN",Tree!S31)&amp;" mode &amp; Inverted Key"</f>
        <v xml:space="preserve">    MC_ME.MCTL.R = 0x3000A50F;  //Enter DRUN mode &amp; Inverted Key</v>
      </c>
    </row>
    <row r="36" spans="1:12" ht="15" thickBot="1" x14ac:dyDescent="0.35">
      <c r="A36" s="19" t="s">
        <v>92</v>
      </c>
      <c r="B36" s="71" t="str">
        <f>"0x"&amp;DEC2HEX((1*POWER(2,31))+('Run mode-only Module Domains'!AQ60*POWER(2,16)),8)</f>
        <v>0x80000000</v>
      </c>
      <c r="G36" s="124"/>
      <c r="H36" s="74" t="s">
        <v>155</v>
      </c>
      <c r="I36" s="72">
        <f>'Run mode-only Module Domains'!P7</f>
        <v>80</v>
      </c>
      <c r="L36" t="str">
        <f>"    while(MC_ME.GS.B.S_MTRANS);  //Wait for mode transition to complete"</f>
        <v xml:space="preserve">    while(MC_ME.GS.B.S_MTRANS);  //Wait for mode transition to complete</v>
      </c>
    </row>
    <row r="37" spans="1:12" x14ac:dyDescent="0.3">
      <c r="A37" s="19" t="s">
        <v>94</v>
      </c>
      <c r="B37" s="71" t="str">
        <f>"0x"&amp;DEC2HEX('LP-Enabled Module Domain Set 1'!$O$38*POWER(2,24),8)</f>
        <v>0x00000000</v>
      </c>
      <c r="G37" s="122" t="s">
        <v>156</v>
      </c>
      <c r="H37" s="73" t="s">
        <v>150</v>
      </c>
      <c r="I37" s="71">
        <f>'Run mode-only Module Domains'!X7</f>
        <v>40</v>
      </c>
      <c r="L37" t="str">
        <f>"    while(MC_ME.GS.B.S_CURRENT_MODE != 0x"&amp;IF(Tree!S31="RESET",0,IF(Tree!S31="SAFE",2,IF(Tree!S31="DRUN",3,IF(Tree!S31="RUN0",4,IF(Tree!S31="RUN1",5,IF(Tree!S31="RUN2",6,IF(Tree!S31="RUN3",7,IF(Tree!S31="STOP","A",IF(Tree!S31="STANDBY","D",3)))))))))&amp;");  //Verify "&amp;IF(OR(Tree!S31="LPU_RUN",Tree!S31="LPU_SLEEP",Tree!S31="LPU_STOP",Tree!S31="LPU_STANDBY"),"DRUN",Tree!S31)&amp;" is the current mode"</f>
        <v xml:space="preserve">    while(MC_ME.GS.B.S_CURRENT_MODE != 0x3);  //Verify DRUN is the current mode</v>
      </c>
    </row>
    <row r="38" spans="1:12" x14ac:dyDescent="0.3">
      <c r="A38" s="19" t="s">
        <v>93</v>
      </c>
      <c r="B38" s="71" t="str">
        <f>"0x"&amp;DEC2HEX('LP-Enabled Module Domain Set 1'!$N$10*POWER(2,24),8)</f>
        <v>0x00000000</v>
      </c>
      <c r="G38" s="123"/>
      <c r="H38" s="73" t="s">
        <v>157</v>
      </c>
      <c r="I38" s="71">
        <f>'Run mode-only Module Domains'!X7</f>
        <v>40</v>
      </c>
      <c r="L38" t="str">
        <f>IF(OR(Tree!S31="LPU_RUN",Tree!S31="LPU_SLEEP",Tree!S31="LPU_STOP",Tree!S31="LPU_STANDBY"),"","}")</f>
        <v>}</v>
      </c>
    </row>
    <row r="39" spans="1:12" x14ac:dyDescent="0.3">
      <c r="A39" s="19" t="s">
        <v>95</v>
      </c>
      <c r="B39" s="71" t="str">
        <f>"0x"&amp;DEC2HEX('LP-Enabled Module Domain Set 0'!AK91*POWER(2,24),8)</f>
        <v>0x0E000000</v>
      </c>
      <c r="G39" s="123"/>
      <c r="H39" s="73" t="s">
        <v>158</v>
      </c>
      <c r="I39" s="71">
        <f>'SAI Clocking'!AN25</f>
        <v>160</v>
      </c>
      <c r="L39" t="str">
        <f>IF(OR(Tree!S31="LPU_RUN",Tree!S31="LPU_SLEEP",Tree!S31="LPU_STOP",Tree!S31="LPU_STANDBY"),"    //Configure the low power clock sources","")</f>
        <v/>
      </c>
    </row>
    <row r="40" spans="1:12" x14ac:dyDescent="0.3">
      <c r="A40" s="19" t="s">
        <v>96</v>
      </c>
      <c r="B40" s="71" t="str">
        <f>"0x"&amp;DEC2HEX(('LP-Enabled Module Domain Set 0'!AP85*POWER(2,31))+('LP-Enabled Module Domain Set 0'!AU83*POWER(2,16)),8)</f>
        <v>0x80000000</v>
      </c>
      <c r="G40" s="123"/>
      <c r="H40" s="73" t="s">
        <v>160</v>
      </c>
      <c r="I40" s="71">
        <f>'SAI Clocking'!BW30</f>
        <v>40</v>
      </c>
      <c r="L40" t="str">
        <f>IF(OR(Tree!S31="LPU_RUN",Tree!S31="LPU_SLEEP"),"    //FIRC is always on in LPU_RUN/LPU_SLEEP",IF(Tree!S31="LPU_STOP","    LPU.STOP_CF.B.FIRC_ON = "&amp;'Clock Source Control'!I32&amp;";  //Configure FIRC for LPU_STOP mode",IF(Tree!S31="LPU_STANDBY","    LPU.STANDBY_CF.B.FIRC_ON = "&amp;'Clock Source Control'!I41&amp;";  //Configure FIRC for LPU_STANDBY mode","")))</f>
        <v/>
      </c>
    </row>
    <row r="41" spans="1:12" x14ac:dyDescent="0.3">
      <c r="A41" s="19" t="s">
        <v>97</v>
      </c>
      <c r="B41" s="71" t="str">
        <f>"0x"&amp;DEC2HEX((FMPLL!X20*POWER(2,25))+(FMPLL!X11*POWER(2,16))+(FMPLL!H11*POWER(2,12))+(FMPLL!M11),8)</f>
        <v>0x04012020</v>
      </c>
      <c r="G41" s="123"/>
      <c r="H41" s="73" t="s">
        <v>159</v>
      </c>
      <c r="I41" s="71">
        <f>'SAI Clocking'!AK17</f>
        <v>160</v>
      </c>
      <c r="L41" t="str">
        <f>IF(OR(Tree!S31="LPU_RUN",Tree!S31="LPU_SLEEP"),"    LPU.RUN_CF.B.FXOSC_ON = "&amp;'Clock Source Control'!W15&amp;";  //Configure FXOSC for LPU_RUN/LPU_SLEEP",IF(Tree!S31="LPU_STOP","    LPU.STOP_CF.B.FXOSC_ON = "&amp;'Clock Source Control'!W23&amp;";  //Configure FXOSC for LPU_STOP mode",IF(Tree!S31="LPU_STANDBY","    LPU.STANDBY_CF.B.FXOSC_ON = "&amp;'Clock Source Control'!W33&amp;";  //Configure FXOSC for LPU_STANDBY mode","")))</f>
        <v/>
      </c>
    </row>
    <row r="42" spans="1:12" ht="15" thickBot="1" x14ac:dyDescent="0.35">
      <c r="A42" s="19" t="s">
        <v>98</v>
      </c>
      <c r="B42" s="71" t="str">
        <f>"0xX0XX"&amp;DEC2HEX(FMPLL!P11,4)</f>
        <v>0xX0XX0000</v>
      </c>
      <c r="G42" s="124"/>
      <c r="H42" s="74" t="s">
        <v>161</v>
      </c>
      <c r="I42" s="72">
        <f>'SAI Clocking'!BW22</f>
        <v>40</v>
      </c>
      <c r="L42" t="str">
        <f>IF(OR(Tree!S31="LPU_RUN",Tree!S31="LPU_SLEEP"),"    LPU.RUN_CF.B.SIRC_ON = "&amp;'Clock Source Control'!AO6&amp;";  //Configure SIRC for LPU_RUN/LPU_SLEEP",IF(Tree!S31="LPU_STOP","    LPU.STOP_CF.B.SIRC_ON = "&amp;'Clock Source Control'!AK20&amp;";  //Configure SIRC for LPU_STOP mode",IF(Tree!S31="LPU_STANDBY","    LPU.STANDBY_CF.B.SIRC_ON = "&amp;'Clock Source Control'!AK29&amp;";  //Configure SIRC for LPU_STANDBY mode","")))</f>
        <v/>
      </c>
    </row>
    <row r="43" spans="1:12" x14ac:dyDescent="0.3">
      <c r="A43" s="19" t="s">
        <v>99</v>
      </c>
      <c r="B43" s="71" t="str">
        <f>"0x"&amp;DEC2HEX(FMPLL!S11*POWER(2,14),8)</f>
        <v>0x00004000</v>
      </c>
      <c r="G43" s="122" t="s">
        <v>162</v>
      </c>
      <c r="H43" s="73" t="s">
        <v>150</v>
      </c>
      <c r="I43" s="71">
        <f>'Run mode-only Module Domains'!X7</f>
        <v>40</v>
      </c>
      <c r="L43" t="str">
        <f>IF(OR(Tree!S31="LPU_RUN",Tree!S31="LPU_SLEEP"),"    LPU.RUN_CF.B.SXOSC_ON = "&amp;'Clock Source Control'!AX10&amp;";  //Configure SXOSC for LPU_RUN/LPU_SLEEP",IF(Tree!S31="LPU_STOP","    LPU.STOP_CF.B.SXOSC_ON = "&amp;'Clock Source Control'!AX19&amp;";  //Configure SXOSC for LPU_STOP mode",IF(Tree!S31="LPU_STANDBY","    LPU.STANDBY_CF.B.SXOSC_ON = "&amp;'Clock Source Control'!AX28&amp;";  //Configure SXOSC for LPU_STANDBY mode","")))</f>
        <v/>
      </c>
    </row>
    <row r="44" spans="1:12" x14ac:dyDescent="0.3">
      <c r="A44" s="19" t="s">
        <v>101</v>
      </c>
      <c r="B44" s="71" t="str">
        <f>"0b"&amp;DEC2BIN('CAN Clocking'!I24,8)&amp;DEC2BIN('CAN Clocking'!M24,2)&amp;DEC2BIN('CAN Clocking'!Q17,3)&amp;DEC2BIN('CAN Clocking'!Q31,3)&amp;"XX"&amp;DEC2BIN('LP-Enabled Module Domain Set 1'!N18,1)&amp;"XXX00XXXXX"&amp;DEC2BIN('CAN Clocking'!Q24,3)</f>
        <v>0b0000001100110001XX1XXX00XXXXX100</v>
      </c>
      <c r="G44" s="123"/>
      <c r="H44" s="73" t="s">
        <v>157</v>
      </c>
      <c r="I44" s="71">
        <f>'Run mode-only Module Domains'!X7</f>
        <v>40</v>
      </c>
      <c r="L44" t="str">
        <f>IF(OR(Tree!S31="LPU_RUN",Tree!S31="LPU_SLEEP",Tree!S31="LPU_STOP",Tree!S31="LPU_STANDBY"),"    LPU.RUN_CF.B.SYS_CLK_SEL = "&amp;Tree!S43&amp;";   //Select the source of LPU_SYS_CLK","")</f>
        <v/>
      </c>
    </row>
    <row r="45" spans="1:12" x14ac:dyDescent="0.3">
      <c r="A45" s="19" t="s">
        <v>102</v>
      </c>
      <c r="B45" s="71" t="str">
        <f>"0x"&amp;DEC2HEX(('CAN Clocking'!G43*POWER(2,31))+('CAN Clocking'!M43*POWER(2,21))+('CAN Clocking'!T43*POWER(2,16))+('CAN Clocking'!AA43*POWER(2,10))+('CAN Clocking'!AA51*POWER(2,5))+('CAN Clocking'!AA58),8)</f>
        <v>0x8002FFFF</v>
      </c>
      <c r="G45" s="123"/>
      <c r="H45" s="73" t="s">
        <v>158</v>
      </c>
      <c r="I45" s="71">
        <f>'SAI Clocking'!AN45</f>
        <v>160</v>
      </c>
      <c r="L45" t="str">
        <f>""</f>
        <v/>
      </c>
    </row>
    <row r="46" spans="1:12" x14ac:dyDescent="0.3">
      <c r="A46" s="19" t="s">
        <v>103</v>
      </c>
      <c r="B46" s="71" t="str">
        <f>"0bXXXXXXXXXXXXX0XXXXXX"&amp;DEC2BIN('CAN Clocking'!G67,1)&amp;"0XX0XXXXXXX"</f>
        <v>0bXXXXXXXXXXXXX0XXXXXX10XX0XXXXXXX</v>
      </c>
      <c r="G46" s="123"/>
      <c r="H46" s="73" t="s">
        <v>160</v>
      </c>
      <c r="I46" s="71">
        <f>'SAI Clocking'!BW50</f>
        <v>40</v>
      </c>
      <c r="L46" t="str">
        <f>IF(OR(Tree!S31="LPU_RUN",Tree!S31="LPU_SLEEP",Tree!S31="LPU_STOP",Tree!S31="LPU_STANDBY"),"    //Switch to low power mode","")</f>
        <v/>
      </c>
    </row>
    <row r="47" spans="1:12" x14ac:dyDescent="0.3">
      <c r="A47" s="19" t="s">
        <v>104</v>
      </c>
      <c r="B47" s="71" t="str">
        <f>"0b"&amp;DEC2BIN('CAN Clocking'!K67,1)&amp;"0000000XX0XX0XXXX0XXXXX00XXXXXX"</f>
        <v>0b10000000XX0XX0XXXX0XXXXX00XXXXXX</v>
      </c>
      <c r="G47" s="123"/>
      <c r="H47" s="73" t="s">
        <v>159</v>
      </c>
      <c r="I47" s="71">
        <f>'SAI Clocking'!AK37</f>
        <v>160</v>
      </c>
      <c r="L47" t="str">
        <f>IF(OR(Tree!S31="LPU_RUN",Tree!S31="LPU_SLEEP",Tree!S31="LPU_STOP",Tree!S31="LPU_STANDBY"),"    LPU.MCTL.R = 0x"&amp;IF(OR(Tree!S31="LPU_RUN",Tree!S31="LPU_SLEEP"),"B",IF(Tree!S31="LPU_STOP","C",IF(Tree!S31="LPU_STANDBY","E",0)))&amp;"0005AF0;  //Enter "&amp;Tree!S31&amp;" &amp; Key","")</f>
        <v/>
      </c>
    </row>
    <row r="48" spans="1:12" ht="15" thickBot="1" x14ac:dyDescent="0.35">
      <c r="A48" s="19" t="s">
        <v>105</v>
      </c>
      <c r="B48" s="71" t="str">
        <f>"0x"&amp;DEC2HEX(('CAN Clocking'!Q67*POWER(2,20))+('CAN Clocking'!U67*POWER(2,16))+('CAN Clocking'!AA67*POWER(2,10))+('CAN Clocking'!AA75*POWER(2,6))+('CAN Clocking'!AA82),8)</f>
        <v>0x000259C7</v>
      </c>
      <c r="G48" s="124"/>
      <c r="H48" s="74" t="s">
        <v>161</v>
      </c>
      <c r="I48" s="72">
        <f>'SAI Clocking'!BW41</f>
        <v>40</v>
      </c>
      <c r="L48" t="str">
        <f>IF(OR(Tree!S31="LPU_RUN",Tree!S31="LPU_SLEEP",Tree!S31="LPU_STOP",Tree!S31="LPU_STANDBY"),"    LPU.MCTL.R = 0x"&amp;IF(OR(Tree!S31="LPU_RUN",Tree!S31="LPU_SLEEP"),"B",IF(Tree!S31="LPU_STOP","C",IF(Tree!S31="LPU_STANDBY","E",0)))&amp;"000A50F;  //Enter "&amp;Tree!S31&amp;" &amp; Inverted Key","")</f>
        <v/>
      </c>
    </row>
    <row r="49" spans="1:12" x14ac:dyDescent="0.3">
      <c r="A49" s="19" t="s">
        <v>100</v>
      </c>
      <c r="B49" s="71" t="str">
        <f>"0b"&amp;DEC2BIN('CAN Clocking'!I122,8)&amp;DEC2BIN('CAN Clocking'!M122,2)&amp;DEC2BIN('CAN Clocking'!Q115,3)&amp;DEC2BIN('CAN Clocking'!Q129,3)&amp;"XX"&amp;DEC2BIN('Run mode-only Module Domains'!J15,1)&amp;"XXX00XXXXX"&amp;DEC2BIN('CAN Clocking'!Q122,3)</f>
        <v>0b0000001111101000XX1XXX00XXXXX101</v>
      </c>
      <c r="G49" s="122" t="s">
        <v>163</v>
      </c>
      <c r="H49" s="73" t="s">
        <v>150</v>
      </c>
      <c r="I49" s="71">
        <f>'Run mode-only Module Domains'!X7</f>
        <v>40</v>
      </c>
      <c r="L49" t="str">
        <f>""</f>
        <v/>
      </c>
    </row>
    <row r="50" spans="1:12" x14ac:dyDescent="0.3">
      <c r="A50" s="19" t="s">
        <v>106</v>
      </c>
      <c r="B50" s="71" t="str">
        <f>"0x"&amp;DEC2HEX(('CAN Clocking'!G141*POWER(2,31))+('CAN Clocking'!M141*POWER(2,21))+('CAN Clocking'!T141*POWER(2,16))+('CAN Clocking'!AA141*POWER(2,10))+('CAN Clocking'!AA149*POWER(2,5))+('CAN Clocking'!AA156),8)</f>
        <v>0x800903F7</v>
      </c>
      <c r="G50" s="123"/>
      <c r="H50" s="73" t="s">
        <v>157</v>
      </c>
      <c r="I50" s="71">
        <f>'Run mode-only Module Domains'!X7</f>
        <v>40</v>
      </c>
      <c r="L50" t="str">
        <f>IF(Tree!S31="LPU_SLEEP","    //Enter LPU_SLEEP","")</f>
        <v/>
      </c>
    </row>
    <row r="51" spans="1:12" x14ac:dyDescent="0.3">
      <c r="A51" s="19" t="s">
        <v>107</v>
      </c>
      <c r="B51" s="71" t="str">
        <f>"0bXXXXXXXXXXXXX0XXXXXX"&amp;DEC2BIN('CAN Clocking'!G165,1)&amp;"0XX0XXXXXXX"</f>
        <v>0bXXXXXXXXXXXXX0XXXXXX10XX0XXXXXXX</v>
      </c>
      <c r="G51" s="123"/>
      <c r="H51" s="73" t="s">
        <v>158</v>
      </c>
      <c r="I51" s="71">
        <f>'SAI Clocking'!AN64</f>
        <v>160</v>
      </c>
      <c r="L51" t="str">
        <f>IF(Tree!S31="LPU_SLEEP","    LPU.RUN_CF.B.LPU_SLEEP = 1;  //Set the LPU_SLEEP bit to initiate core sleep request","")</f>
        <v/>
      </c>
    </row>
    <row r="52" spans="1:12" x14ac:dyDescent="0.3">
      <c r="A52" s="19" t="s">
        <v>108</v>
      </c>
      <c r="B52" s="71" t="str">
        <f>"0b"&amp;DEC2BIN('CAN Clocking'!K165,1)&amp;"0000000XX0XX0XXXX0XXXXX00XXXXXX"</f>
        <v>0b10000000XX0XX0XXXX0XXXXX00XXXXXX</v>
      </c>
      <c r="G52" s="123"/>
      <c r="H52" s="73" t="s">
        <v>160</v>
      </c>
      <c r="I52" s="71">
        <f>'SAI Clocking'!BW69</f>
        <v>40</v>
      </c>
      <c r="L52" t="str">
        <f>""</f>
        <v/>
      </c>
    </row>
    <row r="53" spans="1:12" x14ac:dyDescent="0.3">
      <c r="A53" s="19" t="s">
        <v>109</v>
      </c>
      <c r="B53" s="71" t="str">
        <f>"0x"&amp;DEC2HEX(('CAN Clocking'!Q165*POWER(2,20))+('CAN Clocking'!U165*POWER(2,16))+('CAN Clocking'!AA165*POWER(2,10))+('CAN Clocking'!AA173*POWER(2,5))+('CAN Clocking'!AA180),8)</f>
        <v>0x000350E7</v>
      </c>
      <c r="G53" s="123"/>
      <c r="H53" s="73" t="s">
        <v>159</v>
      </c>
      <c r="I53" s="71">
        <f>'SAI Clocking'!AK55</f>
        <v>160</v>
      </c>
      <c r="L53" t="str">
        <f>IF(OR(Tree!S31="LPU_RUN",Tree!S31="LPU_SLEEP",Tree!S31="LPU_STOP",Tree!S31="LPU_STANDBY"),"    while(LPU.SR.B.MTRANS);  //Wait for low power mode transition to complete","")</f>
        <v/>
      </c>
    </row>
    <row r="54" spans="1:12" ht="15" thickBot="1" x14ac:dyDescent="0.35">
      <c r="A54" s="19" t="s">
        <v>110</v>
      </c>
      <c r="B54" s="71" t="str">
        <f>"0bXXXXXXX0XX0"&amp;DEC2BIN('Run mode-only Module Domains'!H33,1)&amp;"XXX0"</f>
        <v>0bXXXXXXX0XX01XXX0</v>
      </c>
      <c r="G54" s="124"/>
      <c r="H54" s="74" t="s">
        <v>161</v>
      </c>
      <c r="I54" s="72">
        <f>'SAI Clocking'!BW59</f>
        <v>40</v>
      </c>
      <c r="L54" t="str">
        <f>IF(OR(Tree!S31="LPU_RUN",Tree!S31="LPU_SLEEP",Tree!S31="LPU_STOP",Tree!S31="LPU_STANDBY"),"    while(LPU.SR.B.CURRENT_MODE != 0x"&amp;IF(OR(Tree!S31="LPU_RUN",Tree!S31="LPU_SLEEP"),"B",IF(Tree!S31="LPU_STOP","C",IF(Tree!S31="LPU_STANDBY","E",0)))&amp;");  Verify "&amp;Tree!S31&amp;" is the current mode","")</f>
        <v/>
      </c>
    </row>
    <row r="55" spans="1:12" x14ac:dyDescent="0.3">
      <c r="A55" s="19" t="s">
        <v>113</v>
      </c>
      <c r="B55" s="71" t="str">
        <f>"0x0000XX"&amp;DEC2HEX('LP-Enabled Module Domain Set 0'!$F$25,1)&amp;"X"</f>
        <v>0x0000XX0X</v>
      </c>
      <c r="G55" s="122" t="s">
        <v>164</v>
      </c>
      <c r="H55" s="73" t="s">
        <v>157</v>
      </c>
      <c r="I55" s="71">
        <f>'Run mode-only Module Domains'!X7</f>
        <v>40</v>
      </c>
      <c r="L55" t="str">
        <f>IF(OR(Tree!S31="LPU_RUN",Tree!S31="LPU_SLEEP",Tree!S31="LPU_STOP",Tree!S31="LPU_STANDBY"),"}","")</f>
        <v/>
      </c>
    </row>
    <row r="56" spans="1:12" x14ac:dyDescent="0.3">
      <c r="A56" s="19" t="s">
        <v>111</v>
      </c>
      <c r="B56" s="71" t="str">
        <f>"0x0000XX"&amp;DEC2HEX('Run mode-only Module Domains'!H140,1)&amp;"X"</f>
        <v>0x0000XX0X</v>
      </c>
      <c r="G56" s="123"/>
      <c r="H56" s="73" t="s">
        <v>150</v>
      </c>
      <c r="I56" s="71">
        <f>'Run mode-only Module Domains'!X7</f>
        <v>40</v>
      </c>
    </row>
    <row r="57" spans="1:12" ht="15" thickBot="1" x14ac:dyDescent="0.35">
      <c r="A57" s="19" t="s">
        <v>115</v>
      </c>
      <c r="B57" s="71" t="str">
        <f>"0bXXX0000X0XXX00XX0000000"&amp;DEC2BIN('LP-Enabled Module Domain Set 1'!AH39,1)&amp;"XXX00XX"&amp;DEC2BIN('LP-Enabled Module Domain Set 1'!AE39,1)</f>
        <v>0bXXX0000X0XXX00XX00000001XXX00XX0</v>
      </c>
      <c r="G57" s="124"/>
      <c r="H57" s="74" t="s">
        <v>165</v>
      </c>
      <c r="I57" s="72">
        <f>'Run mode-only Module Domains'!T7</f>
        <v>80</v>
      </c>
      <c r="L57" t="str">
        <f>"void InitPeriClkGen(void)"</f>
        <v>void InitPeriClkGen(void)</v>
      </c>
    </row>
    <row r="58" spans="1:12" x14ac:dyDescent="0.3">
      <c r="A58" s="19" t="s">
        <v>112</v>
      </c>
      <c r="B58" s="71" t="str">
        <f>"0bXXX0000X0XXX00XX0000000"&amp;DEC2BIN('Run mode-only Module Domains'!AM20,1)&amp;"XXX00XX"&amp;DEC2BIN('Run mode-only Module Domains'!AJ20,1)</f>
        <v>0bXXX0000X0XXX00XX00000001XXX00XX0</v>
      </c>
      <c r="G58" s="122" t="s">
        <v>166</v>
      </c>
      <c r="H58" s="73" t="s">
        <v>157</v>
      </c>
      <c r="I58" s="71">
        <f>'Run mode-only Module Domains'!X7</f>
        <v>40</v>
      </c>
      <c r="L58" t="str">
        <f>"{"</f>
        <v>{</v>
      </c>
    </row>
    <row r="59" spans="1:12" x14ac:dyDescent="0.3">
      <c r="A59" s="19" t="s">
        <v>114</v>
      </c>
      <c r="B59" s="71" t="str">
        <f>"0bXXXX000000000000XX"&amp;DEC2BIN('LP-Enabled Module Domain Set 0'!$H$35,2)&amp;"XX000000000X"</f>
        <v>0bXXXX000000000000XX11XX000000000X</v>
      </c>
      <c r="G59" s="123"/>
      <c r="H59" s="73" t="s">
        <v>150</v>
      </c>
      <c r="I59" s="71">
        <f>'Run mode-only Module Domains'!X7</f>
        <v>40</v>
      </c>
      <c r="L59" t="str">
        <f>"    //F160 domain is the undivided system clock."</f>
        <v xml:space="preserve">    //F160 domain is the undivided system clock.</v>
      </c>
    </row>
    <row r="60" spans="1:12" ht="15" thickBot="1" x14ac:dyDescent="0.35">
      <c r="A60" s="19" t="s">
        <v>116</v>
      </c>
      <c r="B60" s="71" t="str">
        <f>"0bX"&amp;DEC2BIN('SAI Clocking'!AE21,1)&amp;"0000"&amp;DEC2BIN('SAI Clocking'!S21,2)&amp;"000000000000000000000000"</f>
        <v>0bX1000000000000000000000000000000</v>
      </c>
      <c r="G60" s="124"/>
      <c r="H60" s="74" t="s">
        <v>165</v>
      </c>
      <c r="I60" s="72">
        <f>'Run mode-only Module Domains'!R7</f>
        <v>40</v>
      </c>
      <c r="L60" t="str">
        <f>"    MC_CGM.SC_DC0.R = "&amp;B25&amp;";  //S160 at "&amp;IF(OR(Tree!S31="RESET",Tree!S31="SAFE",Tree!S31="DRUN",Tree!S31="RUN0",Tree!S31="RUN1",Tree!S31="RUN2",Tree!S31="RUN3",Tree!S31="STOP",Tree!S31="STANDBY"),"system clock divided by "&amp;SUM(1,Tree!P11),"LPU_SYS_CLK")&amp;" ("&amp;Tree!V10&amp;" MHz)."</f>
        <v xml:space="preserve">    MC_CGM.SC_DC0.R = 0x80000000;  //S160 at system clock divided by 1 (160 MHz).</v>
      </c>
    </row>
    <row r="61" spans="1:12" x14ac:dyDescent="0.3">
      <c r="A61" s="19" t="s">
        <v>117</v>
      </c>
      <c r="B61" s="71" t="str">
        <f>"0x"&amp;DEC2HEX(('SAI Clocking'!W21*POWER(2,12))+('SAI Clocking'!AA21),8)</f>
        <v>0x00000000</v>
      </c>
      <c r="G61" s="122" t="s">
        <v>167</v>
      </c>
      <c r="H61" s="73" t="s">
        <v>157</v>
      </c>
      <c r="I61" s="71">
        <f>'Run mode-only Module Domains'!X7</f>
        <v>40</v>
      </c>
      <c r="L61" t="str">
        <f>"    MC_CGM.SC_DC1.R = "&amp;B26&amp;";  //S80 at "&amp;IF(OR(Tree!S31="LPU_RUN",Tree!S31="LPU_SLEEP",Tree!S31="LPU_STOP",Tree!S31="LPU_STANDBY"),"LPU_SYS_CLK","system clock divided by "&amp;SUM(1,Tree!P15))&amp;" ("&amp;Tree!V14&amp;" MHz)."</f>
        <v xml:space="preserve">    MC_CGM.SC_DC1.R = 0x80010000;  //S80 at system clock divided by 2 (80 MHz).</v>
      </c>
    </row>
    <row r="62" spans="1:12" x14ac:dyDescent="0.3">
      <c r="A62" s="19" t="s">
        <v>118</v>
      </c>
      <c r="B62" s="71" t="str">
        <f>"0b"&amp;DEC2BIN('SAI Clocking'!BO25,2)&amp;DEC2BIN('SAI Clocking'!BH25,1)&amp;"X"&amp;DEC2BIN('SAI Clocking'!AI21,2)&amp;"X"&amp;DEC2BIN('SAI Clocking'!AX25,1)&amp;"0000000000000000"&amp;DEC2BIN('SAI Clocking'!AT22,8)</f>
        <v>0b000X00X1000000000000000000000001</v>
      </c>
      <c r="G62" s="123"/>
      <c r="H62" s="73" t="s">
        <v>150</v>
      </c>
      <c r="I62" s="71">
        <f>'Run mode-only Module Domains'!X7</f>
        <v>40</v>
      </c>
      <c r="L62" t="str">
        <f>"    MC_CGM.SC_DC2.R = "&amp;B27&amp;";  //S40 at "&amp;IF(OR(Tree!S31="LPU_RUN",Tree!S31="LPU_SLEEP",Tree!S31="LPU_STOP",Tree!S31="LPU_STANDBY"),"LPU_SYS_CLK","system clock divided by "&amp;SUM(1,Tree!P22))&amp;" ("&amp;Tree!V21&amp;" MHz)."</f>
        <v xml:space="preserve">    MC_CGM.SC_DC2.R = 0x80030000;  //S40 at system clock divided by 4 (40 MHz).</v>
      </c>
    </row>
    <row r="63" spans="1:12" ht="15" thickBot="1" x14ac:dyDescent="0.35">
      <c r="A63" s="19" t="s">
        <v>119</v>
      </c>
      <c r="B63" s="71" t="str">
        <f>"0b"&amp;DEC2BIN('SAI Clocking'!BO34,2)&amp;DEC2BIN('SAI Clocking'!BH33,1)&amp;"X"&amp;DEC2BIN('SAI Clocking'!AL29,2)&amp;"X"&amp;DEC2BIN('SAI Clocking'!AX33,1)&amp;"0000000000000000"&amp;DEC2BIN('SAI Clocking'!AT30,8)</f>
        <v>0b000X01X1000000000000000000000001</v>
      </c>
      <c r="G63" s="124"/>
      <c r="H63" s="74" t="s">
        <v>165</v>
      </c>
      <c r="I63" s="72">
        <f>'Run mode-only Module Domains'!R7</f>
        <v>40</v>
      </c>
      <c r="L63" t="str">
        <f>"    //F40 is fixed ("&amp;Tree!V25&amp;" MHz)."</f>
        <v xml:space="preserve">    //F40 is fixed (40 MHz).</v>
      </c>
    </row>
    <row r="64" spans="1:12" x14ac:dyDescent="0.3">
      <c r="A64" s="19" t="s">
        <v>120</v>
      </c>
      <c r="B64" s="71" t="str">
        <f>"0bXXX"&amp;DEC2BIN('SAI Clocking'!BB25,1)&amp;"00XX000XXXXX000XXXXX000000XX"</f>
        <v>0bXXX100XX000XXXXX000XXXXX000000XX</v>
      </c>
      <c r="G64" s="122" t="s">
        <v>168</v>
      </c>
      <c r="H64" s="73" t="s">
        <v>157</v>
      </c>
      <c r="I64" s="71">
        <f>'Run mode-only Module Domains'!X7</f>
        <v>40</v>
      </c>
      <c r="L64" t="str">
        <f>"    //F80 is fixed ("&amp;Tree!V27&amp;" MHz)."</f>
        <v xml:space="preserve">    //F80 is fixed (80 MHz).</v>
      </c>
    </row>
    <row r="65" spans="1:12" x14ac:dyDescent="0.3">
      <c r="A65" s="19" t="s">
        <v>121</v>
      </c>
      <c r="B65" s="71" t="str">
        <f>"0bXXX"&amp;DEC2BIN('SAI Clocking'!BB33,1)&amp;"00XX000XXXXX000XXXXX000000XX"</f>
        <v>0bXXX100XX000XXXXX000XXXXX000000XX</v>
      </c>
      <c r="G65" s="123"/>
      <c r="H65" s="73" t="s">
        <v>150</v>
      </c>
      <c r="I65" s="71">
        <f>'Run mode-only Module Domains'!X7</f>
        <v>40</v>
      </c>
      <c r="L65" t="str">
        <f>"    MC_CGM.SC_DC5.R = "&amp;B34&amp;"; //FS80 at "&amp;IF(OR(Tree!S31="LPU_RUN",Tree!S31="LPU_SLEEP",Tree!S31="LPU_STOP",Tree!S31="LPU_STANDBY"),"LPU_SYS_CLK","system clock divided by "&amp;SUM(1,Tree!P19))&amp;" ("&amp;Tree!V18&amp;" MHz)."</f>
        <v xml:space="preserve">    MC_CGM.SC_DC5.R = 0x01000000; //FS80 at system clock divided by 2 (80 MHz).</v>
      </c>
    </row>
    <row r="66" spans="1:12" ht="15" thickBot="1" x14ac:dyDescent="0.35">
      <c r="A66" s="19" t="s">
        <v>122</v>
      </c>
      <c r="B66" s="71" t="str">
        <f>"0b"&amp;DEC2BIN('SAI Clocking'!BO44,2)&amp;DEC2BIN('SAI Clocking'!BH44,1)&amp;"X"&amp;DEC2BIN('SAI Clocking'!AI41,2)&amp;"X"&amp;DEC2BIN('SAI Clocking'!AX44,1)&amp;"0000000000000000"&amp;DEC2BIN('SAI Clocking'!AT41,8)</f>
        <v>0b000X00X1000000000000000000000001</v>
      </c>
      <c r="G66" s="124"/>
      <c r="H66" s="74" t="s">
        <v>165</v>
      </c>
      <c r="I66" s="72">
        <f>'Run mode-only Module Domains'!T7</f>
        <v>80</v>
      </c>
      <c r="L66" t="str">
        <f>"    //F20 is fixed ("&amp;Tree!V29&amp;" MHz)."</f>
        <v xml:space="preserve">    //F20 is fixed (20 MHz).</v>
      </c>
    </row>
    <row r="67" spans="1:12" ht="15" thickBot="1" x14ac:dyDescent="0.35">
      <c r="A67" s="19" t="s">
        <v>123</v>
      </c>
      <c r="B67" s="71" t="str">
        <f>"0b"&amp;DEC2BIN('SAI Clocking'!BO53,2)&amp;DEC2BIN('SAI Clocking'!BH53,1)&amp;"X"&amp;DEC2BIN('SAI Clocking'!AL50,2)&amp;"X"&amp;DEC2BIN('SAI Clocking'!AX53,1)&amp;"0000000000000000"&amp;DEC2BIN('SAI Clocking'!AT50,8)</f>
        <v>0b000X01X1000000000000000000000001</v>
      </c>
      <c r="G67" s="75" t="s">
        <v>169</v>
      </c>
      <c r="H67" s="76" t="s">
        <v>130</v>
      </c>
      <c r="I67" s="77">
        <f>'Run mode-only Module Domains'!F126</f>
        <v>160</v>
      </c>
      <c r="L67" t="str">
        <f>"    MC_CGM.AC2_SC.R = "&amp;B31&amp;"; //ENET timers use "&amp;IF('ENET Clocking'!H18=0,"F40","TXD_CLK/RMII_CLK")&amp;" as source ("&amp;'ENET Clocking'!K16&amp;" MHz)."</f>
        <v xml:space="preserve">    MC_CGM.AC2_SC.R = 0x01000000; //ENET timers use TXD_CLK/RMII_CLK as source (50 MHz).</v>
      </c>
    </row>
    <row r="68" spans="1:12" x14ac:dyDescent="0.3">
      <c r="A68" s="19" t="s">
        <v>126</v>
      </c>
      <c r="B68" s="71" t="str">
        <f>"0bXXX"&amp;DEC2BIN('SAI Clocking'!BB44,1)&amp;"00XX000XXXXX000XXXXX000000XX"</f>
        <v>0bXXX100XX000XXXXX000XXXXX000000XX</v>
      </c>
      <c r="G68" s="122" t="s">
        <v>170</v>
      </c>
      <c r="H68" s="73" t="s">
        <v>171</v>
      </c>
      <c r="I68" s="71">
        <f>'Run mode-only Module Domains'!K7</f>
        <v>40</v>
      </c>
      <c r="L68" t="str">
        <f>"    MC_CGM.AC3_SC.R = "&amp;B32&amp;";  //HSM TRNG uses "&amp;IF('Run mode-only Module Domains'!AJ38=0,"FIRC","FXOSC")&amp;" as source ("&amp;'Run mode-only Module Domains'!AM34&amp;" MHz)."</f>
        <v xml:space="preserve">    MC_CGM.AC3_SC.R = 0x01000000;  //HSM TRNG uses FXOSC as source (40 MHz).</v>
      </c>
    </row>
    <row r="69" spans="1:12" x14ac:dyDescent="0.3">
      <c r="A69" s="19" t="s">
        <v>127</v>
      </c>
      <c r="B69" s="71" t="str">
        <f>"0bXXX"&amp;DEC2BIN('SAI Clocking'!BB37,1)&amp;"00XX000XXXXX000XXXXX000000XX"</f>
        <v>0bXXX000XX000XXXXX000XXXXX000000XX</v>
      </c>
      <c r="G69" s="123"/>
      <c r="H69" s="73" t="s">
        <v>150</v>
      </c>
      <c r="I69" s="71">
        <f>'Run mode-only Module Domains'!R7</f>
        <v>40</v>
      </c>
      <c r="L69" t="str">
        <f>"    MC_CGM.AC4_SC.R = "&amp;B33&amp;";  //uSDHC uses "&amp;IF('Run mode-only Module Domains'!J55=0,"F40","FXOSC")&amp;" as source ("&amp;'Run mode-only Module Domains'!E50&amp;" MHz)."</f>
        <v xml:space="preserve">    MC_CGM.AC4_SC.R = 0x01000000;  //uSDHC uses FXOSC as source (40 MHz).</v>
      </c>
    </row>
    <row r="70" spans="1:12" x14ac:dyDescent="0.3">
      <c r="A70" s="19" t="s">
        <v>124</v>
      </c>
      <c r="B70" s="71" t="str">
        <f>"0b"&amp;DEC2BIN('SAI Clocking'!BB53,2)&amp;DEC2BIN('SAI Clocking'!BH62,1)&amp;"X"&amp;DEC2BIN('SAI Clocking'!AI59,2)&amp;"X"&amp;DEC2BIN('SAI Clocking'!AX62,1)&amp;"0000000000000000"&amp;DEC2BIN('SAI Clocking'!AT59,8)</f>
        <v>0b010X00X1000000000000000000000001</v>
      </c>
      <c r="G70" s="123"/>
      <c r="H70" s="73" t="s">
        <v>157</v>
      </c>
      <c r="I70" s="71">
        <f>'Run mode-only Module Domains'!R7</f>
        <v>40</v>
      </c>
      <c r="L70" t="str">
        <f>"    MC_CGM.AC5_SC.R = "&amp;B34&amp;"; //FMPLL uses "&amp;IF(Tree!G24=0,"FIRC","FXOSC")&amp;" as source ("&amp;IF(Tree!G24=0,Tree!D16,Tree!F33)&amp;" MHz)."</f>
        <v xml:space="preserve">    MC_CGM.AC5_SC.R = 0x01000000; //FMPLL uses FXOSC as source (40 MHz).</v>
      </c>
    </row>
    <row r="71" spans="1:12" ht="15" thickBot="1" x14ac:dyDescent="0.35">
      <c r="A71" s="19" t="s">
        <v>125</v>
      </c>
      <c r="B71" s="71" t="str">
        <f>"0b"&amp;DEC2BIN('SAI Clocking'!BO72,2)&amp;DEC2BIN('SAI Clocking'!BH72,1)&amp;"X"&amp;DEC2BIN('SAI Clocking'!AL69,2)&amp;"X"&amp;DEC2BIN('SAI Clocking'!AX72,1)&amp;"0000000000000000"&amp;DEC2BIN('SAI Clocking'!AT69,8)</f>
        <v>0b000X01X1000000000000000000000001</v>
      </c>
      <c r="G71" s="124"/>
      <c r="H71" s="74" t="s">
        <v>172</v>
      </c>
      <c r="I71" s="72">
        <f>'Run mode-only Module Domains'!R7</f>
        <v>40</v>
      </c>
      <c r="L71" t="str">
        <f>"    MC_CGM.AC6_SC.R = "&amp;B35&amp;";  //CLKOUT0 uses as source "&amp;IF('Run mode-only Module Domains'!AN69=0,"FXOSC ("&amp;'Run mode-only Module Domains'!K7&amp;" MHz).",IF('Run mode-only Module Domains'!AN69=1,"FIRC ("&amp;'Run mode-only Module Domains'!Z7&amp;" MHz).",IF('Run mode-only Module Domains'!AN69=2,"PLL_CLKOUT1 ("&amp;'Run mode-only Module Domains'!AI57&amp;" MHz.)",IF('Run mode-only Module Domains'!AN69=3,"S160 ("&amp;'Run mode-only Module Domains'!AH7&amp;" MHz).",IF('Run mode-only Module Domains'!AN69=4,"RTC_CLK ("&amp;'Run mode-only Module Domains'!AJ61&amp;" MHz).",IF('Run mode-only Module Domains'!AN69=5,"PLL_CLKOUT2 ("&amp;'Run mode-only Module Domains'!AK57&amp;" MHz).",IF('Run mode-only Module Domains'!AN69=6,"SXOSC ("&amp;'Run mode-only Module Domains'!AB7&amp;" MHz).",IF('Run mode-only Module Domains'!AN69=7,"SIRC ("&amp;'Run mode-only Module Domains'!AD7&amp;" MHz).",IF('Run mode-only Module Domains'!AN69=8,"Z4a_CLK ("&amp;'Run mode-only Module Domains'!AK61&amp;" MHz.)",IF('Run mode-only Module Domains'!AN69=9,"Z4b_CLK ("&amp;'Run mode-only Module Domains'!AL61&amp;" MHz).",IF('Run mode-only Module Domains'!AN69=10,"HSM Core CLK ("&amp;'Run mode-only Module Domains'!AK68&amp;" MHz).",IF('Run mode-only Module Domains'!AN69=12,"S40 ("&amp;'Run mode-only Module Domains'!X7&amp;" MHz).",IF('Run mode-only Module Domains'!AN69=13,"F40 ("&amp;'Run mode-only Module Domains'!R7&amp;" MHz).",IF('Run mode-only Module Domains'!AN69=14,"F80 ("&amp;'Run mode-only Module Domains'!T7&amp;" MHz).","FS80 ("&amp;'Run mode-only Module Domains'!M7&amp;" MHz)."))))))))))))))</f>
        <v xml:space="preserve">    MC_CGM.AC6_SC.R = 0x02000000;  //CLKOUT0 uses as source PLL_CLKOUT1 (160 MHz.)</v>
      </c>
    </row>
    <row r="72" spans="1:12" x14ac:dyDescent="0.3">
      <c r="A72" s="19" t="s">
        <v>128</v>
      </c>
      <c r="B72" s="71" t="str">
        <f>"0bXXX"&amp;DEC2BIN('SAI Clocking'!BB62,1)&amp;"00XX000XXXXX000XXXXX000000XX"</f>
        <v>0bXXX100XX000XXXXX000XXXXX000000XX</v>
      </c>
      <c r="G72" s="122" t="s">
        <v>173</v>
      </c>
      <c r="H72" s="73" t="s">
        <v>150</v>
      </c>
      <c r="I72" s="71">
        <f>'Run mode-only Module Domains'!M7</f>
        <v>80</v>
      </c>
      <c r="L72" t="str">
        <f>"    MC_CGM.AC6_DC0.R = "&amp;B36&amp;";  //Divide CLKOUT0 source by "&amp;SUM(1,'Run mode-only Module Domains'!AQ60)&amp;" ("&amp;'Run mode-only Module Domains'!AT62&amp;" MHz)."</f>
        <v xml:space="preserve">    MC_CGM.AC6_DC0.R = 0x80000000;  //Divide CLKOUT0 source by 1 (160 MHz).</v>
      </c>
    </row>
    <row r="73" spans="1:12" ht="15" thickBot="1" x14ac:dyDescent="0.35">
      <c r="A73" s="20" t="s">
        <v>129</v>
      </c>
      <c r="B73" s="72" t="str">
        <f>"0bXXX"&amp;DEC2BIN('SAI Clocking'!BB72,1)&amp;"00XX000XXXXX000XXXXX000000XX"</f>
        <v>0bXXX100XX000XXXXX000XXXXX000000XX</v>
      </c>
      <c r="G73" s="124"/>
      <c r="H73" s="74" t="s">
        <v>174</v>
      </c>
      <c r="I73" s="72">
        <f>'Run mode-only Module Domains'!F138</f>
        <v>80</v>
      </c>
      <c r="L73" t="str">
        <f>"    MC_CGM.AC8_SC.R = "&amp;B37&amp;";  //SPI0 source is "&amp;IF('LP-Enabled Module Domain Set 1'!O38=0,"F40","FXOSC")&amp;" ("&amp;'LP-Enabled Module Domain Set 1'!M34&amp;" MHz)."</f>
        <v xml:space="preserve">    MC_CGM.AC8_SC.R = 0x00000000;  //SPI0 source is F40 (40 MHz).</v>
      </c>
    </row>
    <row r="74" spans="1:12" x14ac:dyDescent="0.3">
      <c r="G74" s="122" t="s">
        <v>175</v>
      </c>
      <c r="H74" s="73" t="s">
        <v>157</v>
      </c>
      <c r="I74" s="71">
        <f>'Run mode-only Module Domains'!X7</f>
        <v>40</v>
      </c>
      <c r="L74" t="str">
        <f>"    MC_CGM.AC9_SC.R = "&amp;B38&amp;";  //FlexCAN0 source is "&amp;IF('LP-Enabled Module Domain Set 1'!N10=0,"FS80","FXOSC")&amp;" ("&amp;'LP-Enabled Module Domain Set 1'!E10&amp;" MHz)."</f>
        <v xml:space="preserve">    MC_CGM.AC9_SC.R = 0x00000000;  //FlexCAN0 source is FS80 (40 MHz).</v>
      </c>
    </row>
    <row r="75" spans="1:12" ht="15" thickBot="1" x14ac:dyDescent="0.35">
      <c r="G75" s="124"/>
      <c r="H75" s="74" t="s">
        <v>150</v>
      </c>
      <c r="I75" s="72">
        <f>'Run mode-only Module Domains'!X7</f>
        <v>40</v>
      </c>
      <c r="L75" t="str">
        <f>"    MC_CGM.CLKOUT1_SC.R = "&amp;B39&amp;";  //CLKOUT1 uses as source "&amp;IF('LP-Enabled Module Domain Set 0'!AK91=0,"FXOSC_DIV_CLK",IF('LP-Enabled Module Domain Set 0'!AK91=1,"FIRC_DIV_CLK",IF('LP-Enabled Module Domain Set 0'!AK91=2,"SXOSC",IF('LP-Enabled Module Domain Set 0'!AK91=3,"SIRC",IF('LP-Enabled Module Domain Set 0'!AK91=4,"RTC_CLK",IF('LP-Enabled Module Domain Set 0'!AK91=7,"FXOSC_ANA_CLK",IF('LP-Enabled Module Domain Set 0'!AK91=8,"FXOSC",IF('LP-Enabled Module Domain Set 0'!AK91=9,"FIRC",IF('LP-Enabled Module Domain Set 0'!AK91=10,"SXOSC_DIV_CLK",IF('LP-Enabled Module Domain Set 0'!AK91=11,"SIRC_DIV_CLK",IF('LP-Enabled Module Domain Set 0'!AK91=12,"CAN0_CHI_CLK",IF('LP-Enabled Module Domain Set 0'!AK91=13,"CAN0_PE_CLK","PLL_CLKOUT1"))))))))))))&amp;" ("&amp;'LP-Enabled Module Domain Set 0'!AN82&amp;" MHz)."</f>
        <v xml:space="preserve">    MC_CGM.CLKOUT1_SC.R = 0x0E000000;  //CLKOUT1 uses as source PLL_CLKOUT1 (160 MHz).</v>
      </c>
    </row>
    <row r="76" spans="1:12" x14ac:dyDescent="0.3">
      <c r="G76" s="122" t="s">
        <v>176</v>
      </c>
      <c r="H76" s="73" t="s">
        <v>157</v>
      </c>
      <c r="I76" s="71">
        <f>'LP-Enabled Module Domain Set 0'!$L$110</f>
        <v>40</v>
      </c>
      <c r="L76" t="str">
        <f>"    MC_CGM.CLKOUT1_DC0.R = "&amp;B40&amp;";  //"&amp;IF('LP-Enabled Module Domain Set 0'!AP85=1,"CLKOUT1 is source divided by "&amp;SUM(1,'LP-Enabled Module Domain Set 0'!AU83)&amp;" ("&amp;'LP-Enabled Module Domain Set 0'!AX83&amp;" MHz).","CLKOUT1 is off.")</f>
        <v xml:space="preserve">    MC_CGM.CLKOUT1_DC0.R = 0x80000000;  //CLKOUT1 is source divided by 1 (160 MHz).</v>
      </c>
    </row>
    <row r="77" spans="1:12" ht="15" thickBot="1" x14ac:dyDescent="0.35">
      <c r="G77" s="124"/>
      <c r="H77" s="74" t="s">
        <v>150</v>
      </c>
      <c r="I77" s="72">
        <f>'LP-Enabled Module Domain Set 0'!$R$110</f>
        <v>16</v>
      </c>
      <c r="L77" t="str">
        <f>"}"</f>
        <v>}</v>
      </c>
    </row>
    <row r="78" spans="1:12" ht="15" thickBot="1" x14ac:dyDescent="0.35">
      <c r="G78" s="75" t="s">
        <v>177</v>
      </c>
      <c r="H78" s="76" t="s">
        <v>150</v>
      </c>
      <c r="I78" s="77">
        <f>'Run mode-only Module Domains'!Z7</f>
        <v>16</v>
      </c>
    </row>
    <row r="79" spans="1:12" ht="15" thickBot="1" x14ac:dyDescent="0.35">
      <c r="G79" s="75" t="s">
        <v>178</v>
      </c>
      <c r="H79" s="76" t="s">
        <v>157</v>
      </c>
      <c r="I79" s="77">
        <f>'Run mode-only Module Domains'!X7</f>
        <v>40</v>
      </c>
    </row>
    <row r="80" spans="1:12" ht="15" thickBot="1" x14ac:dyDescent="0.35">
      <c r="G80" s="75" t="s">
        <v>179</v>
      </c>
      <c r="H80" s="76" t="s">
        <v>157</v>
      </c>
      <c r="I80" s="77">
        <f>'Run mode-only Module Domains'!X7</f>
        <v>40</v>
      </c>
    </row>
    <row r="81" spans="7:9" ht="15" thickBot="1" x14ac:dyDescent="0.35">
      <c r="G81" s="75" t="s">
        <v>180</v>
      </c>
      <c r="H81" s="76" t="s">
        <v>157</v>
      </c>
      <c r="I81" s="77">
        <f>'Run mode-only Module Domains'!X7</f>
        <v>40</v>
      </c>
    </row>
    <row r="82" spans="7:9" x14ac:dyDescent="0.3">
      <c r="G82" s="122" t="s">
        <v>181</v>
      </c>
      <c r="H82" s="73" t="s">
        <v>155</v>
      </c>
      <c r="I82" s="71">
        <f>'Run mode-only Module Domains'!M7</f>
        <v>80</v>
      </c>
    </row>
    <row r="83" spans="7:9" ht="15" thickBot="1" x14ac:dyDescent="0.35">
      <c r="G83" s="124"/>
      <c r="H83" s="74" t="s">
        <v>157</v>
      </c>
      <c r="I83" s="72">
        <f>'Run mode-only Module Domains'!M7</f>
        <v>80</v>
      </c>
    </row>
    <row r="84" spans="7:9" ht="15" thickBot="1" x14ac:dyDescent="0.35">
      <c r="G84" s="75" t="s">
        <v>182</v>
      </c>
      <c r="H84" s="76" t="s">
        <v>157</v>
      </c>
      <c r="I84" s="77">
        <f>'Run mode-only Module Domains'!AP17</f>
        <v>80</v>
      </c>
    </row>
    <row r="85" spans="7:9" x14ac:dyDescent="0.3">
      <c r="G85" s="122" t="s">
        <v>183</v>
      </c>
      <c r="H85" s="73" t="s">
        <v>157</v>
      </c>
      <c r="I85" s="71">
        <f>'Run mode-only Module Domains'!M7</f>
        <v>80</v>
      </c>
    </row>
    <row r="86" spans="7:9" ht="15" thickBot="1" x14ac:dyDescent="0.35">
      <c r="G86" s="124"/>
      <c r="H86" s="74" t="s">
        <v>150</v>
      </c>
      <c r="I86" s="72">
        <f>'Run mode-only Module Domains'!M7</f>
        <v>80</v>
      </c>
    </row>
    <row r="87" spans="7:9" x14ac:dyDescent="0.3">
      <c r="G87" s="122" t="s">
        <v>184</v>
      </c>
      <c r="H87" s="73" t="s">
        <v>185</v>
      </c>
      <c r="I87" s="71">
        <f>'Run mode-only Module Domains'!AM31</f>
        <v>80</v>
      </c>
    </row>
    <row r="88" spans="7:9" x14ac:dyDescent="0.3">
      <c r="G88" s="123"/>
      <c r="H88" s="73" t="s">
        <v>150</v>
      </c>
      <c r="I88" s="71">
        <f>'Run mode-only Module Domains'!M7</f>
        <v>80</v>
      </c>
    </row>
    <row r="89" spans="7:9" x14ac:dyDescent="0.3">
      <c r="G89" s="123"/>
      <c r="H89" s="73" t="s">
        <v>186</v>
      </c>
      <c r="I89" s="71">
        <f>'Run mode-only Module Domains'!AM34</f>
        <v>40</v>
      </c>
    </row>
    <row r="90" spans="7:9" ht="15" thickBot="1" x14ac:dyDescent="0.35">
      <c r="G90" s="124"/>
      <c r="H90" s="74" t="s">
        <v>187</v>
      </c>
      <c r="I90" s="72">
        <f>'Run mode-only Module Domains'!Z7</f>
        <v>16</v>
      </c>
    </row>
    <row r="91" spans="7:9" ht="15" thickBot="1" x14ac:dyDescent="0.35">
      <c r="G91" s="75" t="s">
        <v>188</v>
      </c>
      <c r="H91" s="76" t="s">
        <v>130</v>
      </c>
      <c r="I91" s="77">
        <f>'Run mode-only Module Domains'!AT62</f>
        <v>160</v>
      </c>
    </row>
    <row r="92" spans="7:9" x14ac:dyDescent="0.3">
      <c r="G92" s="122" t="s">
        <v>189</v>
      </c>
      <c r="H92" s="73" t="s">
        <v>155</v>
      </c>
      <c r="I92" s="71">
        <f>'Run mode-only Module Domains'!M7</f>
        <v>80</v>
      </c>
    </row>
    <row r="93" spans="7:9" ht="15" thickBot="1" x14ac:dyDescent="0.35">
      <c r="G93" s="124"/>
      <c r="H93" s="74" t="s">
        <v>190</v>
      </c>
      <c r="I93" s="72">
        <f>'Run mode-only Module Domains'!M7</f>
        <v>80</v>
      </c>
    </row>
    <row r="94" spans="7:9" x14ac:dyDescent="0.3">
      <c r="G94" s="122" t="s">
        <v>191</v>
      </c>
      <c r="H94" s="73" t="s">
        <v>165</v>
      </c>
      <c r="I94" s="71">
        <f>'Run mode-only Module Domains'!AR126</f>
        <v>60</v>
      </c>
    </row>
    <row r="95" spans="7:9" x14ac:dyDescent="0.3">
      <c r="G95" s="123"/>
      <c r="H95" s="73" t="s">
        <v>155</v>
      </c>
      <c r="I95" s="71">
        <f>'Run mode-only Module Domains'!X7</f>
        <v>40</v>
      </c>
    </row>
    <row r="96" spans="7:9" x14ac:dyDescent="0.3">
      <c r="G96" s="123"/>
      <c r="H96" s="73" t="s">
        <v>157</v>
      </c>
      <c r="I96" s="71">
        <f>'Run mode-only Module Domains'!X7</f>
        <v>40</v>
      </c>
    </row>
    <row r="97" spans="7:9" x14ac:dyDescent="0.3">
      <c r="G97" s="123"/>
      <c r="H97" s="73" t="s">
        <v>150</v>
      </c>
      <c r="I97" s="71">
        <f>'Run mode-only Module Domains'!T7</f>
        <v>80</v>
      </c>
    </row>
    <row r="98" spans="7:9" x14ac:dyDescent="0.3">
      <c r="G98" s="123"/>
      <c r="H98" s="73" t="s">
        <v>192</v>
      </c>
      <c r="I98" s="71">
        <f>'Run mode-only Module Domains'!AB7</f>
        <v>3.2000000000000001E-2</v>
      </c>
    </row>
    <row r="99" spans="7:9" ht="15" thickBot="1" x14ac:dyDescent="0.35">
      <c r="G99" s="124"/>
      <c r="H99" s="74" t="s">
        <v>190</v>
      </c>
      <c r="I99" s="72">
        <f>'Run mode-only Module Domains'!O7</f>
        <v>160</v>
      </c>
    </row>
    <row r="100" spans="7:9" x14ac:dyDescent="0.3">
      <c r="G100" s="122" t="s">
        <v>193</v>
      </c>
      <c r="H100" s="73" t="s">
        <v>157</v>
      </c>
      <c r="I100" s="71">
        <f>'Run mode-only Module Domains'!X210</f>
        <v>40</v>
      </c>
    </row>
    <row r="101" spans="7:9" ht="15" thickBot="1" x14ac:dyDescent="0.35">
      <c r="G101" s="124"/>
      <c r="H101" s="74" t="s">
        <v>150</v>
      </c>
      <c r="I101" s="72">
        <f>'Run mode-only Module Domains'!AH210</f>
        <v>160</v>
      </c>
    </row>
    <row r="102" spans="7:9" x14ac:dyDescent="0.3">
      <c r="G102" s="122" t="s">
        <v>194</v>
      </c>
      <c r="H102" s="73" t="s">
        <v>165</v>
      </c>
      <c r="I102" s="71">
        <f>'Run mode-only Module Domains'!AO145</f>
        <v>101</v>
      </c>
    </row>
    <row r="103" spans="7:9" x14ac:dyDescent="0.3">
      <c r="G103" s="123"/>
      <c r="H103" s="73" t="s">
        <v>155</v>
      </c>
      <c r="I103" s="71">
        <f>'Run mode-only Module Domains'!T7</f>
        <v>80</v>
      </c>
    </row>
    <row r="104" spans="7:9" x14ac:dyDescent="0.3">
      <c r="G104" s="123"/>
      <c r="H104" s="73" t="s">
        <v>150</v>
      </c>
      <c r="I104" s="71">
        <f>'Run mode-only Module Domains'!R7</f>
        <v>40</v>
      </c>
    </row>
    <row r="105" spans="7:9" ht="15" thickBot="1" x14ac:dyDescent="0.35">
      <c r="G105" s="124"/>
      <c r="H105" s="74" t="s">
        <v>190</v>
      </c>
      <c r="I105" s="72">
        <f>'Run mode-only Module Domains'!O7</f>
        <v>160</v>
      </c>
    </row>
    <row r="106" spans="7:9" x14ac:dyDescent="0.3">
      <c r="G106" s="122" t="s">
        <v>195</v>
      </c>
      <c r="H106" s="73" t="s">
        <v>157</v>
      </c>
      <c r="I106" s="71">
        <f>'Run mode-only Module Domains'!X7</f>
        <v>40</v>
      </c>
    </row>
    <row r="107" spans="7:9" ht="15" thickBot="1" x14ac:dyDescent="0.35">
      <c r="G107" s="124"/>
      <c r="H107" s="74" t="s">
        <v>150</v>
      </c>
      <c r="I107" s="72">
        <f>'Run mode-only Module Domains'!X7</f>
        <v>40</v>
      </c>
    </row>
    <row r="108" spans="7:9" x14ac:dyDescent="0.3">
      <c r="G108" s="122" t="s">
        <v>196</v>
      </c>
      <c r="H108" s="73" t="s">
        <v>157</v>
      </c>
      <c r="I108" s="71">
        <f>'Run mode-only Module Domains'!X7</f>
        <v>40</v>
      </c>
    </row>
    <row r="109" spans="7:9" ht="15" thickBot="1" x14ac:dyDescent="0.35">
      <c r="G109" s="124"/>
      <c r="H109" s="74" t="s">
        <v>150</v>
      </c>
      <c r="I109" s="72">
        <f>'Run mode-only Module Domains'!X7</f>
        <v>40</v>
      </c>
    </row>
    <row r="110" spans="7:9" x14ac:dyDescent="0.3">
      <c r="G110" s="122" t="s">
        <v>197</v>
      </c>
      <c r="H110" s="73" t="s">
        <v>157</v>
      </c>
      <c r="I110" s="71">
        <f>'Run mode-only Module Domains'!R7</f>
        <v>40</v>
      </c>
    </row>
    <row r="111" spans="7:9" ht="15" thickBot="1" x14ac:dyDescent="0.35">
      <c r="G111" s="124"/>
      <c r="H111" s="74" t="s">
        <v>150</v>
      </c>
      <c r="I111" s="72">
        <f>'Run mode-only Module Domains'!R7</f>
        <v>40</v>
      </c>
    </row>
    <row r="112" spans="7:9" ht="15" thickBot="1" x14ac:dyDescent="0.35">
      <c r="G112" s="75" t="s">
        <v>198</v>
      </c>
      <c r="H112" s="76" t="s">
        <v>157</v>
      </c>
      <c r="I112" s="77">
        <f>'Run mode-only Module Domains'!X7</f>
        <v>40</v>
      </c>
    </row>
    <row r="113" spans="7:9" x14ac:dyDescent="0.3">
      <c r="G113" s="122" t="s">
        <v>199</v>
      </c>
      <c r="H113" s="73" t="s">
        <v>150</v>
      </c>
      <c r="I113" s="71">
        <f>'Run mode-only Module Domains'!P7</f>
        <v>80</v>
      </c>
    </row>
    <row r="114" spans="7:9" ht="15" thickBot="1" x14ac:dyDescent="0.35">
      <c r="G114" s="124"/>
      <c r="H114" s="74" t="s">
        <v>200</v>
      </c>
      <c r="I114" s="72">
        <f>'Run mode-only Module Domains'!AD7</f>
        <v>0.128</v>
      </c>
    </row>
    <row r="115" spans="7:9" x14ac:dyDescent="0.3">
      <c r="G115" s="122" t="s">
        <v>201</v>
      </c>
      <c r="H115" s="73" t="s">
        <v>150</v>
      </c>
      <c r="I115" s="71">
        <f>'Run mode-only Module Domains'!M7</f>
        <v>80</v>
      </c>
    </row>
    <row r="116" spans="7:9" ht="15" thickBot="1" x14ac:dyDescent="0.35">
      <c r="G116" s="124"/>
      <c r="H116" s="74" t="s">
        <v>157</v>
      </c>
      <c r="I116" s="72">
        <f>'Run mode-only Module Domains'!M7</f>
        <v>80</v>
      </c>
    </row>
    <row r="117" spans="7:9" ht="15" thickBot="1" x14ac:dyDescent="0.35">
      <c r="G117" s="75" t="s">
        <v>202</v>
      </c>
      <c r="H117" s="76" t="s">
        <v>150</v>
      </c>
      <c r="I117" s="77">
        <f>'Run mode-only Module Domains'!T210</f>
        <v>80</v>
      </c>
    </row>
    <row r="118" spans="7:9" x14ac:dyDescent="0.3">
      <c r="G118" s="122" t="s">
        <v>203</v>
      </c>
      <c r="H118" s="73" t="s">
        <v>155</v>
      </c>
      <c r="I118" s="71">
        <f>'Run mode-only Module Domains'!AH210</f>
        <v>160</v>
      </c>
    </row>
    <row r="119" spans="7:9" x14ac:dyDescent="0.3">
      <c r="G119" s="123"/>
      <c r="H119" s="73" t="s">
        <v>190</v>
      </c>
      <c r="I119" s="71">
        <f>'Run mode-only Module Domains'!AH210</f>
        <v>160</v>
      </c>
    </row>
    <row r="120" spans="7:9" x14ac:dyDescent="0.3">
      <c r="G120" s="123"/>
      <c r="H120" s="73" t="s">
        <v>150</v>
      </c>
      <c r="I120" s="71">
        <f>'Run mode-only Module Domains'!P210</f>
        <v>80</v>
      </c>
    </row>
    <row r="121" spans="7:9" ht="15" thickBot="1" x14ac:dyDescent="0.35">
      <c r="G121" s="124"/>
      <c r="H121" s="74" t="s">
        <v>157</v>
      </c>
      <c r="I121" s="72">
        <f>'Run mode-only Module Domains'!P210</f>
        <v>80</v>
      </c>
    </row>
    <row r="122" spans="7:9" x14ac:dyDescent="0.3">
      <c r="G122" s="122" t="s">
        <v>204</v>
      </c>
      <c r="H122" s="73" t="s">
        <v>150</v>
      </c>
      <c r="I122" s="71">
        <f>'LP-Enabled Module Domain Set 0'!D9</f>
        <v>40</v>
      </c>
    </row>
    <row r="123" spans="7:9" ht="15" thickBot="1" x14ac:dyDescent="0.35">
      <c r="G123" s="124"/>
      <c r="H123" s="74" t="s">
        <v>157</v>
      </c>
      <c r="I123" s="72">
        <f>'LP-Enabled Module Domain Set 0'!D9</f>
        <v>40</v>
      </c>
    </row>
    <row r="124" spans="7:9" x14ac:dyDescent="0.3">
      <c r="G124" s="122" t="s">
        <v>205</v>
      </c>
      <c r="H124" s="73" t="s">
        <v>150</v>
      </c>
      <c r="I124" s="71">
        <f>'LP-Enabled Module Domain Set 0'!J4</f>
        <v>80</v>
      </c>
    </row>
    <row r="125" spans="7:9" ht="15" thickBot="1" x14ac:dyDescent="0.35">
      <c r="G125" s="124"/>
      <c r="H125" s="74" t="s">
        <v>174</v>
      </c>
      <c r="I125" s="72">
        <f>'LP-Enabled Module Domain Set 0'!D21</f>
        <v>80</v>
      </c>
    </row>
    <row r="126" spans="7:9" x14ac:dyDescent="0.3">
      <c r="G126" s="122" t="s">
        <v>206</v>
      </c>
      <c r="H126" s="73" t="s">
        <v>150</v>
      </c>
      <c r="I126" s="71">
        <f>'LP-Enabled Module Domain Set 0'!L4</f>
        <v>40</v>
      </c>
    </row>
    <row r="127" spans="7:9" ht="15" thickBot="1" x14ac:dyDescent="0.35">
      <c r="G127" s="124"/>
      <c r="H127" s="74" t="s">
        <v>207</v>
      </c>
      <c r="I127" s="72">
        <f>'LP-Enabled Module Domain Set 0'!F36</f>
        <v>40</v>
      </c>
    </row>
    <row r="128" spans="7:9" ht="15" thickBot="1" x14ac:dyDescent="0.35">
      <c r="G128" s="75" t="s">
        <v>208</v>
      </c>
      <c r="H128" s="76" t="s">
        <v>157</v>
      </c>
      <c r="I128" s="77">
        <f>'LP-Enabled Module Domain Set 0'!L4</f>
        <v>40</v>
      </c>
    </row>
    <row r="129" spans="7:9" x14ac:dyDescent="0.3">
      <c r="G129" s="122" t="s">
        <v>209</v>
      </c>
      <c r="H129" s="73" t="s">
        <v>157</v>
      </c>
      <c r="I129" s="71">
        <f>'LP-Enabled Module Domain Set 0'!L4</f>
        <v>40</v>
      </c>
    </row>
    <row r="130" spans="7:9" ht="15" thickBot="1" x14ac:dyDescent="0.35">
      <c r="G130" s="124"/>
      <c r="H130" s="74" t="s">
        <v>150</v>
      </c>
      <c r="I130" s="72">
        <f>'LP-Enabled Module Domain Set 0'!L4</f>
        <v>40</v>
      </c>
    </row>
    <row r="131" spans="7:9" x14ac:dyDescent="0.3">
      <c r="G131" s="122" t="s">
        <v>210</v>
      </c>
      <c r="H131" s="73" t="s">
        <v>157</v>
      </c>
      <c r="I131" s="71">
        <f>'LP-Enabled Module Domain Set 0'!L4</f>
        <v>40</v>
      </c>
    </row>
    <row r="132" spans="7:9" ht="15" thickBot="1" x14ac:dyDescent="0.35">
      <c r="G132" s="124"/>
      <c r="H132" s="74" t="s">
        <v>150</v>
      </c>
      <c r="I132" s="72">
        <f>'LP-Enabled Module Domain Set 0'!R4</f>
        <v>16</v>
      </c>
    </row>
    <row r="133" spans="7:9" x14ac:dyDescent="0.3">
      <c r="G133" s="122" t="s">
        <v>211</v>
      </c>
      <c r="H133" s="73" t="s">
        <v>157</v>
      </c>
      <c r="I133" s="71">
        <f>'LP-Enabled Module Domain Set 0'!L4</f>
        <v>40</v>
      </c>
    </row>
    <row r="134" spans="7:9" ht="15" thickBot="1" x14ac:dyDescent="0.35">
      <c r="G134" s="124"/>
      <c r="H134" s="74" t="s">
        <v>150</v>
      </c>
      <c r="I134" s="72">
        <f>'LP-Enabled Module Domain Set 0'!L4</f>
        <v>40</v>
      </c>
    </row>
    <row r="135" spans="7:9" x14ac:dyDescent="0.3">
      <c r="G135" s="122" t="s">
        <v>212</v>
      </c>
      <c r="H135" s="73" t="s">
        <v>150</v>
      </c>
      <c r="I135" s="71">
        <f>'LP-Enabled Module Domain Set 0'!L4</f>
        <v>40</v>
      </c>
    </row>
    <row r="136" spans="7:9" ht="15" thickBot="1" x14ac:dyDescent="0.35">
      <c r="G136" s="124"/>
      <c r="H136" s="74" t="s">
        <v>200</v>
      </c>
      <c r="I136" s="72">
        <f>'LP-Enabled Module Domain Set 0'!N4</f>
        <v>0.128</v>
      </c>
    </row>
    <row r="137" spans="7:9" x14ac:dyDescent="0.3">
      <c r="G137" s="122" t="s">
        <v>213</v>
      </c>
      <c r="H137" s="73" t="s">
        <v>157</v>
      </c>
      <c r="I137" s="71">
        <f>'LP-Enabled Module Domain Set 0'!L4</f>
        <v>40</v>
      </c>
    </row>
    <row r="138" spans="7:9" ht="15" thickBot="1" x14ac:dyDescent="0.35">
      <c r="G138" s="124"/>
      <c r="H138" s="74" t="s">
        <v>150</v>
      </c>
      <c r="I138" s="72">
        <f>'LP-Enabled Module Domain Set 0'!L4</f>
        <v>40</v>
      </c>
    </row>
    <row r="139" spans="7:9" x14ac:dyDescent="0.3">
      <c r="G139" s="122" t="s">
        <v>214</v>
      </c>
      <c r="H139" s="73" t="s">
        <v>157</v>
      </c>
      <c r="I139" s="71">
        <f>'LP-Enabled Module Domain Set 0'!L4</f>
        <v>40</v>
      </c>
    </row>
    <row r="140" spans="7:9" ht="15" thickBot="1" x14ac:dyDescent="0.35">
      <c r="G140" s="124"/>
      <c r="H140" s="74" t="s">
        <v>150</v>
      </c>
      <c r="I140" s="72">
        <f>'LP-Enabled Module Domain Set 0'!L4</f>
        <v>40</v>
      </c>
    </row>
    <row r="141" spans="7:9" x14ac:dyDescent="0.3">
      <c r="G141" s="122" t="s">
        <v>215</v>
      </c>
      <c r="H141" s="73" t="s">
        <v>157</v>
      </c>
      <c r="I141" s="71">
        <f>'LP-Enabled Module Domain Set 0'!L4</f>
        <v>40</v>
      </c>
    </row>
    <row r="142" spans="7:9" ht="15" thickBot="1" x14ac:dyDescent="0.35">
      <c r="G142" s="124"/>
      <c r="H142" s="74" t="s">
        <v>150</v>
      </c>
      <c r="I142" s="72">
        <f>'LP-Enabled Module Domain Set 0'!L4</f>
        <v>40</v>
      </c>
    </row>
    <row r="143" spans="7:9" x14ac:dyDescent="0.3">
      <c r="G143" s="122" t="s">
        <v>216</v>
      </c>
      <c r="H143" s="73" t="s">
        <v>157</v>
      </c>
      <c r="I143" s="71">
        <f>'LP-Enabled Module Domain Set 0'!L4</f>
        <v>40</v>
      </c>
    </row>
    <row r="144" spans="7:9" ht="15" thickBot="1" x14ac:dyDescent="0.35">
      <c r="G144" s="124"/>
      <c r="H144" s="74" t="s">
        <v>150</v>
      </c>
      <c r="I144" s="72">
        <f>'LP-Enabled Module Domain Set 0'!L4</f>
        <v>40</v>
      </c>
    </row>
    <row r="145" spans="7:9" ht="15" thickBot="1" x14ac:dyDescent="0.35">
      <c r="G145" s="75" t="s">
        <v>217</v>
      </c>
      <c r="H145" s="76" t="s">
        <v>150</v>
      </c>
      <c r="I145" s="77">
        <f>'LP-Enabled Module Domain Set 0'!X110</f>
        <v>160</v>
      </c>
    </row>
    <row r="146" spans="7:9" x14ac:dyDescent="0.3">
      <c r="G146" s="122" t="s">
        <v>218</v>
      </c>
      <c r="H146" s="73" t="s">
        <v>219</v>
      </c>
      <c r="I146" s="71">
        <f>'LP-Enabled Module Domain Set 0'!$R$110</f>
        <v>16</v>
      </c>
    </row>
    <row r="147" spans="7:9" ht="15" thickBot="1" x14ac:dyDescent="0.35">
      <c r="G147" s="124"/>
      <c r="H147" s="74" t="s">
        <v>220</v>
      </c>
      <c r="I147" s="72">
        <f>'LP-Enabled Module Domain Set 0'!$L$110</f>
        <v>40</v>
      </c>
    </row>
    <row r="148" spans="7:9" ht="15" thickBot="1" x14ac:dyDescent="0.35">
      <c r="G148" s="75" t="s">
        <v>221</v>
      </c>
      <c r="H148" s="76" t="s">
        <v>130</v>
      </c>
      <c r="I148" s="77">
        <f>'LP-Enabled Module Domain Set 0'!$AX$83</f>
        <v>160</v>
      </c>
    </row>
    <row r="149" spans="7:9" x14ac:dyDescent="0.3">
      <c r="G149" s="122" t="s">
        <v>222</v>
      </c>
      <c r="H149" s="73" t="s">
        <v>146</v>
      </c>
      <c r="I149" s="71">
        <f>'LP-Enabled Module Domain Set 1'!E6</f>
        <v>80</v>
      </c>
    </row>
    <row r="150" spans="7:9" ht="15" thickBot="1" x14ac:dyDescent="0.35">
      <c r="G150" s="124"/>
      <c r="H150" s="74" t="s">
        <v>223</v>
      </c>
      <c r="I150" s="72">
        <f>'LP-Enabled Module Domain Set 1'!E10</f>
        <v>40</v>
      </c>
    </row>
    <row r="151" spans="7:9" x14ac:dyDescent="0.3">
      <c r="G151" s="122" t="s">
        <v>224</v>
      </c>
      <c r="H151" s="73" t="s">
        <v>150</v>
      </c>
      <c r="I151" s="71">
        <f>'LP-Enabled Module Domain Set 1'!I22</f>
        <v>20</v>
      </c>
    </row>
    <row r="152" spans="7:9" ht="15" thickBot="1" x14ac:dyDescent="0.35">
      <c r="G152" s="124"/>
      <c r="H152" s="74" t="s">
        <v>152</v>
      </c>
      <c r="I152" s="72">
        <f>'LP-Enabled Module Domain Set 1'!I25</f>
        <v>40</v>
      </c>
    </row>
    <row r="153" spans="7:9" x14ac:dyDescent="0.3">
      <c r="G153" s="122" t="s">
        <v>225</v>
      </c>
      <c r="H153" s="73" t="s">
        <v>157</v>
      </c>
      <c r="I153" s="71">
        <f>'LP-Enabled Module Domain Set 1'!I30</f>
        <v>40</v>
      </c>
    </row>
    <row r="154" spans="7:9" x14ac:dyDescent="0.3">
      <c r="G154" s="123"/>
      <c r="H154" s="73" t="s">
        <v>150</v>
      </c>
      <c r="I154" s="71">
        <f>'LP-Enabled Module Domain Set 1'!I30</f>
        <v>40</v>
      </c>
    </row>
    <row r="155" spans="7:9" ht="15" thickBot="1" x14ac:dyDescent="0.35">
      <c r="G155" s="124"/>
      <c r="H155" s="74" t="s">
        <v>165</v>
      </c>
      <c r="I155" s="72">
        <f>'LP-Enabled Module Domain Set 1'!I33</f>
        <v>40</v>
      </c>
    </row>
    <row r="156" spans="7:9" ht="15" thickBot="1" x14ac:dyDescent="0.35">
      <c r="G156" s="75" t="s">
        <v>226</v>
      </c>
      <c r="H156" s="76" t="s">
        <v>157</v>
      </c>
      <c r="I156" s="77">
        <f>'LP-Enabled Module Domain Set 1'!Y3</f>
        <v>40</v>
      </c>
    </row>
    <row r="157" spans="7:9" x14ac:dyDescent="0.3">
      <c r="G157" s="122" t="s">
        <v>227</v>
      </c>
      <c r="H157" s="73" t="s">
        <v>150</v>
      </c>
      <c r="I157" s="71">
        <f>'LP-Enabled Module Domain Set 1'!U3</f>
        <v>40</v>
      </c>
    </row>
    <row r="158" spans="7:9" ht="15" thickBot="1" x14ac:dyDescent="0.35">
      <c r="G158" s="124"/>
      <c r="H158" s="74" t="s">
        <v>157</v>
      </c>
      <c r="I158" s="72">
        <f>'LP-Enabled Module Domain Set 1'!U3</f>
        <v>40</v>
      </c>
    </row>
    <row r="159" spans="7:9" ht="15" thickBot="1" x14ac:dyDescent="0.35">
      <c r="G159" s="75" t="s">
        <v>228</v>
      </c>
      <c r="H159" s="76" t="s">
        <v>130</v>
      </c>
      <c r="I159" s="77">
        <f>'LP-Enabled Module Domain Set 1'!F54</f>
        <v>80</v>
      </c>
    </row>
    <row r="160" spans="7:9" ht="15" thickBot="1" x14ac:dyDescent="0.35">
      <c r="G160" s="75" t="s">
        <v>229</v>
      </c>
      <c r="H160" s="76" t="s">
        <v>150</v>
      </c>
      <c r="I160" s="77">
        <f>'LP-Enabled Module Domain Set 1'!AC3</f>
        <v>160</v>
      </c>
    </row>
    <row r="161" spans="7:9" ht="15" thickBot="1" x14ac:dyDescent="0.35">
      <c r="G161" s="75" t="s">
        <v>230</v>
      </c>
      <c r="H161" s="76" t="s">
        <v>150</v>
      </c>
      <c r="I161" s="77">
        <f>'LP-Enabled Module Domain Set 1'!AC3</f>
        <v>160</v>
      </c>
    </row>
    <row r="162" spans="7:9" ht="15" thickBot="1" x14ac:dyDescent="0.35">
      <c r="G162" s="78" t="s">
        <v>231</v>
      </c>
      <c r="H162" s="76" t="s">
        <v>150</v>
      </c>
      <c r="I162" s="77">
        <f>'LP-Enabled Module Domain Set 1'!AC92</f>
        <v>160</v>
      </c>
    </row>
    <row r="163" spans="7:9" ht="15" thickBot="1" x14ac:dyDescent="0.35">
      <c r="G163" s="78" t="s">
        <v>232</v>
      </c>
      <c r="H163" s="76" t="s">
        <v>150</v>
      </c>
      <c r="I163" s="77">
        <f>'LP-Enabled Module Domain Set 1'!S92</f>
        <v>80</v>
      </c>
    </row>
    <row r="164" spans="7:9" x14ac:dyDescent="0.3">
      <c r="G164" s="122" t="s">
        <v>233</v>
      </c>
      <c r="H164" s="73" t="s">
        <v>219</v>
      </c>
      <c r="I164" s="71">
        <f>'LP-Enabled Module Domain Set 1'!Y92</f>
        <v>40</v>
      </c>
    </row>
    <row r="165" spans="7:9" ht="15" thickBot="1" x14ac:dyDescent="0.35">
      <c r="G165" s="124"/>
      <c r="H165" s="74" t="s">
        <v>220</v>
      </c>
      <c r="I165" s="72">
        <f>'LP-Enabled Module Domain Set 1'!H81</f>
        <v>0</v>
      </c>
    </row>
    <row r="166" spans="7:9" x14ac:dyDescent="0.3">
      <c r="G166" s="122" t="s">
        <v>234</v>
      </c>
      <c r="H166" s="73" t="s">
        <v>219</v>
      </c>
      <c r="I166" s="71">
        <f>'LP-Enabled Module Domain Set 1'!Y92</f>
        <v>40</v>
      </c>
    </row>
    <row r="167" spans="7:9" ht="15" thickBot="1" x14ac:dyDescent="0.35">
      <c r="G167" s="124"/>
      <c r="H167" s="74" t="s">
        <v>220</v>
      </c>
      <c r="I167" s="72">
        <f>'LP-Enabled Module Domain Set 1'!H81</f>
        <v>0</v>
      </c>
    </row>
    <row r="168" spans="7:9" x14ac:dyDescent="0.3">
      <c r="G168" s="122" t="s">
        <v>235</v>
      </c>
      <c r="H168" s="73" t="s">
        <v>157</v>
      </c>
      <c r="I168" s="71">
        <f>'LP-Enabled Module Domain Set 1'!AI8</f>
        <v>80</v>
      </c>
    </row>
    <row r="169" spans="7:9" ht="15" thickBot="1" x14ac:dyDescent="0.35">
      <c r="G169" s="124"/>
      <c r="H169" s="74" t="s">
        <v>150</v>
      </c>
      <c r="I169" s="72">
        <f>'LP-Enabled Module Domain Set 1'!AI8</f>
        <v>80</v>
      </c>
    </row>
    <row r="170" spans="7:9" ht="15" thickBot="1" x14ac:dyDescent="0.35">
      <c r="G170" s="75" t="s">
        <v>236</v>
      </c>
      <c r="H170" s="76" t="s">
        <v>150</v>
      </c>
      <c r="I170" s="77">
        <f>'LP-Enabled Module Domain Set 1'!AI16</f>
        <v>80</v>
      </c>
    </row>
    <row r="171" spans="7:9" x14ac:dyDescent="0.3">
      <c r="G171" s="122" t="s">
        <v>237</v>
      </c>
      <c r="H171" s="73" t="s">
        <v>157</v>
      </c>
      <c r="I171" s="71">
        <f>'LP-Enabled Module Domain Set 1'!AI25</f>
        <v>80</v>
      </c>
    </row>
    <row r="172" spans="7:9" ht="15" thickBot="1" x14ac:dyDescent="0.35">
      <c r="G172" s="124"/>
      <c r="H172" s="74" t="s">
        <v>150</v>
      </c>
      <c r="I172" s="72">
        <f>'LP-Enabled Module Domain Set 1'!AI25</f>
        <v>80</v>
      </c>
    </row>
    <row r="173" spans="7:9" ht="15" thickBot="1" x14ac:dyDescent="0.35">
      <c r="G173" s="75" t="s">
        <v>238</v>
      </c>
      <c r="H173" s="76" t="s">
        <v>157</v>
      </c>
      <c r="I173" s="77">
        <f>'LP-Enabled Module Domain Set 1'!AL35</f>
        <v>80</v>
      </c>
    </row>
    <row r="174" spans="7:9" ht="15" thickBot="1" x14ac:dyDescent="0.35">
      <c r="G174" s="75" t="s">
        <v>239</v>
      </c>
      <c r="H174" s="76" t="s">
        <v>150</v>
      </c>
      <c r="I174" s="77">
        <f>'LP-Enabled Module Domain Set 1'!AA92</f>
        <v>80</v>
      </c>
    </row>
    <row r="175" spans="7:9" x14ac:dyDescent="0.3">
      <c r="G175" s="122" t="s">
        <v>240</v>
      </c>
      <c r="H175" s="73" t="s">
        <v>155</v>
      </c>
      <c r="I175" s="71">
        <f>'LP-Enabled Module Domain Set 1'!S92</f>
        <v>80</v>
      </c>
    </row>
    <row r="176" spans="7:9" ht="15" thickBot="1" x14ac:dyDescent="0.35">
      <c r="G176" s="124"/>
      <c r="H176" s="74" t="s">
        <v>157</v>
      </c>
      <c r="I176" s="72">
        <f>'LP-Enabled Module Domain Set 1'!S92</f>
        <v>80</v>
      </c>
    </row>
    <row r="177" spans="7:9" x14ac:dyDescent="0.3">
      <c r="G177" s="122" t="s">
        <v>203</v>
      </c>
      <c r="H177" s="73" t="s">
        <v>155</v>
      </c>
      <c r="I177" s="71">
        <f>'LP-Enabled Module Domain Set 1'!AC92</f>
        <v>160</v>
      </c>
    </row>
    <row r="178" spans="7:9" x14ac:dyDescent="0.3">
      <c r="G178" s="123"/>
      <c r="H178" s="73" t="s">
        <v>190</v>
      </c>
      <c r="I178" s="71">
        <f>'LP-Enabled Module Domain Set 1'!AC92</f>
        <v>160</v>
      </c>
    </row>
    <row r="179" spans="7:9" x14ac:dyDescent="0.3">
      <c r="G179" s="123"/>
      <c r="H179" s="73" t="s">
        <v>150</v>
      </c>
      <c r="I179" s="71">
        <f>'LP-Enabled Module Domain Set 1'!AA92</f>
        <v>80</v>
      </c>
    </row>
    <row r="180" spans="7:9" ht="15" thickBot="1" x14ac:dyDescent="0.35">
      <c r="G180" s="124"/>
      <c r="H180" s="74" t="s">
        <v>157</v>
      </c>
      <c r="I180" s="72">
        <f>'LP-Enabled Module Domain Set 1'!AA92</f>
        <v>80</v>
      </c>
    </row>
    <row r="181" spans="7:9" ht="15" thickBot="1" x14ac:dyDescent="0.35">
      <c r="G181" s="75" t="s">
        <v>241</v>
      </c>
      <c r="H181" s="76" t="s">
        <v>150</v>
      </c>
      <c r="I181" s="77">
        <f>'LP-Enabled Module Domain Set 1'!AC92</f>
        <v>160</v>
      </c>
    </row>
    <row r="182" spans="7:9" ht="15" thickBot="1" x14ac:dyDescent="0.35">
      <c r="G182" s="75" t="s">
        <v>242</v>
      </c>
      <c r="H182" s="76" t="s">
        <v>150</v>
      </c>
      <c r="I182" s="77">
        <f>'LP-Enabled Module Domain Set 1'!AC92</f>
        <v>160</v>
      </c>
    </row>
    <row r="183" spans="7:9" x14ac:dyDescent="0.3">
      <c r="G183" s="122" t="s">
        <v>243</v>
      </c>
      <c r="H183" s="73" t="s">
        <v>244</v>
      </c>
      <c r="I183" s="71">
        <f>'ENET Clocking'!E7</f>
        <v>50</v>
      </c>
    </row>
    <row r="184" spans="7:9" x14ac:dyDescent="0.3">
      <c r="G184" s="125"/>
      <c r="H184" s="73" t="s">
        <v>245</v>
      </c>
      <c r="I184" s="71">
        <f>'ENET Clocking'!K16</f>
        <v>50</v>
      </c>
    </row>
    <row r="185" spans="7:9" x14ac:dyDescent="0.3">
      <c r="G185" s="125"/>
      <c r="H185" s="73" t="s">
        <v>246</v>
      </c>
      <c r="I185" s="71">
        <f>'ENET Clocking'!K16</f>
        <v>50</v>
      </c>
    </row>
    <row r="186" spans="7:9" x14ac:dyDescent="0.3">
      <c r="G186" s="125"/>
      <c r="H186" s="73" t="s">
        <v>247</v>
      </c>
      <c r="I186" s="71">
        <f>'ENET Clocking'!B7</f>
        <v>40</v>
      </c>
    </row>
    <row r="187" spans="7:9" x14ac:dyDescent="0.3">
      <c r="G187" s="125"/>
      <c r="H187" s="73" t="s">
        <v>150</v>
      </c>
      <c r="I187" s="71">
        <f>'ENET Clocking'!B7</f>
        <v>40</v>
      </c>
    </row>
    <row r="188" spans="7:9" x14ac:dyDescent="0.3">
      <c r="G188" s="125"/>
      <c r="H188" s="73" t="s">
        <v>248</v>
      </c>
      <c r="I188" s="71">
        <f>'ENET Clocking'!C7</f>
        <v>80</v>
      </c>
    </row>
    <row r="189" spans="7:9" x14ac:dyDescent="0.3">
      <c r="G189" s="125"/>
      <c r="H189" s="73" t="s">
        <v>253</v>
      </c>
      <c r="I189" s="71">
        <f>'ENET Clocking'!C7</f>
        <v>80</v>
      </c>
    </row>
    <row r="190" spans="7:9" x14ac:dyDescent="0.3">
      <c r="G190" s="125"/>
      <c r="H190" s="73" t="s">
        <v>249</v>
      </c>
      <c r="I190" s="71">
        <f>'ENET Clocking'!$E$7</f>
        <v>50</v>
      </c>
    </row>
    <row r="191" spans="7:9" x14ac:dyDescent="0.3">
      <c r="G191" s="125"/>
      <c r="H191" s="73" t="s">
        <v>254</v>
      </c>
      <c r="I191" s="71">
        <f>'ENET Clocking'!$I$31</f>
        <v>25</v>
      </c>
    </row>
    <row r="192" spans="7:9" x14ac:dyDescent="0.3">
      <c r="G192" s="125"/>
      <c r="H192" s="73" t="s">
        <v>250</v>
      </c>
      <c r="I192" s="71">
        <f>'ENET Clocking'!$I$33</f>
        <v>160</v>
      </c>
    </row>
    <row r="193" spans="7:9" x14ac:dyDescent="0.3">
      <c r="G193" s="125"/>
      <c r="H193" s="73" t="s">
        <v>251</v>
      </c>
      <c r="I193" s="71">
        <f>'ENET Clocking'!$I$36</f>
        <v>25</v>
      </c>
    </row>
    <row r="194" spans="7:9" ht="15" thickBot="1" x14ac:dyDescent="0.35">
      <c r="G194" s="126"/>
      <c r="H194" s="79" t="s">
        <v>252</v>
      </c>
      <c r="I194" s="80">
        <f>'ENET Clocking'!$I$37</f>
        <v>25</v>
      </c>
    </row>
    <row r="195" spans="7:9" ht="15" thickTop="1" x14ac:dyDescent="0.3"/>
  </sheetData>
  <mergeCells count="52">
    <mergeCell ref="G171:G172"/>
    <mergeCell ref="G175:G176"/>
    <mergeCell ref="G177:G180"/>
    <mergeCell ref="G151:G152"/>
    <mergeCell ref="G153:G155"/>
    <mergeCell ref="G157:G158"/>
    <mergeCell ref="G164:G165"/>
    <mergeCell ref="G166:G167"/>
    <mergeCell ref="G168:G169"/>
    <mergeCell ref="G149:G150"/>
    <mergeCell ref="G124:G125"/>
    <mergeCell ref="G126:G127"/>
    <mergeCell ref="G129:G130"/>
    <mergeCell ref="G131:G132"/>
    <mergeCell ref="G133:G134"/>
    <mergeCell ref="G135:G136"/>
    <mergeCell ref="G137:G138"/>
    <mergeCell ref="G139:G140"/>
    <mergeCell ref="G141:G142"/>
    <mergeCell ref="G143:G144"/>
    <mergeCell ref="G146:G147"/>
    <mergeCell ref="G74:G75"/>
    <mergeCell ref="G76:G77"/>
    <mergeCell ref="G82:G83"/>
    <mergeCell ref="G122:G123"/>
    <mergeCell ref="G87:G90"/>
    <mergeCell ref="G92:G93"/>
    <mergeCell ref="G94:G99"/>
    <mergeCell ref="G100:G101"/>
    <mergeCell ref="G102:G105"/>
    <mergeCell ref="G106:G107"/>
    <mergeCell ref="G108:G109"/>
    <mergeCell ref="G110:G111"/>
    <mergeCell ref="G113:G114"/>
    <mergeCell ref="G115:G116"/>
    <mergeCell ref="G118:G121"/>
    <mergeCell ref="G37:G42"/>
    <mergeCell ref="G183:G194"/>
    <mergeCell ref="G8:G26"/>
    <mergeCell ref="G27:G28"/>
    <mergeCell ref="G30:G31"/>
    <mergeCell ref="G32:G33"/>
    <mergeCell ref="G34:G36"/>
    <mergeCell ref="G85:G86"/>
    <mergeCell ref="G43:G48"/>
    <mergeCell ref="G49:G54"/>
    <mergeCell ref="G55:G57"/>
    <mergeCell ref="G58:G60"/>
    <mergeCell ref="G61:G63"/>
    <mergeCell ref="G64:G66"/>
    <mergeCell ref="G68:G71"/>
    <mergeCell ref="G72:G73"/>
  </mergeCells>
  <dataValidations count="1">
    <dataValidation allowBlank="1" showInputMessage="1" showErrorMessage="1" promptTitle="Note" prompt="LPU_MDIS has 3 bits for CMP0, CMP1, and CMP2, respectively. This tool only has 1 block representing all three instances. When CMPn LPU Enable block is 1, this tool sets all three associated bits." sqref="B20 H17:I17" xr:uid="{00000000-0002-0000-0B00-000000000000}"/>
  </dataValidations>
  <pageMargins left="0.7" right="0.7" top="0.75" bottom="0.75" header="0.3" footer="0.3"/>
  <pageSetup orientation="portrait" r:id="rId1"/>
  <ignoredErrors>
    <ignoredError sqref="I33 I57 I87 I84 I63 I6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_CopyClock">
                <anchor moveWithCells="1" sizeWithCells="1">
                  <from>
                    <xdr:col>15</xdr:col>
                    <xdr:colOff>518160</xdr:colOff>
                    <xdr:row>3</xdr:row>
                    <xdr:rowOff>60960</xdr:rowOff>
                  </from>
                  <to>
                    <xdr:col>17</xdr:col>
                    <xdr:colOff>579120</xdr:colOff>
                    <xdr:row>5</xdr:row>
                    <xdr:rowOff>60960</xdr:rowOff>
                  </to>
                </anchor>
              </controlPr>
            </control>
          </mc:Choice>
        </mc:AlternateContent>
        <mc:AlternateContent xmlns:mc="http://schemas.openxmlformats.org/markup-compatibility/2006">
          <mc:Choice Requires="x14">
            <control shapeId="12290" r:id="rId5" name="Button 2">
              <controlPr defaultSize="0" print="0" autoFill="0" autoPict="0" macro="[0]!Button_CopyPeriClkGen">
                <anchor moveWithCells="1" sizeWithCells="1">
                  <from>
                    <xdr:col>15</xdr:col>
                    <xdr:colOff>327660</xdr:colOff>
                    <xdr:row>54</xdr:row>
                    <xdr:rowOff>175260</xdr:rowOff>
                  </from>
                  <to>
                    <xdr:col>17</xdr:col>
                    <xdr:colOff>533400</xdr:colOff>
                    <xdr:row>57</xdr:row>
                    <xdr:rowOff>45720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2:Q358"/>
  <sheetViews>
    <sheetView topLeftCell="A41" zoomScaleNormal="100" workbookViewId="0">
      <selection activeCell="I156" sqref="I156"/>
    </sheetView>
  </sheetViews>
  <sheetFormatPr defaultRowHeight="14.4" x14ac:dyDescent="0.3"/>
  <cols>
    <col min="1" max="1" width="35" bestFit="1" customWidth="1"/>
    <col min="2" max="2" width="10.44140625" bestFit="1" customWidth="1"/>
    <col min="3" max="3" width="8.6640625" customWidth="1"/>
    <col min="4" max="4" width="8.33203125" customWidth="1"/>
    <col min="5" max="5" width="9" customWidth="1"/>
  </cols>
  <sheetData>
    <row r="2" spans="1:4" x14ac:dyDescent="0.3">
      <c r="A2" s="128" t="s">
        <v>8</v>
      </c>
      <c r="B2" s="129"/>
    </row>
    <row r="3" spans="1:4" x14ac:dyDescent="0.3">
      <c r="A3" s="27" t="s">
        <v>21</v>
      </c>
      <c r="B3" s="28">
        <v>8</v>
      </c>
    </row>
    <row r="4" spans="1:4" x14ac:dyDescent="0.3">
      <c r="A4" s="26" t="s">
        <v>22</v>
      </c>
      <c r="B4" s="30">
        <v>40</v>
      </c>
    </row>
    <row r="5" spans="1:4" ht="15" customHeight="1" x14ac:dyDescent="0.3">
      <c r="A5" s="27" t="s">
        <v>19</v>
      </c>
      <c r="B5" s="29">
        <v>600</v>
      </c>
      <c r="D5" s="21"/>
    </row>
    <row r="6" spans="1:4" x14ac:dyDescent="0.3">
      <c r="A6" s="26" t="s">
        <v>20</v>
      </c>
      <c r="B6" s="30">
        <v>1280</v>
      </c>
      <c r="D6" s="21"/>
    </row>
    <row r="7" spans="1:4" x14ac:dyDescent="0.3">
      <c r="A7" s="27" t="s">
        <v>23</v>
      </c>
      <c r="B7" s="29">
        <v>0</v>
      </c>
      <c r="D7" s="21"/>
    </row>
    <row r="8" spans="1:4" x14ac:dyDescent="0.3">
      <c r="A8" s="26" t="s">
        <v>24</v>
      </c>
      <c r="B8" s="30">
        <v>160</v>
      </c>
      <c r="D8" s="21"/>
    </row>
    <row r="9" spans="1:4" x14ac:dyDescent="0.3">
      <c r="A9" s="27" t="s">
        <v>25</v>
      </c>
      <c r="B9" s="29">
        <v>0</v>
      </c>
      <c r="D9" s="21"/>
    </row>
    <row r="10" spans="1:4" x14ac:dyDescent="0.3">
      <c r="A10" s="26" t="s">
        <v>26</v>
      </c>
      <c r="B10" s="30">
        <v>80</v>
      </c>
      <c r="D10" s="21"/>
    </row>
    <row r="11" spans="1:4" x14ac:dyDescent="0.3">
      <c r="D11" s="8"/>
    </row>
    <row r="12" spans="1:4" x14ac:dyDescent="0.3">
      <c r="D12" s="8"/>
    </row>
    <row r="16" spans="1:4" ht="15" thickBot="1" x14ac:dyDescent="0.35"/>
    <row r="17" spans="1:5" x14ac:dyDescent="0.3">
      <c r="A17" s="31" t="s">
        <v>9</v>
      </c>
      <c r="B17" s="32" t="s">
        <v>10</v>
      </c>
      <c r="D17" s="53"/>
      <c r="E17" s="53"/>
    </row>
    <row r="18" spans="1:5" x14ac:dyDescent="0.3">
      <c r="A18" s="19" t="s">
        <v>34</v>
      </c>
      <c r="B18" s="23">
        <v>160</v>
      </c>
      <c r="D18" s="9"/>
      <c r="E18" s="9"/>
    </row>
    <row r="19" spans="1:5" x14ac:dyDescent="0.3">
      <c r="A19" s="19" t="s">
        <v>35</v>
      </c>
      <c r="B19" s="23">
        <v>160</v>
      </c>
      <c r="D19" s="9"/>
      <c r="E19" s="9"/>
    </row>
    <row r="20" spans="1:5" x14ac:dyDescent="0.3">
      <c r="A20" s="19" t="s">
        <v>36</v>
      </c>
      <c r="B20" s="23">
        <v>80</v>
      </c>
      <c r="D20" s="9"/>
      <c r="E20" s="9"/>
    </row>
    <row r="21" spans="1:5" x14ac:dyDescent="0.3">
      <c r="A21" s="19" t="s">
        <v>37</v>
      </c>
      <c r="B21" s="23">
        <v>80</v>
      </c>
      <c r="D21" s="9"/>
      <c r="E21" s="9"/>
    </row>
    <row r="22" spans="1:5" x14ac:dyDescent="0.3">
      <c r="A22" s="19" t="s">
        <v>38</v>
      </c>
      <c r="B22" s="23">
        <v>40</v>
      </c>
      <c r="D22" s="9"/>
      <c r="E22" s="9"/>
    </row>
    <row r="23" spans="1:5" x14ac:dyDescent="0.3">
      <c r="A23" s="19" t="s">
        <v>39</v>
      </c>
      <c r="B23" s="23">
        <v>40</v>
      </c>
      <c r="D23" s="9"/>
      <c r="E23" s="9"/>
    </row>
    <row r="24" spans="1:5" x14ac:dyDescent="0.3">
      <c r="A24" s="19" t="s">
        <v>40</v>
      </c>
      <c r="B24" s="23">
        <v>80</v>
      </c>
      <c r="D24" s="9"/>
      <c r="E24" s="9"/>
    </row>
    <row r="25" spans="1:5" x14ac:dyDescent="0.3">
      <c r="A25" s="19" t="s">
        <v>41</v>
      </c>
      <c r="B25" s="23">
        <v>20</v>
      </c>
      <c r="D25" s="9"/>
      <c r="E25" s="9"/>
    </row>
    <row r="26" spans="1:5" x14ac:dyDescent="0.3">
      <c r="A26" s="19" t="s">
        <v>43</v>
      </c>
      <c r="B26" s="23">
        <v>40</v>
      </c>
      <c r="D26" s="9"/>
      <c r="E26" s="9"/>
    </row>
    <row r="27" spans="1:5" x14ac:dyDescent="0.3">
      <c r="A27" s="19" t="s">
        <v>44</v>
      </c>
      <c r="B27" s="23">
        <v>40</v>
      </c>
      <c r="D27" s="9"/>
      <c r="E27" s="9"/>
    </row>
    <row r="28" spans="1:5" x14ac:dyDescent="0.3">
      <c r="A28" s="19" t="s">
        <v>46</v>
      </c>
      <c r="B28" s="23">
        <v>80</v>
      </c>
      <c r="D28" s="9"/>
      <c r="E28" s="9"/>
    </row>
    <row r="29" spans="1:5" x14ac:dyDescent="0.3">
      <c r="A29" s="19" t="s">
        <v>47</v>
      </c>
      <c r="B29" s="23">
        <v>50</v>
      </c>
      <c r="D29" s="9"/>
      <c r="E29" s="9"/>
    </row>
    <row r="30" spans="1:5" ht="15" thickBot="1" x14ac:dyDescent="0.35">
      <c r="A30" s="20" t="s">
        <v>48</v>
      </c>
      <c r="B30" s="24">
        <v>40</v>
      </c>
      <c r="D30" s="9"/>
      <c r="E30" s="9"/>
    </row>
    <row r="31" spans="1:5" ht="15" thickBot="1" x14ac:dyDescent="0.35"/>
    <row r="32" spans="1:5" ht="15" thickBot="1" x14ac:dyDescent="0.35">
      <c r="A32" s="57" t="s">
        <v>9</v>
      </c>
      <c r="B32" s="58" t="s">
        <v>45</v>
      </c>
    </row>
    <row r="33" spans="1:5" x14ac:dyDescent="0.3">
      <c r="A33" s="59" t="s">
        <v>50</v>
      </c>
      <c r="B33" s="60">
        <v>50</v>
      </c>
    </row>
    <row r="34" spans="1:5" ht="15" thickBot="1" x14ac:dyDescent="0.35">
      <c r="A34" s="20" t="s">
        <v>49</v>
      </c>
      <c r="B34" s="24">
        <v>1</v>
      </c>
    </row>
    <row r="38" spans="1:5" ht="15" thickBot="1" x14ac:dyDescent="0.35"/>
    <row r="39" spans="1:5" ht="15" thickBot="1" x14ac:dyDescent="0.35">
      <c r="A39" s="81" t="s">
        <v>255</v>
      </c>
      <c r="B39" s="82"/>
      <c r="C39" s="83"/>
      <c r="D39" s="83"/>
      <c r="E39" s="84"/>
    </row>
    <row r="40" spans="1:5" x14ac:dyDescent="0.3">
      <c r="A40" s="23">
        <v>0</v>
      </c>
      <c r="B40" s="85" t="s">
        <v>256</v>
      </c>
      <c r="C40" s="86" t="s">
        <v>264</v>
      </c>
      <c r="D40" s="86" t="s">
        <v>272</v>
      </c>
      <c r="E40" s="87" t="s">
        <v>280</v>
      </c>
    </row>
    <row r="41" spans="1:5" x14ac:dyDescent="0.3">
      <c r="A41" s="23">
        <v>1</v>
      </c>
      <c r="B41" s="88" t="s">
        <v>257</v>
      </c>
      <c r="C41" s="89" t="s">
        <v>265</v>
      </c>
      <c r="D41" s="89" t="s">
        <v>273</v>
      </c>
      <c r="E41" s="90" t="s">
        <v>281</v>
      </c>
    </row>
    <row r="42" spans="1:5" x14ac:dyDescent="0.3">
      <c r="A42" s="23">
        <v>2</v>
      </c>
      <c r="B42" s="88" t="s">
        <v>258</v>
      </c>
      <c r="C42" s="89" t="s">
        <v>266</v>
      </c>
      <c r="D42" s="89" t="s">
        <v>274</v>
      </c>
      <c r="E42" s="90" t="s">
        <v>282</v>
      </c>
    </row>
    <row r="43" spans="1:5" x14ac:dyDescent="0.3">
      <c r="A43" s="23">
        <v>3</v>
      </c>
      <c r="B43" s="88" t="s">
        <v>259</v>
      </c>
      <c r="C43" s="89" t="s">
        <v>267</v>
      </c>
      <c r="D43" s="89" t="s">
        <v>275</v>
      </c>
      <c r="E43" s="90" t="s">
        <v>283</v>
      </c>
    </row>
    <row r="44" spans="1:5" x14ac:dyDescent="0.3">
      <c r="A44" s="23">
        <v>4</v>
      </c>
      <c r="B44" s="88" t="s">
        <v>260</v>
      </c>
      <c r="C44" s="89" t="s">
        <v>268</v>
      </c>
      <c r="D44" s="89" t="s">
        <v>276</v>
      </c>
      <c r="E44" s="90" t="s">
        <v>284</v>
      </c>
    </row>
    <row r="45" spans="1:5" x14ac:dyDescent="0.3">
      <c r="A45" s="23">
        <v>5</v>
      </c>
      <c r="B45" s="88" t="s">
        <v>261</v>
      </c>
      <c r="C45" s="89" t="s">
        <v>269</v>
      </c>
      <c r="D45" s="89" t="s">
        <v>277</v>
      </c>
      <c r="E45" s="90" t="s">
        <v>285</v>
      </c>
    </row>
    <row r="46" spans="1:5" x14ac:dyDescent="0.3">
      <c r="A46" s="23">
        <v>6</v>
      </c>
      <c r="B46" s="88" t="s">
        <v>262</v>
      </c>
      <c r="C46" s="89" t="s">
        <v>270</v>
      </c>
      <c r="D46" s="89" t="s">
        <v>278</v>
      </c>
      <c r="E46" s="90" t="s">
        <v>286</v>
      </c>
    </row>
    <row r="47" spans="1:5" ht="15" thickBot="1" x14ac:dyDescent="0.35">
      <c r="A47" s="24">
        <v>7</v>
      </c>
      <c r="B47" s="91" t="s">
        <v>263</v>
      </c>
      <c r="C47" s="92" t="s">
        <v>271</v>
      </c>
      <c r="D47" s="92" t="s">
        <v>279</v>
      </c>
      <c r="E47" s="93" t="s">
        <v>287</v>
      </c>
    </row>
    <row r="48" spans="1:5" ht="15" thickBot="1" x14ac:dyDescent="0.35"/>
    <row r="49" spans="1:17" ht="15" thickBot="1" x14ac:dyDescent="0.35">
      <c r="A49" s="81" t="s">
        <v>801</v>
      </c>
      <c r="B49" s="82"/>
      <c r="C49" s="83"/>
      <c r="D49" s="83"/>
      <c r="E49" s="83"/>
      <c r="F49" s="83"/>
      <c r="G49" s="83"/>
      <c r="H49" s="83"/>
      <c r="I49" s="83"/>
      <c r="J49" s="83"/>
      <c r="K49" s="83"/>
      <c r="L49" s="83"/>
      <c r="M49" s="83"/>
      <c r="N49" s="83"/>
      <c r="O49" s="83"/>
      <c r="P49" s="83"/>
      <c r="Q49" s="84"/>
    </row>
    <row r="50" spans="1:17" x14ac:dyDescent="0.3">
      <c r="A50" s="23">
        <v>0</v>
      </c>
      <c r="B50" s="85" t="s">
        <v>288</v>
      </c>
      <c r="C50" s="86" t="s">
        <v>304</v>
      </c>
      <c r="D50" s="86" t="s">
        <v>305</v>
      </c>
      <c r="E50" s="86" t="s">
        <v>306</v>
      </c>
      <c r="F50" s="86" t="s">
        <v>307</v>
      </c>
      <c r="G50" s="86" t="s">
        <v>308</v>
      </c>
      <c r="H50" s="86" t="s">
        <v>309</v>
      </c>
      <c r="I50" s="86" t="s">
        <v>310</v>
      </c>
      <c r="J50" s="86" t="s">
        <v>311</v>
      </c>
      <c r="K50" s="86" t="s">
        <v>312</v>
      </c>
      <c r="L50" s="86" t="s">
        <v>313</v>
      </c>
      <c r="M50" s="86" t="s">
        <v>314</v>
      </c>
      <c r="N50" s="86" t="s">
        <v>315</v>
      </c>
      <c r="O50" s="86" t="s">
        <v>316</v>
      </c>
      <c r="P50" s="86" t="s">
        <v>317</v>
      </c>
      <c r="Q50" s="87" t="s">
        <v>318</v>
      </c>
    </row>
    <row r="51" spans="1:17" x14ac:dyDescent="0.3">
      <c r="A51" s="23">
        <v>1</v>
      </c>
      <c r="B51" s="88" t="s">
        <v>319</v>
      </c>
      <c r="C51" s="89" t="s">
        <v>289</v>
      </c>
      <c r="D51" s="89" t="s">
        <v>320</v>
      </c>
      <c r="E51" s="89" t="s">
        <v>321</v>
      </c>
      <c r="F51" s="89" t="s">
        <v>322</v>
      </c>
      <c r="G51" s="89" t="s">
        <v>323</v>
      </c>
      <c r="H51" s="89" t="s">
        <v>324</v>
      </c>
      <c r="I51" s="89" t="s">
        <v>325</v>
      </c>
      <c r="J51" s="89" t="s">
        <v>326</v>
      </c>
      <c r="K51" s="89" t="s">
        <v>327</v>
      </c>
      <c r="L51" s="89" t="s">
        <v>328</v>
      </c>
      <c r="M51" s="89" t="s">
        <v>329</v>
      </c>
      <c r="N51" s="89" t="s">
        <v>330</v>
      </c>
      <c r="O51" s="89" t="s">
        <v>331</v>
      </c>
      <c r="P51" s="89" t="s">
        <v>332</v>
      </c>
      <c r="Q51" s="90" t="s">
        <v>333</v>
      </c>
    </row>
    <row r="52" spans="1:17" x14ac:dyDescent="0.3">
      <c r="A52" s="23">
        <v>2</v>
      </c>
      <c r="B52" s="88" t="s">
        <v>334</v>
      </c>
      <c r="C52" s="89" t="s">
        <v>357</v>
      </c>
      <c r="D52" s="89" t="s">
        <v>290</v>
      </c>
      <c r="E52" s="89" t="s">
        <v>358</v>
      </c>
      <c r="F52" s="89" t="s">
        <v>359</v>
      </c>
      <c r="G52" s="89" t="s">
        <v>360</v>
      </c>
      <c r="H52" s="89" t="s">
        <v>361</v>
      </c>
      <c r="I52" s="89" t="s">
        <v>362</v>
      </c>
      <c r="J52" s="89" t="s">
        <v>363</v>
      </c>
      <c r="K52" s="89" t="s">
        <v>364</v>
      </c>
      <c r="L52" s="89" t="s">
        <v>365</v>
      </c>
      <c r="M52" s="89" t="s">
        <v>366</v>
      </c>
      <c r="N52" s="89" t="s">
        <v>367</v>
      </c>
      <c r="O52" s="89" t="s">
        <v>368</v>
      </c>
      <c r="P52" s="89" t="s">
        <v>369</v>
      </c>
      <c r="Q52" s="90" t="s">
        <v>370</v>
      </c>
    </row>
    <row r="53" spans="1:17" x14ac:dyDescent="0.3">
      <c r="A53" s="23">
        <v>3</v>
      </c>
      <c r="B53" s="88" t="s">
        <v>335</v>
      </c>
      <c r="C53" s="89" t="s">
        <v>374</v>
      </c>
      <c r="D53" s="89" t="s">
        <v>375</v>
      </c>
      <c r="E53" s="89" t="s">
        <v>291</v>
      </c>
      <c r="F53" s="89" t="s">
        <v>376</v>
      </c>
      <c r="G53" s="89" t="s">
        <v>377</v>
      </c>
      <c r="H53" s="89" t="s">
        <v>378</v>
      </c>
      <c r="I53" s="89" t="s">
        <v>379</v>
      </c>
      <c r="J53" s="89" t="s">
        <v>380</v>
      </c>
      <c r="K53" s="89" t="s">
        <v>381</v>
      </c>
      <c r="L53" s="89" t="s">
        <v>382</v>
      </c>
      <c r="M53" s="89" t="s">
        <v>383</v>
      </c>
      <c r="N53" s="89" t="s">
        <v>384</v>
      </c>
      <c r="O53" s="89" t="s">
        <v>385</v>
      </c>
      <c r="P53" s="89" t="s">
        <v>386</v>
      </c>
      <c r="Q53" s="90" t="s">
        <v>387</v>
      </c>
    </row>
    <row r="54" spans="1:17" x14ac:dyDescent="0.3">
      <c r="A54" s="23">
        <v>4</v>
      </c>
      <c r="B54" s="88" t="s">
        <v>336</v>
      </c>
      <c r="C54" s="89" t="s">
        <v>388</v>
      </c>
      <c r="D54" s="89" t="s">
        <v>389</v>
      </c>
      <c r="E54" s="89" t="s">
        <v>390</v>
      </c>
      <c r="F54" s="89" t="s">
        <v>292</v>
      </c>
      <c r="G54" s="89" t="s">
        <v>391</v>
      </c>
      <c r="H54" s="89" t="s">
        <v>392</v>
      </c>
      <c r="I54" s="89" t="s">
        <v>393</v>
      </c>
      <c r="J54" s="89" t="s">
        <v>394</v>
      </c>
      <c r="K54" s="89" t="s">
        <v>395</v>
      </c>
      <c r="L54" s="89" t="s">
        <v>396</v>
      </c>
      <c r="M54" s="89" t="s">
        <v>397</v>
      </c>
      <c r="N54" s="89" t="s">
        <v>398</v>
      </c>
      <c r="O54" s="89" t="s">
        <v>399</v>
      </c>
      <c r="P54" s="89" t="s">
        <v>400</v>
      </c>
      <c r="Q54" s="90" t="s">
        <v>401</v>
      </c>
    </row>
    <row r="55" spans="1:17" x14ac:dyDescent="0.3">
      <c r="A55" s="23">
        <v>5</v>
      </c>
      <c r="B55" s="88" t="s">
        <v>337</v>
      </c>
      <c r="C55" s="89" t="s">
        <v>406</v>
      </c>
      <c r="D55" s="89" t="s">
        <v>407</v>
      </c>
      <c r="E55" s="89" t="s">
        <v>408</v>
      </c>
      <c r="F55" s="89" t="s">
        <v>409</v>
      </c>
      <c r="G55" s="89" t="s">
        <v>293</v>
      </c>
      <c r="H55" s="89" t="s">
        <v>410</v>
      </c>
      <c r="I55" s="89" t="s">
        <v>411</v>
      </c>
      <c r="J55" s="89" t="s">
        <v>412</v>
      </c>
      <c r="K55" s="89" t="s">
        <v>413</v>
      </c>
      <c r="L55" s="89" t="s">
        <v>414</v>
      </c>
      <c r="M55" s="89" t="s">
        <v>415</v>
      </c>
      <c r="N55" s="89" t="s">
        <v>416</v>
      </c>
      <c r="O55" s="89" t="s">
        <v>417</v>
      </c>
      <c r="P55" s="89" t="s">
        <v>418</v>
      </c>
      <c r="Q55" s="90" t="s">
        <v>419</v>
      </c>
    </row>
    <row r="56" spans="1:17" x14ac:dyDescent="0.3">
      <c r="A56" s="23">
        <v>6</v>
      </c>
      <c r="B56" s="88" t="s">
        <v>338</v>
      </c>
      <c r="C56" s="89" t="s">
        <v>420</v>
      </c>
      <c r="D56" s="89" t="s">
        <v>421</v>
      </c>
      <c r="E56" s="89" t="s">
        <v>422</v>
      </c>
      <c r="F56" s="89" t="s">
        <v>423</v>
      </c>
      <c r="G56" s="89" t="s">
        <v>424</v>
      </c>
      <c r="H56" s="89" t="s">
        <v>294</v>
      </c>
      <c r="I56" s="89" t="s">
        <v>425</v>
      </c>
      <c r="J56" s="89" t="s">
        <v>426</v>
      </c>
      <c r="K56" s="89" t="s">
        <v>427</v>
      </c>
      <c r="L56" s="89" t="s">
        <v>428</v>
      </c>
      <c r="M56" s="89" t="s">
        <v>429</v>
      </c>
      <c r="N56" s="89" t="s">
        <v>430</v>
      </c>
      <c r="O56" s="89" t="s">
        <v>431</v>
      </c>
      <c r="P56" s="89" t="s">
        <v>432</v>
      </c>
      <c r="Q56" s="90" t="s">
        <v>433</v>
      </c>
    </row>
    <row r="57" spans="1:17" x14ac:dyDescent="0.3">
      <c r="A57" s="23">
        <v>7</v>
      </c>
      <c r="B57" s="88" t="s">
        <v>339</v>
      </c>
      <c r="C57" s="89" t="s">
        <v>434</v>
      </c>
      <c r="D57" s="89" t="s">
        <v>435</v>
      </c>
      <c r="E57" s="89" t="s">
        <v>436</v>
      </c>
      <c r="F57" s="89" t="s">
        <v>437</v>
      </c>
      <c r="G57" s="89" t="s">
        <v>438</v>
      </c>
      <c r="H57" s="89" t="s">
        <v>439</v>
      </c>
      <c r="I57" s="89" t="s">
        <v>295</v>
      </c>
      <c r="J57" s="89" t="s">
        <v>440</v>
      </c>
      <c r="K57" s="89" t="s">
        <v>441</v>
      </c>
      <c r="L57" s="89" t="s">
        <v>442</v>
      </c>
      <c r="M57" s="89" t="s">
        <v>443</v>
      </c>
      <c r="N57" s="89" t="s">
        <v>444</v>
      </c>
      <c r="O57" s="89" t="s">
        <v>445</v>
      </c>
      <c r="P57" s="89" t="s">
        <v>446</v>
      </c>
      <c r="Q57" s="90" t="s">
        <v>447</v>
      </c>
    </row>
    <row r="58" spans="1:17" x14ac:dyDescent="0.3">
      <c r="A58" s="23">
        <v>8</v>
      </c>
      <c r="B58" s="19" t="s">
        <v>340</v>
      </c>
      <c r="C58" s="94" t="s">
        <v>448</v>
      </c>
      <c r="D58" s="94" t="s">
        <v>449</v>
      </c>
      <c r="E58" s="94" t="s">
        <v>450</v>
      </c>
      <c r="F58" s="94" t="s">
        <v>451</v>
      </c>
      <c r="G58" s="94" t="s">
        <v>452</v>
      </c>
      <c r="H58" s="94" t="s">
        <v>453</v>
      </c>
      <c r="I58" s="94" t="s">
        <v>454</v>
      </c>
      <c r="J58" s="94" t="s">
        <v>296</v>
      </c>
      <c r="K58" s="94" t="s">
        <v>455</v>
      </c>
      <c r="L58" s="94" t="s">
        <v>456</v>
      </c>
      <c r="M58" s="94" t="s">
        <v>457</v>
      </c>
      <c r="N58" s="94" t="s">
        <v>458</v>
      </c>
      <c r="O58" s="94" t="s">
        <v>459</v>
      </c>
      <c r="P58" s="94" t="s">
        <v>460</v>
      </c>
      <c r="Q58" s="95" t="s">
        <v>461</v>
      </c>
    </row>
    <row r="59" spans="1:17" x14ac:dyDescent="0.3">
      <c r="A59" s="23">
        <v>9</v>
      </c>
      <c r="B59" s="19" t="s">
        <v>341</v>
      </c>
      <c r="C59" s="94" t="s">
        <v>462</v>
      </c>
      <c r="D59" s="94" t="s">
        <v>463</v>
      </c>
      <c r="E59" s="94" t="s">
        <v>464</v>
      </c>
      <c r="F59" s="94" t="s">
        <v>465</v>
      </c>
      <c r="G59" s="94" t="s">
        <v>466</v>
      </c>
      <c r="H59" s="94" t="s">
        <v>467</v>
      </c>
      <c r="I59" s="94" t="s">
        <v>468</v>
      </c>
      <c r="J59" s="94" t="s">
        <v>469</v>
      </c>
      <c r="K59" s="94" t="s">
        <v>297</v>
      </c>
      <c r="L59" s="94" t="s">
        <v>470</v>
      </c>
      <c r="M59" s="94" t="s">
        <v>471</v>
      </c>
      <c r="N59" s="94" t="s">
        <v>472</v>
      </c>
      <c r="O59" s="94" t="s">
        <v>473</v>
      </c>
      <c r="P59" s="94" t="s">
        <v>474</v>
      </c>
      <c r="Q59" s="95" t="s">
        <v>475</v>
      </c>
    </row>
    <row r="60" spans="1:17" x14ac:dyDescent="0.3">
      <c r="A60" s="23">
        <v>10</v>
      </c>
      <c r="B60" s="19" t="s">
        <v>342</v>
      </c>
      <c r="C60" s="94" t="s">
        <v>476</v>
      </c>
      <c r="D60" s="94" t="s">
        <v>477</v>
      </c>
      <c r="E60" s="94" t="s">
        <v>478</v>
      </c>
      <c r="F60" s="94" t="s">
        <v>479</v>
      </c>
      <c r="G60" s="94" t="s">
        <v>480</v>
      </c>
      <c r="H60" s="94" t="s">
        <v>481</v>
      </c>
      <c r="I60" s="94" t="s">
        <v>482</v>
      </c>
      <c r="J60" s="94" t="s">
        <v>483</v>
      </c>
      <c r="K60" s="94" t="s">
        <v>484</v>
      </c>
      <c r="L60" s="94" t="s">
        <v>298</v>
      </c>
      <c r="M60" s="94" t="s">
        <v>485</v>
      </c>
      <c r="N60" s="94" t="s">
        <v>486</v>
      </c>
      <c r="O60" s="94" t="s">
        <v>487</v>
      </c>
      <c r="P60" s="94" t="s">
        <v>488</v>
      </c>
      <c r="Q60" s="95" t="s">
        <v>489</v>
      </c>
    </row>
    <row r="61" spans="1:17" x14ac:dyDescent="0.3">
      <c r="A61" s="23">
        <v>11</v>
      </c>
      <c r="B61" s="19" t="s">
        <v>343</v>
      </c>
      <c r="C61" s="94" t="s">
        <v>490</v>
      </c>
      <c r="D61" s="94" t="s">
        <v>491</v>
      </c>
      <c r="E61" s="94" t="s">
        <v>492</v>
      </c>
      <c r="F61" s="94" t="s">
        <v>493</v>
      </c>
      <c r="G61" s="94" t="s">
        <v>494</v>
      </c>
      <c r="H61" s="94" t="s">
        <v>495</v>
      </c>
      <c r="I61" s="94" t="s">
        <v>496</v>
      </c>
      <c r="J61" s="94" t="s">
        <v>497</v>
      </c>
      <c r="K61" s="94" t="s">
        <v>498</v>
      </c>
      <c r="L61" s="94" t="s">
        <v>499</v>
      </c>
      <c r="M61" s="94" t="s">
        <v>299</v>
      </c>
      <c r="N61" s="94" t="s">
        <v>500</v>
      </c>
      <c r="O61" s="94" t="s">
        <v>501</v>
      </c>
      <c r="P61" s="94" t="s">
        <v>502</v>
      </c>
      <c r="Q61" s="95" t="s">
        <v>503</v>
      </c>
    </row>
    <row r="62" spans="1:17" x14ac:dyDescent="0.3">
      <c r="A62" s="23">
        <v>12</v>
      </c>
      <c r="B62" s="19" t="s">
        <v>344</v>
      </c>
      <c r="C62" s="94" t="s">
        <v>504</v>
      </c>
      <c r="D62" s="94" t="s">
        <v>505</v>
      </c>
      <c r="E62" s="94" t="s">
        <v>506</v>
      </c>
      <c r="F62" s="94" t="s">
        <v>507</v>
      </c>
      <c r="G62" s="94" t="s">
        <v>508</v>
      </c>
      <c r="H62" s="94" t="s">
        <v>509</v>
      </c>
      <c r="I62" s="94" t="s">
        <v>510</v>
      </c>
      <c r="J62" s="94" t="s">
        <v>511</v>
      </c>
      <c r="K62" s="94" t="s">
        <v>512</v>
      </c>
      <c r="L62" s="94" t="s">
        <v>513</v>
      </c>
      <c r="M62" s="94" t="s">
        <v>514</v>
      </c>
      <c r="N62" s="94" t="s">
        <v>300</v>
      </c>
      <c r="O62" s="94" t="s">
        <v>515</v>
      </c>
      <c r="P62" s="94" t="s">
        <v>516</v>
      </c>
      <c r="Q62" s="95" t="s">
        <v>517</v>
      </c>
    </row>
    <row r="63" spans="1:17" x14ac:dyDescent="0.3">
      <c r="A63" s="23">
        <v>13</v>
      </c>
      <c r="B63" s="19" t="s">
        <v>345</v>
      </c>
      <c r="C63" s="94" t="s">
        <v>518</v>
      </c>
      <c r="D63" s="94" t="s">
        <v>519</v>
      </c>
      <c r="E63" s="94" t="s">
        <v>520</v>
      </c>
      <c r="F63" s="94" t="s">
        <v>521</v>
      </c>
      <c r="G63" s="94" t="s">
        <v>522</v>
      </c>
      <c r="H63" s="94" t="s">
        <v>523</v>
      </c>
      <c r="I63" s="94" t="s">
        <v>524</v>
      </c>
      <c r="J63" s="94" t="s">
        <v>525</v>
      </c>
      <c r="K63" s="94" t="s">
        <v>526</v>
      </c>
      <c r="L63" s="94" t="s">
        <v>527</v>
      </c>
      <c r="M63" s="94" t="s">
        <v>528</v>
      </c>
      <c r="N63" s="94" t="s">
        <v>529</v>
      </c>
      <c r="O63" s="94" t="s">
        <v>301</v>
      </c>
      <c r="P63" s="94" t="s">
        <v>530</v>
      </c>
      <c r="Q63" s="95" t="s">
        <v>531</v>
      </c>
    </row>
    <row r="64" spans="1:17" x14ac:dyDescent="0.3">
      <c r="A64" s="23">
        <v>14</v>
      </c>
      <c r="B64" s="19" t="s">
        <v>346</v>
      </c>
      <c r="C64" s="94" t="s">
        <v>532</v>
      </c>
      <c r="D64" s="94" t="s">
        <v>533</v>
      </c>
      <c r="E64" s="94" t="s">
        <v>534</v>
      </c>
      <c r="F64" s="94" t="s">
        <v>535</v>
      </c>
      <c r="G64" s="94" t="s">
        <v>536</v>
      </c>
      <c r="H64" s="94" t="s">
        <v>537</v>
      </c>
      <c r="I64" s="94" t="s">
        <v>538</v>
      </c>
      <c r="J64" s="94" t="s">
        <v>539</v>
      </c>
      <c r="K64" s="94" t="s">
        <v>540</v>
      </c>
      <c r="L64" s="94" t="s">
        <v>541</v>
      </c>
      <c r="M64" s="94" t="s">
        <v>542</v>
      </c>
      <c r="N64" s="94" t="s">
        <v>543</v>
      </c>
      <c r="O64" s="94" t="s">
        <v>544</v>
      </c>
      <c r="P64" s="94" t="s">
        <v>302</v>
      </c>
      <c r="Q64" s="95" t="s">
        <v>545</v>
      </c>
    </row>
    <row r="65" spans="1:17" x14ac:dyDescent="0.3">
      <c r="A65" s="23">
        <v>15</v>
      </c>
      <c r="B65" s="19" t="s">
        <v>347</v>
      </c>
      <c r="C65" s="94" t="s">
        <v>546</v>
      </c>
      <c r="D65" s="94" t="s">
        <v>547</v>
      </c>
      <c r="E65" s="94" t="s">
        <v>548</v>
      </c>
      <c r="F65" s="94" t="s">
        <v>549</v>
      </c>
      <c r="G65" s="94" t="s">
        <v>550</v>
      </c>
      <c r="H65" s="94" t="s">
        <v>551</v>
      </c>
      <c r="I65" s="94" t="s">
        <v>552</v>
      </c>
      <c r="J65" s="94" t="s">
        <v>553</v>
      </c>
      <c r="K65" s="94" t="s">
        <v>554</v>
      </c>
      <c r="L65" s="94" t="s">
        <v>555</v>
      </c>
      <c r="M65" s="94" t="s">
        <v>556</v>
      </c>
      <c r="N65" s="94" t="s">
        <v>557</v>
      </c>
      <c r="O65" s="94" t="s">
        <v>558</v>
      </c>
      <c r="P65" s="94" t="s">
        <v>559</v>
      </c>
      <c r="Q65" s="95" t="s">
        <v>303</v>
      </c>
    </row>
    <row r="66" spans="1:17" x14ac:dyDescent="0.3">
      <c r="A66" s="23">
        <v>16</v>
      </c>
      <c r="B66" s="19" t="s">
        <v>348</v>
      </c>
      <c r="C66" s="94" t="s">
        <v>560</v>
      </c>
      <c r="D66" s="94" t="s">
        <v>561</v>
      </c>
      <c r="E66" s="94" t="s">
        <v>562</v>
      </c>
      <c r="F66" s="94" t="s">
        <v>563</v>
      </c>
      <c r="G66" s="94" t="s">
        <v>564</v>
      </c>
      <c r="H66" s="94" t="s">
        <v>565</v>
      </c>
      <c r="I66" s="94" t="s">
        <v>566</v>
      </c>
      <c r="J66" s="94" t="s">
        <v>567</v>
      </c>
      <c r="K66" s="94" t="s">
        <v>568</v>
      </c>
      <c r="L66" s="94" t="s">
        <v>569</v>
      </c>
      <c r="M66" s="94" t="s">
        <v>570</v>
      </c>
      <c r="N66" s="94" t="s">
        <v>571</v>
      </c>
      <c r="O66" s="94" t="s">
        <v>572</v>
      </c>
      <c r="P66" s="94" t="s">
        <v>573</v>
      </c>
      <c r="Q66" s="95" t="s">
        <v>574</v>
      </c>
    </row>
    <row r="67" spans="1:17" x14ac:dyDescent="0.3">
      <c r="A67" s="23">
        <v>17</v>
      </c>
      <c r="B67" s="19" t="s">
        <v>349</v>
      </c>
      <c r="C67" s="94" t="s">
        <v>575</v>
      </c>
      <c r="D67" s="94" t="s">
        <v>576</v>
      </c>
      <c r="E67" s="94" t="s">
        <v>577</v>
      </c>
      <c r="F67" s="94" t="s">
        <v>578</v>
      </c>
      <c r="G67" s="94" t="s">
        <v>579</v>
      </c>
      <c r="H67" s="94" t="s">
        <v>580</v>
      </c>
      <c r="I67" s="94" t="s">
        <v>581</v>
      </c>
      <c r="J67" s="94" t="s">
        <v>582</v>
      </c>
      <c r="K67" s="94" t="s">
        <v>583</v>
      </c>
      <c r="L67" s="94" t="s">
        <v>584</v>
      </c>
      <c r="M67" s="94" t="s">
        <v>585</v>
      </c>
      <c r="N67" s="94" t="s">
        <v>586</v>
      </c>
      <c r="O67" s="94" t="s">
        <v>587</v>
      </c>
      <c r="P67" s="94" t="s">
        <v>588</v>
      </c>
      <c r="Q67" s="95" t="s">
        <v>589</v>
      </c>
    </row>
    <row r="68" spans="1:17" x14ac:dyDescent="0.3">
      <c r="A68" s="23">
        <v>18</v>
      </c>
      <c r="B68" s="19" t="s">
        <v>350</v>
      </c>
      <c r="C68" s="94" t="s">
        <v>590</v>
      </c>
      <c r="D68" s="94" t="s">
        <v>591</v>
      </c>
      <c r="E68" s="94" t="s">
        <v>592</v>
      </c>
      <c r="F68" s="94" t="s">
        <v>593</v>
      </c>
      <c r="G68" s="94" t="s">
        <v>594</v>
      </c>
      <c r="H68" s="94" t="s">
        <v>595</v>
      </c>
      <c r="I68" s="94" t="s">
        <v>596</v>
      </c>
      <c r="J68" s="94" t="s">
        <v>597</v>
      </c>
      <c r="K68" s="94" t="s">
        <v>598</v>
      </c>
      <c r="L68" s="94" t="s">
        <v>599</v>
      </c>
      <c r="M68" s="94" t="s">
        <v>600</v>
      </c>
      <c r="N68" s="94" t="s">
        <v>601</v>
      </c>
      <c r="O68" s="94" t="s">
        <v>602</v>
      </c>
      <c r="P68" s="94" t="s">
        <v>603</v>
      </c>
      <c r="Q68" s="95" t="s">
        <v>604</v>
      </c>
    </row>
    <row r="69" spans="1:17" x14ac:dyDescent="0.3">
      <c r="A69" s="23">
        <v>19</v>
      </c>
      <c r="B69" s="19" t="s">
        <v>351</v>
      </c>
      <c r="C69" s="94" t="s">
        <v>605</v>
      </c>
      <c r="D69" s="94" t="s">
        <v>606</v>
      </c>
      <c r="E69" s="94" t="s">
        <v>607</v>
      </c>
      <c r="F69" s="94" t="s">
        <v>608</v>
      </c>
      <c r="G69" s="94" t="s">
        <v>609</v>
      </c>
      <c r="H69" s="94" t="s">
        <v>610</v>
      </c>
      <c r="I69" s="94" t="s">
        <v>611</v>
      </c>
      <c r="J69" s="94" t="s">
        <v>612</v>
      </c>
      <c r="K69" s="94" t="s">
        <v>613</v>
      </c>
      <c r="L69" s="94" t="s">
        <v>614</v>
      </c>
      <c r="M69" s="94" t="s">
        <v>615</v>
      </c>
      <c r="N69" s="94" t="s">
        <v>616</v>
      </c>
      <c r="O69" s="94" t="s">
        <v>617</v>
      </c>
      <c r="P69" s="94" t="s">
        <v>618</v>
      </c>
      <c r="Q69" s="95" t="s">
        <v>619</v>
      </c>
    </row>
    <row r="70" spans="1:17" x14ac:dyDescent="0.3">
      <c r="A70" s="23">
        <v>20</v>
      </c>
      <c r="B70" s="19" t="s">
        <v>352</v>
      </c>
      <c r="C70" s="94" t="s">
        <v>620</v>
      </c>
      <c r="D70" s="94" t="s">
        <v>621</v>
      </c>
      <c r="E70" s="94" t="s">
        <v>622</v>
      </c>
      <c r="F70" s="94" t="s">
        <v>623</v>
      </c>
      <c r="G70" s="94" t="s">
        <v>624</v>
      </c>
      <c r="H70" s="94" t="s">
        <v>625</v>
      </c>
      <c r="I70" s="94" t="s">
        <v>626</v>
      </c>
      <c r="J70" s="94" t="s">
        <v>627</v>
      </c>
      <c r="K70" s="94" t="s">
        <v>628</v>
      </c>
      <c r="L70" s="94" t="s">
        <v>629</v>
      </c>
      <c r="M70" s="94" t="s">
        <v>630</v>
      </c>
      <c r="N70" s="94" t="s">
        <v>631</v>
      </c>
      <c r="O70" s="94" t="s">
        <v>632</v>
      </c>
      <c r="P70" s="94" t="s">
        <v>633</v>
      </c>
      <c r="Q70" s="95" t="s">
        <v>634</v>
      </c>
    </row>
    <row r="71" spans="1:17" x14ac:dyDescent="0.3">
      <c r="A71" s="23">
        <v>21</v>
      </c>
      <c r="B71" s="19" t="s">
        <v>353</v>
      </c>
      <c r="C71" s="94" t="s">
        <v>635</v>
      </c>
      <c r="D71" s="94" t="s">
        <v>636</v>
      </c>
      <c r="E71" s="94" t="s">
        <v>637</v>
      </c>
      <c r="F71" s="94" t="s">
        <v>638</v>
      </c>
      <c r="G71" s="94" t="s">
        <v>639</v>
      </c>
      <c r="H71" s="94" t="s">
        <v>640</v>
      </c>
      <c r="I71" s="94" t="s">
        <v>641</v>
      </c>
      <c r="J71" s="94" t="s">
        <v>642</v>
      </c>
      <c r="K71" s="94" t="s">
        <v>643</v>
      </c>
      <c r="L71" s="94" t="s">
        <v>644</v>
      </c>
      <c r="M71" s="94" t="s">
        <v>645</v>
      </c>
      <c r="N71" s="94" t="s">
        <v>646</v>
      </c>
      <c r="O71" s="94" t="s">
        <v>647</v>
      </c>
      <c r="P71" s="94" t="s">
        <v>648</v>
      </c>
      <c r="Q71" s="95" t="s">
        <v>649</v>
      </c>
    </row>
    <row r="72" spans="1:17" x14ac:dyDescent="0.3">
      <c r="A72" s="23">
        <v>22</v>
      </c>
      <c r="B72" s="19" t="s">
        <v>354</v>
      </c>
      <c r="C72" s="94" t="s">
        <v>650</v>
      </c>
      <c r="D72" s="94" t="s">
        <v>651</v>
      </c>
      <c r="E72" s="94" t="s">
        <v>652</v>
      </c>
      <c r="F72" s="94" t="s">
        <v>653</v>
      </c>
      <c r="G72" s="94" t="s">
        <v>654</v>
      </c>
      <c r="H72" s="94" t="s">
        <v>655</v>
      </c>
      <c r="I72" s="94" t="s">
        <v>656</v>
      </c>
      <c r="J72" s="94" t="s">
        <v>657</v>
      </c>
      <c r="K72" s="94" t="s">
        <v>658</v>
      </c>
      <c r="L72" s="94" t="s">
        <v>659</v>
      </c>
      <c r="M72" s="94" t="s">
        <v>660</v>
      </c>
      <c r="N72" s="94" t="s">
        <v>661</v>
      </c>
      <c r="O72" s="94" t="s">
        <v>662</v>
      </c>
      <c r="P72" s="94" t="s">
        <v>663</v>
      </c>
      <c r="Q72" s="95" t="s">
        <v>664</v>
      </c>
    </row>
    <row r="73" spans="1:17" x14ac:dyDescent="0.3">
      <c r="A73" s="23">
        <v>23</v>
      </c>
      <c r="B73" s="19" t="s">
        <v>355</v>
      </c>
      <c r="C73" s="94" t="s">
        <v>665</v>
      </c>
      <c r="D73" s="94" t="s">
        <v>666</v>
      </c>
      <c r="E73" s="94" t="s">
        <v>667</v>
      </c>
      <c r="F73" s="94" t="s">
        <v>668</v>
      </c>
      <c r="G73" s="94" t="s">
        <v>669</v>
      </c>
      <c r="H73" s="94" t="s">
        <v>670</v>
      </c>
      <c r="I73" s="94" t="s">
        <v>671</v>
      </c>
      <c r="J73" s="94" t="s">
        <v>672</v>
      </c>
      <c r="K73" s="94" t="s">
        <v>673</v>
      </c>
      <c r="L73" s="94" t="s">
        <v>674</v>
      </c>
      <c r="M73" s="94" t="s">
        <v>675</v>
      </c>
      <c r="N73" s="94" t="s">
        <v>676</v>
      </c>
      <c r="O73" s="94" t="s">
        <v>677</v>
      </c>
      <c r="P73" s="94" t="s">
        <v>678</v>
      </c>
      <c r="Q73" s="95" t="s">
        <v>679</v>
      </c>
    </row>
    <row r="74" spans="1:17" x14ac:dyDescent="0.3">
      <c r="A74" s="23">
        <v>24</v>
      </c>
      <c r="B74" s="19" t="s">
        <v>356</v>
      </c>
      <c r="C74" s="94" t="s">
        <v>680</v>
      </c>
      <c r="D74" s="94" t="s">
        <v>681</v>
      </c>
      <c r="E74" s="94" t="s">
        <v>682</v>
      </c>
      <c r="F74" s="94" t="s">
        <v>683</v>
      </c>
      <c r="G74" s="94" t="s">
        <v>684</v>
      </c>
      <c r="H74" s="94" t="s">
        <v>685</v>
      </c>
      <c r="I74" s="94" t="s">
        <v>686</v>
      </c>
      <c r="J74" s="94" t="s">
        <v>687</v>
      </c>
      <c r="K74" s="94" t="s">
        <v>688</v>
      </c>
      <c r="L74" s="94" t="s">
        <v>689</v>
      </c>
      <c r="M74" s="94" t="s">
        <v>690</v>
      </c>
      <c r="N74" s="94" t="s">
        <v>691</v>
      </c>
      <c r="O74" s="94" t="s">
        <v>692</v>
      </c>
      <c r="P74" s="94" t="s">
        <v>693</v>
      </c>
      <c r="Q74" s="95" t="s">
        <v>694</v>
      </c>
    </row>
    <row r="75" spans="1:17" x14ac:dyDescent="0.3">
      <c r="A75" s="23">
        <v>25</v>
      </c>
      <c r="B75" s="19" t="s">
        <v>371</v>
      </c>
      <c r="C75" s="94" t="s">
        <v>695</v>
      </c>
      <c r="D75" s="94" t="s">
        <v>696</v>
      </c>
      <c r="E75" s="94" t="s">
        <v>697</v>
      </c>
      <c r="F75" s="94" t="s">
        <v>698</v>
      </c>
      <c r="G75" s="94" t="s">
        <v>699</v>
      </c>
      <c r="H75" s="94" t="s">
        <v>700</v>
      </c>
      <c r="I75" s="94" t="s">
        <v>701</v>
      </c>
      <c r="J75" s="94" t="s">
        <v>702</v>
      </c>
      <c r="K75" s="94" t="s">
        <v>703</v>
      </c>
      <c r="L75" s="94" t="s">
        <v>704</v>
      </c>
      <c r="M75" s="94" t="s">
        <v>705</v>
      </c>
      <c r="N75" s="94" t="s">
        <v>706</v>
      </c>
      <c r="O75" s="94" t="s">
        <v>707</v>
      </c>
      <c r="P75" s="94" t="s">
        <v>708</v>
      </c>
      <c r="Q75" s="95" t="s">
        <v>709</v>
      </c>
    </row>
    <row r="76" spans="1:17" x14ac:dyDescent="0.3">
      <c r="A76" s="23">
        <v>26</v>
      </c>
      <c r="B76" s="19" t="s">
        <v>372</v>
      </c>
      <c r="C76" s="94" t="s">
        <v>710</v>
      </c>
      <c r="D76" s="94" t="s">
        <v>711</v>
      </c>
      <c r="E76" s="94" t="s">
        <v>712</v>
      </c>
      <c r="F76" s="94" t="s">
        <v>713</v>
      </c>
      <c r="G76" s="94" t="s">
        <v>714</v>
      </c>
      <c r="H76" s="94" t="s">
        <v>715</v>
      </c>
      <c r="I76" s="94" t="s">
        <v>716</v>
      </c>
      <c r="J76" s="94" t="s">
        <v>717</v>
      </c>
      <c r="K76" s="94" t="s">
        <v>718</v>
      </c>
      <c r="L76" s="94" t="s">
        <v>719</v>
      </c>
      <c r="M76" s="94" t="s">
        <v>720</v>
      </c>
      <c r="N76" s="94" t="s">
        <v>721</v>
      </c>
      <c r="O76" s="94" t="s">
        <v>722</v>
      </c>
      <c r="P76" s="94" t="s">
        <v>723</v>
      </c>
      <c r="Q76" s="95" t="s">
        <v>724</v>
      </c>
    </row>
    <row r="77" spans="1:17" x14ac:dyDescent="0.3">
      <c r="A77" s="23">
        <v>27</v>
      </c>
      <c r="B77" s="19" t="s">
        <v>373</v>
      </c>
      <c r="C77" s="94" t="s">
        <v>725</v>
      </c>
      <c r="D77" s="94" t="s">
        <v>726</v>
      </c>
      <c r="E77" s="94" t="s">
        <v>727</v>
      </c>
      <c r="F77" s="94" t="s">
        <v>728</v>
      </c>
      <c r="G77" s="94" t="s">
        <v>729</v>
      </c>
      <c r="H77" s="94" t="s">
        <v>730</v>
      </c>
      <c r="I77" s="94" t="s">
        <v>731</v>
      </c>
      <c r="J77" s="94" t="s">
        <v>732</v>
      </c>
      <c r="K77" s="94" t="s">
        <v>733</v>
      </c>
      <c r="L77" s="94" t="s">
        <v>734</v>
      </c>
      <c r="M77" s="94" t="s">
        <v>735</v>
      </c>
      <c r="N77" s="94" t="s">
        <v>736</v>
      </c>
      <c r="O77" s="94" t="s">
        <v>737</v>
      </c>
      <c r="P77" s="94" t="s">
        <v>738</v>
      </c>
      <c r="Q77" s="95" t="s">
        <v>739</v>
      </c>
    </row>
    <row r="78" spans="1:17" x14ac:dyDescent="0.3">
      <c r="A78" s="23">
        <v>28</v>
      </c>
      <c r="B78" s="19" t="s">
        <v>402</v>
      </c>
      <c r="C78" s="94" t="s">
        <v>740</v>
      </c>
      <c r="D78" s="94" t="s">
        <v>741</v>
      </c>
      <c r="E78" s="94" t="s">
        <v>742</v>
      </c>
      <c r="F78" s="94" t="s">
        <v>743</v>
      </c>
      <c r="G78" s="94" t="s">
        <v>744</v>
      </c>
      <c r="H78" s="94" t="s">
        <v>745</v>
      </c>
      <c r="I78" s="94" t="s">
        <v>746</v>
      </c>
      <c r="J78" s="94" t="s">
        <v>747</v>
      </c>
      <c r="K78" s="94" t="s">
        <v>748</v>
      </c>
      <c r="L78" s="94" t="s">
        <v>749</v>
      </c>
      <c r="M78" s="94" t="s">
        <v>750</v>
      </c>
      <c r="N78" s="94" t="s">
        <v>751</v>
      </c>
      <c r="O78" s="94" t="s">
        <v>752</v>
      </c>
      <c r="P78" s="94" t="s">
        <v>753</v>
      </c>
      <c r="Q78" s="95" t="s">
        <v>754</v>
      </c>
    </row>
    <row r="79" spans="1:17" x14ac:dyDescent="0.3">
      <c r="A79" s="23">
        <v>29</v>
      </c>
      <c r="B79" s="19" t="s">
        <v>403</v>
      </c>
      <c r="C79" s="94" t="s">
        <v>755</v>
      </c>
      <c r="D79" s="94" t="s">
        <v>756</v>
      </c>
      <c r="E79" s="94" t="s">
        <v>757</v>
      </c>
      <c r="F79" s="94" t="s">
        <v>758</v>
      </c>
      <c r="G79" s="94" t="s">
        <v>759</v>
      </c>
      <c r="H79" s="94" t="s">
        <v>760</v>
      </c>
      <c r="I79" s="94" t="s">
        <v>761</v>
      </c>
      <c r="J79" s="94" t="s">
        <v>762</v>
      </c>
      <c r="K79" s="94" t="s">
        <v>763</v>
      </c>
      <c r="L79" s="94" t="s">
        <v>764</v>
      </c>
      <c r="M79" s="94" t="s">
        <v>765</v>
      </c>
      <c r="N79" s="94" t="s">
        <v>766</v>
      </c>
      <c r="O79" s="94" t="s">
        <v>767</v>
      </c>
      <c r="P79" s="94" t="s">
        <v>768</v>
      </c>
      <c r="Q79" s="95" t="s">
        <v>769</v>
      </c>
    </row>
    <row r="80" spans="1:17" x14ac:dyDescent="0.3">
      <c r="A80" s="23">
        <v>30</v>
      </c>
      <c r="B80" s="19" t="s">
        <v>404</v>
      </c>
      <c r="C80" s="94" t="s">
        <v>770</v>
      </c>
      <c r="D80" s="94" t="s">
        <v>771</v>
      </c>
      <c r="E80" s="94" t="s">
        <v>772</v>
      </c>
      <c r="F80" s="94" t="s">
        <v>773</v>
      </c>
      <c r="G80" s="94" t="s">
        <v>774</v>
      </c>
      <c r="H80" s="94" t="s">
        <v>775</v>
      </c>
      <c r="I80" s="94" t="s">
        <v>776</v>
      </c>
      <c r="J80" s="94" t="s">
        <v>777</v>
      </c>
      <c r="K80" s="94" t="s">
        <v>778</v>
      </c>
      <c r="L80" s="94" t="s">
        <v>779</v>
      </c>
      <c r="M80" s="94" t="s">
        <v>780</v>
      </c>
      <c r="N80" s="94" t="s">
        <v>781</v>
      </c>
      <c r="O80" s="94" t="s">
        <v>782</v>
      </c>
      <c r="P80" s="94" t="s">
        <v>783</v>
      </c>
      <c r="Q80" s="95" t="s">
        <v>784</v>
      </c>
    </row>
    <row r="81" spans="1:17" ht="15" thickBot="1" x14ac:dyDescent="0.35">
      <c r="A81" s="24">
        <v>31</v>
      </c>
      <c r="B81" s="20" t="s">
        <v>405</v>
      </c>
      <c r="C81" s="96" t="s">
        <v>785</v>
      </c>
      <c r="D81" s="96" t="s">
        <v>786</v>
      </c>
      <c r="E81" s="96" t="s">
        <v>787</v>
      </c>
      <c r="F81" s="96" t="s">
        <v>788</v>
      </c>
      <c r="G81" s="96" t="s">
        <v>789</v>
      </c>
      <c r="H81" s="96" t="s">
        <v>790</v>
      </c>
      <c r="I81" s="96" t="s">
        <v>791</v>
      </c>
      <c r="J81" s="96" t="s">
        <v>792</v>
      </c>
      <c r="K81" s="96" t="s">
        <v>793</v>
      </c>
      <c r="L81" s="96" t="s">
        <v>794</v>
      </c>
      <c r="M81" s="96" t="s">
        <v>795</v>
      </c>
      <c r="N81" s="96" t="s">
        <v>796</v>
      </c>
      <c r="O81" s="96" t="s">
        <v>797</v>
      </c>
      <c r="P81" s="96" t="s">
        <v>798</v>
      </c>
      <c r="Q81" s="97" t="s">
        <v>799</v>
      </c>
    </row>
    <row r="82" spans="1:17" ht="15" thickBot="1" x14ac:dyDescent="0.35"/>
    <row r="83" spans="1:17" ht="15" thickBot="1" x14ac:dyDescent="0.35">
      <c r="A83" s="81" t="s">
        <v>800</v>
      </c>
      <c r="B83" s="82"/>
      <c r="C83" s="83"/>
      <c r="D83" s="83"/>
      <c r="E83" s="83"/>
      <c r="F83" s="83"/>
      <c r="G83" s="83"/>
      <c r="H83" s="83"/>
      <c r="I83" s="83"/>
      <c r="J83" s="83"/>
      <c r="K83" s="83"/>
      <c r="L83" s="83"/>
      <c r="M83" s="83"/>
      <c r="N83" s="83"/>
      <c r="O83" s="83"/>
      <c r="P83" s="83"/>
      <c r="Q83" s="84"/>
    </row>
    <row r="84" spans="1:17" x14ac:dyDescent="0.3">
      <c r="A84" s="23">
        <v>0</v>
      </c>
      <c r="B84" s="85" t="s">
        <v>288</v>
      </c>
      <c r="C84" s="86" t="s">
        <v>304</v>
      </c>
      <c r="D84" s="86" t="s">
        <v>305</v>
      </c>
      <c r="E84" s="86" t="s">
        <v>306</v>
      </c>
      <c r="F84" s="86" t="s">
        <v>307</v>
      </c>
      <c r="G84" s="86" t="s">
        <v>308</v>
      </c>
      <c r="H84" s="86" t="s">
        <v>309</v>
      </c>
      <c r="I84" s="86" t="s">
        <v>310</v>
      </c>
      <c r="J84" s="86" t="s">
        <v>311</v>
      </c>
      <c r="K84" s="86" t="s">
        <v>312</v>
      </c>
      <c r="L84" s="86" t="s">
        <v>313</v>
      </c>
      <c r="M84" s="86" t="s">
        <v>314</v>
      </c>
      <c r="N84" s="86" t="s">
        <v>315</v>
      </c>
      <c r="O84" s="86" t="s">
        <v>316</v>
      </c>
      <c r="P84" s="86" t="s">
        <v>317</v>
      </c>
      <c r="Q84" s="87" t="s">
        <v>318</v>
      </c>
    </row>
    <row r="85" spans="1:17" x14ac:dyDescent="0.3">
      <c r="A85" s="23">
        <v>1</v>
      </c>
      <c r="B85" s="88" t="s">
        <v>319</v>
      </c>
      <c r="C85" s="89" t="s">
        <v>289</v>
      </c>
      <c r="D85" s="89" t="s">
        <v>320</v>
      </c>
      <c r="E85" s="89" t="s">
        <v>321</v>
      </c>
      <c r="F85" s="89" t="s">
        <v>322</v>
      </c>
      <c r="G85" s="89" t="s">
        <v>323</v>
      </c>
      <c r="H85" s="89" t="s">
        <v>324</v>
      </c>
      <c r="I85" s="89" t="s">
        <v>325</v>
      </c>
      <c r="J85" s="89" t="s">
        <v>326</v>
      </c>
      <c r="K85" s="89" t="s">
        <v>327</v>
      </c>
      <c r="L85" s="89" t="s">
        <v>328</v>
      </c>
      <c r="M85" s="89" t="s">
        <v>329</v>
      </c>
      <c r="N85" s="89" t="s">
        <v>330</v>
      </c>
      <c r="O85" s="89" t="s">
        <v>331</v>
      </c>
      <c r="P85" s="89" t="s">
        <v>332</v>
      </c>
      <c r="Q85" s="90" t="s">
        <v>333</v>
      </c>
    </row>
    <row r="86" spans="1:17" x14ac:dyDescent="0.3">
      <c r="A86" s="23">
        <v>2</v>
      </c>
      <c r="B86" s="88" t="s">
        <v>334</v>
      </c>
      <c r="C86" s="89" t="s">
        <v>357</v>
      </c>
      <c r="D86" s="89" t="s">
        <v>290</v>
      </c>
      <c r="E86" s="89" t="s">
        <v>358</v>
      </c>
      <c r="F86" s="89" t="s">
        <v>359</v>
      </c>
      <c r="G86" s="89" t="s">
        <v>360</v>
      </c>
      <c r="H86" s="89" t="s">
        <v>361</v>
      </c>
      <c r="I86" s="89" t="s">
        <v>362</v>
      </c>
      <c r="J86" s="89" t="s">
        <v>363</v>
      </c>
      <c r="K86" s="89" t="s">
        <v>364</v>
      </c>
      <c r="L86" s="89" t="s">
        <v>365</v>
      </c>
      <c r="M86" s="89" t="s">
        <v>366</v>
      </c>
      <c r="N86" s="89" t="s">
        <v>367</v>
      </c>
      <c r="O86" s="89" t="s">
        <v>368</v>
      </c>
      <c r="P86" s="89" t="s">
        <v>369</v>
      </c>
      <c r="Q86" s="90" t="s">
        <v>370</v>
      </c>
    </row>
    <row r="87" spans="1:17" x14ac:dyDescent="0.3">
      <c r="A87" s="23">
        <v>3</v>
      </c>
      <c r="B87" s="88" t="s">
        <v>335</v>
      </c>
      <c r="C87" s="89" t="s">
        <v>374</v>
      </c>
      <c r="D87" s="89" t="s">
        <v>375</v>
      </c>
      <c r="E87" s="89" t="s">
        <v>291</v>
      </c>
      <c r="F87" s="89" t="s">
        <v>376</v>
      </c>
      <c r="G87" s="89" t="s">
        <v>377</v>
      </c>
      <c r="H87" s="89" t="s">
        <v>378</v>
      </c>
      <c r="I87" s="89" t="s">
        <v>379</v>
      </c>
      <c r="J87" s="89" t="s">
        <v>380</v>
      </c>
      <c r="K87" s="89" t="s">
        <v>381</v>
      </c>
      <c r="L87" s="89" t="s">
        <v>382</v>
      </c>
      <c r="M87" s="89" t="s">
        <v>383</v>
      </c>
      <c r="N87" s="89" t="s">
        <v>384</v>
      </c>
      <c r="O87" s="89" t="s">
        <v>385</v>
      </c>
      <c r="P87" s="89" t="s">
        <v>386</v>
      </c>
      <c r="Q87" s="90" t="s">
        <v>387</v>
      </c>
    </row>
    <row r="88" spans="1:17" x14ac:dyDescent="0.3">
      <c r="A88" s="23">
        <v>4</v>
      </c>
      <c r="B88" s="88" t="s">
        <v>336</v>
      </c>
      <c r="C88" s="89" t="s">
        <v>388</v>
      </c>
      <c r="D88" s="89" t="s">
        <v>389</v>
      </c>
      <c r="E88" s="89" t="s">
        <v>390</v>
      </c>
      <c r="F88" s="89" t="s">
        <v>292</v>
      </c>
      <c r="G88" s="89" t="s">
        <v>391</v>
      </c>
      <c r="H88" s="89" t="s">
        <v>392</v>
      </c>
      <c r="I88" s="89" t="s">
        <v>393</v>
      </c>
      <c r="J88" s="89" t="s">
        <v>394</v>
      </c>
      <c r="K88" s="89" t="s">
        <v>395</v>
      </c>
      <c r="L88" s="89" t="s">
        <v>396</v>
      </c>
      <c r="M88" s="89" t="s">
        <v>397</v>
      </c>
      <c r="N88" s="89" t="s">
        <v>398</v>
      </c>
      <c r="O88" s="89" t="s">
        <v>399</v>
      </c>
      <c r="P88" s="89" t="s">
        <v>400</v>
      </c>
      <c r="Q88" s="90" t="s">
        <v>401</v>
      </c>
    </row>
    <row r="89" spans="1:17" x14ac:dyDescent="0.3">
      <c r="A89" s="23">
        <v>5</v>
      </c>
      <c r="B89" s="88" t="s">
        <v>337</v>
      </c>
      <c r="C89" s="89" t="s">
        <v>406</v>
      </c>
      <c r="D89" s="89" t="s">
        <v>407</v>
      </c>
      <c r="E89" s="89" t="s">
        <v>408</v>
      </c>
      <c r="F89" s="89" t="s">
        <v>409</v>
      </c>
      <c r="G89" s="89" t="s">
        <v>293</v>
      </c>
      <c r="H89" s="89" t="s">
        <v>410</v>
      </c>
      <c r="I89" s="89" t="s">
        <v>411</v>
      </c>
      <c r="J89" s="89" t="s">
        <v>412</v>
      </c>
      <c r="K89" s="89" t="s">
        <v>413</v>
      </c>
      <c r="L89" s="89" t="s">
        <v>414</v>
      </c>
      <c r="M89" s="89" t="s">
        <v>415</v>
      </c>
      <c r="N89" s="89" t="s">
        <v>416</v>
      </c>
      <c r="O89" s="89" t="s">
        <v>417</v>
      </c>
      <c r="P89" s="89" t="s">
        <v>418</v>
      </c>
      <c r="Q89" s="90" t="s">
        <v>419</v>
      </c>
    </row>
    <row r="90" spans="1:17" x14ac:dyDescent="0.3">
      <c r="A90" s="23">
        <v>6</v>
      </c>
      <c r="B90" s="88" t="s">
        <v>338</v>
      </c>
      <c r="C90" s="89" t="s">
        <v>420</v>
      </c>
      <c r="D90" s="89" t="s">
        <v>421</v>
      </c>
      <c r="E90" s="89" t="s">
        <v>422</v>
      </c>
      <c r="F90" s="89" t="s">
        <v>423</v>
      </c>
      <c r="G90" s="89" t="s">
        <v>424</v>
      </c>
      <c r="H90" s="89" t="s">
        <v>294</v>
      </c>
      <c r="I90" s="89" t="s">
        <v>425</v>
      </c>
      <c r="J90" s="89" t="s">
        <v>426</v>
      </c>
      <c r="K90" s="89" t="s">
        <v>427</v>
      </c>
      <c r="L90" s="89" t="s">
        <v>428</v>
      </c>
      <c r="M90" s="89" t="s">
        <v>429</v>
      </c>
      <c r="N90" s="89" t="s">
        <v>430</v>
      </c>
      <c r="O90" s="89" t="s">
        <v>431</v>
      </c>
      <c r="P90" s="89" t="s">
        <v>432</v>
      </c>
      <c r="Q90" s="90" t="s">
        <v>433</v>
      </c>
    </row>
    <row r="91" spans="1:17" x14ac:dyDescent="0.3">
      <c r="A91" s="23">
        <v>7</v>
      </c>
      <c r="B91" s="88" t="s">
        <v>339</v>
      </c>
      <c r="C91" s="89" t="s">
        <v>434</v>
      </c>
      <c r="D91" s="89" t="s">
        <v>435</v>
      </c>
      <c r="E91" s="89" t="s">
        <v>436</v>
      </c>
      <c r="F91" s="89" t="s">
        <v>437</v>
      </c>
      <c r="G91" s="89" t="s">
        <v>438</v>
      </c>
      <c r="H91" s="89" t="s">
        <v>439</v>
      </c>
      <c r="I91" s="89" t="s">
        <v>295</v>
      </c>
      <c r="J91" s="89" t="s">
        <v>440</v>
      </c>
      <c r="K91" s="89" t="s">
        <v>441</v>
      </c>
      <c r="L91" s="89" t="s">
        <v>442</v>
      </c>
      <c r="M91" s="89" t="s">
        <v>443</v>
      </c>
      <c r="N91" s="89" t="s">
        <v>444</v>
      </c>
      <c r="O91" s="89" t="s">
        <v>445</v>
      </c>
      <c r="P91" s="89" t="s">
        <v>446</v>
      </c>
      <c r="Q91" s="90" t="s">
        <v>447</v>
      </c>
    </row>
    <row r="92" spans="1:17" x14ac:dyDescent="0.3">
      <c r="A92" s="23">
        <v>8</v>
      </c>
      <c r="B92" s="19" t="s">
        <v>340</v>
      </c>
      <c r="C92" s="94" t="s">
        <v>448</v>
      </c>
      <c r="D92" s="94" t="s">
        <v>449</v>
      </c>
      <c r="E92" s="94" t="s">
        <v>450</v>
      </c>
      <c r="F92" s="94" t="s">
        <v>451</v>
      </c>
      <c r="G92" s="94" t="s">
        <v>452</v>
      </c>
      <c r="H92" s="94" t="s">
        <v>453</v>
      </c>
      <c r="I92" s="94" t="s">
        <v>454</v>
      </c>
      <c r="J92" s="94" t="s">
        <v>296</v>
      </c>
      <c r="K92" s="94" t="s">
        <v>455</v>
      </c>
      <c r="L92" s="94" t="s">
        <v>456</v>
      </c>
      <c r="M92" s="94" t="s">
        <v>457</v>
      </c>
      <c r="N92" s="94" t="s">
        <v>458</v>
      </c>
      <c r="O92" s="94" t="s">
        <v>459</v>
      </c>
      <c r="P92" s="94" t="s">
        <v>460</v>
      </c>
      <c r="Q92" s="95" t="s">
        <v>461</v>
      </c>
    </row>
    <row r="93" spans="1:17" x14ac:dyDescent="0.3">
      <c r="A93" s="23">
        <v>9</v>
      </c>
      <c r="B93" s="19" t="s">
        <v>341</v>
      </c>
      <c r="C93" s="94" t="s">
        <v>462</v>
      </c>
      <c r="D93" s="94" t="s">
        <v>463</v>
      </c>
      <c r="E93" s="94" t="s">
        <v>464</v>
      </c>
      <c r="F93" s="94" t="s">
        <v>465</v>
      </c>
      <c r="G93" s="94" t="s">
        <v>466</v>
      </c>
      <c r="H93" s="94" t="s">
        <v>467</v>
      </c>
      <c r="I93" s="94" t="s">
        <v>468</v>
      </c>
      <c r="J93" s="94" t="s">
        <v>469</v>
      </c>
      <c r="K93" s="94" t="s">
        <v>297</v>
      </c>
      <c r="L93" s="94" t="s">
        <v>470</v>
      </c>
      <c r="M93" s="94" t="s">
        <v>471</v>
      </c>
      <c r="N93" s="94" t="s">
        <v>472</v>
      </c>
      <c r="O93" s="94" t="s">
        <v>473</v>
      </c>
      <c r="P93" s="94" t="s">
        <v>474</v>
      </c>
      <c r="Q93" s="95" t="s">
        <v>475</v>
      </c>
    </row>
    <row r="94" spans="1:17" x14ac:dyDescent="0.3">
      <c r="A94" s="23">
        <v>10</v>
      </c>
      <c r="B94" s="19" t="s">
        <v>342</v>
      </c>
      <c r="C94" s="94" t="s">
        <v>476</v>
      </c>
      <c r="D94" s="94" t="s">
        <v>477</v>
      </c>
      <c r="E94" s="94" t="s">
        <v>478</v>
      </c>
      <c r="F94" s="94" t="s">
        <v>479</v>
      </c>
      <c r="G94" s="94" t="s">
        <v>480</v>
      </c>
      <c r="H94" s="94" t="s">
        <v>481</v>
      </c>
      <c r="I94" s="94" t="s">
        <v>482</v>
      </c>
      <c r="J94" s="94" t="s">
        <v>483</v>
      </c>
      <c r="K94" s="94" t="s">
        <v>484</v>
      </c>
      <c r="L94" s="94" t="s">
        <v>298</v>
      </c>
      <c r="M94" s="94" t="s">
        <v>485</v>
      </c>
      <c r="N94" s="94" t="s">
        <v>486</v>
      </c>
      <c r="O94" s="94" t="s">
        <v>487</v>
      </c>
      <c r="P94" s="94" t="s">
        <v>488</v>
      </c>
      <c r="Q94" s="95" t="s">
        <v>489</v>
      </c>
    </row>
    <row r="95" spans="1:17" x14ac:dyDescent="0.3">
      <c r="A95" s="23">
        <v>11</v>
      </c>
      <c r="B95" s="19" t="s">
        <v>343</v>
      </c>
      <c r="C95" s="94" t="s">
        <v>490</v>
      </c>
      <c r="D95" s="94" t="s">
        <v>491</v>
      </c>
      <c r="E95" s="94" t="s">
        <v>492</v>
      </c>
      <c r="F95" s="94" t="s">
        <v>493</v>
      </c>
      <c r="G95" s="94" t="s">
        <v>494</v>
      </c>
      <c r="H95" s="94" t="s">
        <v>495</v>
      </c>
      <c r="I95" s="94" t="s">
        <v>496</v>
      </c>
      <c r="J95" s="94" t="s">
        <v>497</v>
      </c>
      <c r="K95" s="94" t="s">
        <v>498</v>
      </c>
      <c r="L95" s="94" t="s">
        <v>499</v>
      </c>
      <c r="M95" s="94" t="s">
        <v>299</v>
      </c>
      <c r="N95" s="94" t="s">
        <v>500</v>
      </c>
      <c r="O95" s="94" t="s">
        <v>501</v>
      </c>
      <c r="P95" s="94" t="s">
        <v>502</v>
      </c>
      <c r="Q95" s="95" t="s">
        <v>503</v>
      </c>
    </row>
    <row r="96" spans="1:17" x14ac:dyDescent="0.3">
      <c r="A96" s="23">
        <v>12</v>
      </c>
      <c r="B96" s="19" t="s">
        <v>344</v>
      </c>
      <c r="C96" s="94" t="s">
        <v>504</v>
      </c>
      <c r="D96" s="94" t="s">
        <v>505</v>
      </c>
      <c r="E96" s="94" t="s">
        <v>506</v>
      </c>
      <c r="F96" s="94" t="s">
        <v>507</v>
      </c>
      <c r="G96" s="94" t="s">
        <v>508</v>
      </c>
      <c r="H96" s="94" t="s">
        <v>509</v>
      </c>
      <c r="I96" s="94" t="s">
        <v>510</v>
      </c>
      <c r="J96" s="94" t="s">
        <v>511</v>
      </c>
      <c r="K96" s="94" t="s">
        <v>512</v>
      </c>
      <c r="L96" s="94" t="s">
        <v>513</v>
      </c>
      <c r="M96" s="94" t="s">
        <v>514</v>
      </c>
      <c r="N96" s="94" t="s">
        <v>300</v>
      </c>
      <c r="O96" s="94" t="s">
        <v>515</v>
      </c>
      <c r="P96" s="94" t="s">
        <v>516</v>
      </c>
      <c r="Q96" s="95" t="s">
        <v>517</v>
      </c>
    </row>
    <row r="97" spans="1:17" x14ac:dyDescent="0.3">
      <c r="A97" s="23">
        <v>13</v>
      </c>
      <c r="B97" s="19" t="s">
        <v>345</v>
      </c>
      <c r="C97" s="94" t="s">
        <v>518</v>
      </c>
      <c r="D97" s="94" t="s">
        <v>519</v>
      </c>
      <c r="E97" s="94" t="s">
        <v>520</v>
      </c>
      <c r="F97" s="94" t="s">
        <v>521</v>
      </c>
      <c r="G97" s="94" t="s">
        <v>522</v>
      </c>
      <c r="H97" s="94" t="s">
        <v>523</v>
      </c>
      <c r="I97" s="94" t="s">
        <v>524</v>
      </c>
      <c r="J97" s="94" t="s">
        <v>525</v>
      </c>
      <c r="K97" s="94" t="s">
        <v>526</v>
      </c>
      <c r="L97" s="94" t="s">
        <v>527</v>
      </c>
      <c r="M97" s="94" t="s">
        <v>528</v>
      </c>
      <c r="N97" s="94" t="s">
        <v>529</v>
      </c>
      <c r="O97" s="94" t="s">
        <v>301</v>
      </c>
      <c r="P97" s="94" t="s">
        <v>530</v>
      </c>
      <c r="Q97" s="95" t="s">
        <v>531</v>
      </c>
    </row>
    <row r="98" spans="1:17" x14ac:dyDescent="0.3">
      <c r="A98" s="23">
        <v>14</v>
      </c>
      <c r="B98" s="19" t="s">
        <v>346</v>
      </c>
      <c r="C98" s="94" t="s">
        <v>532</v>
      </c>
      <c r="D98" s="94" t="s">
        <v>533</v>
      </c>
      <c r="E98" s="94" t="s">
        <v>534</v>
      </c>
      <c r="F98" s="94" t="s">
        <v>535</v>
      </c>
      <c r="G98" s="94" t="s">
        <v>536</v>
      </c>
      <c r="H98" s="94" t="s">
        <v>537</v>
      </c>
      <c r="I98" s="94" t="s">
        <v>538</v>
      </c>
      <c r="J98" s="94" t="s">
        <v>539</v>
      </c>
      <c r="K98" s="94" t="s">
        <v>540</v>
      </c>
      <c r="L98" s="94" t="s">
        <v>541</v>
      </c>
      <c r="M98" s="94" t="s">
        <v>542</v>
      </c>
      <c r="N98" s="94" t="s">
        <v>543</v>
      </c>
      <c r="O98" s="94" t="s">
        <v>544</v>
      </c>
      <c r="P98" s="94" t="s">
        <v>302</v>
      </c>
      <c r="Q98" s="95" t="s">
        <v>545</v>
      </c>
    </row>
    <row r="99" spans="1:17" x14ac:dyDescent="0.3">
      <c r="A99" s="23">
        <v>15</v>
      </c>
      <c r="B99" s="19" t="s">
        <v>347</v>
      </c>
      <c r="C99" s="94" t="s">
        <v>546</v>
      </c>
      <c r="D99" s="94" t="s">
        <v>547</v>
      </c>
      <c r="E99" s="94" t="s">
        <v>548</v>
      </c>
      <c r="F99" s="94" t="s">
        <v>549</v>
      </c>
      <c r="G99" s="94" t="s">
        <v>550</v>
      </c>
      <c r="H99" s="94" t="s">
        <v>551</v>
      </c>
      <c r="I99" s="94" t="s">
        <v>552</v>
      </c>
      <c r="J99" s="94" t="s">
        <v>553</v>
      </c>
      <c r="K99" s="94" t="s">
        <v>554</v>
      </c>
      <c r="L99" s="94" t="s">
        <v>555</v>
      </c>
      <c r="M99" s="94" t="s">
        <v>556</v>
      </c>
      <c r="N99" s="94" t="s">
        <v>557</v>
      </c>
      <c r="O99" s="94" t="s">
        <v>558</v>
      </c>
      <c r="P99" s="94" t="s">
        <v>559</v>
      </c>
      <c r="Q99" s="95" t="s">
        <v>303</v>
      </c>
    </row>
    <row r="100" spans="1:17" x14ac:dyDescent="0.3">
      <c r="A100" s="23">
        <v>16</v>
      </c>
      <c r="B100" s="19" t="s">
        <v>348</v>
      </c>
      <c r="C100" s="94" t="s">
        <v>560</v>
      </c>
      <c r="D100" s="94" t="s">
        <v>561</v>
      </c>
      <c r="E100" s="94" t="s">
        <v>562</v>
      </c>
      <c r="F100" s="94" t="s">
        <v>563</v>
      </c>
      <c r="G100" s="94" t="s">
        <v>564</v>
      </c>
      <c r="H100" s="94" t="s">
        <v>565</v>
      </c>
      <c r="I100" s="94" t="s">
        <v>566</v>
      </c>
      <c r="J100" s="94" t="s">
        <v>567</v>
      </c>
      <c r="K100" s="94" t="s">
        <v>568</v>
      </c>
      <c r="L100" s="94" t="s">
        <v>569</v>
      </c>
      <c r="M100" s="94" t="s">
        <v>570</v>
      </c>
      <c r="N100" s="94" t="s">
        <v>571</v>
      </c>
      <c r="O100" s="94" t="s">
        <v>572</v>
      </c>
      <c r="P100" s="94" t="s">
        <v>573</v>
      </c>
      <c r="Q100" s="95" t="s">
        <v>574</v>
      </c>
    </row>
    <row r="101" spans="1:17" x14ac:dyDescent="0.3">
      <c r="A101" s="23">
        <v>17</v>
      </c>
      <c r="B101" s="19" t="s">
        <v>803</v>
      </c>
      <c r="C101" s="94" t="s">
        <v>823</v>
      </c>
      <c r="D101" s="94" t="s">
        <v>824</v>
      </c>
      <c r="E101" s="94" t="s">
        <v>825</v>
      </c>
      <c r="F101" s="94" t="s">
        <v>826</v>
      </c>
      <c r="G101" s="94" t="s">
        <v>827</v>
      </c>
      <c r="H101" s="94" t="s">
        <v>828</v>
      </c>
      <c r="I101" s="94" t="s">
        <v>829</v>
      </c>
      <c r="J101" s="94" t="s">
        <v>830</v>
      </c>
      <c r="K101" s="94" t="s">
        <v>831</v>
      </c>
      <c r="L101" s="94" t="s">
        <v>832</v>
      </c>
      <c r="M101" s="94" t="s">
        <v>833</v>
      </c>
      <c r="N101" s="94" t="s">
        <v>834</v>
      </c>
      <c r="O101" s="94" t="s">
        <v>835</v>
      </c>
      <c r="P101" s="94" t="s">
        <v>836</v>
      </c>
      <c r="Q101" s="95" t="s">
        <v>837</v>
      </c>
    </row>
    <row r="102" spans="1:17" x14ac:dyDescent="0.3">
      <c r="A102" s="23">
        <v>18</v>
      </c>
      <c r="B102" s="19" t="s">
        <v>804</v>
      </c>
      <c r="C102" s="94" t="s">
        <v>838</v>
      </c>
      <c r="D102" s="94" t="s">
        <v>839</v>
      </c>
      <c r="E102" s="94" t="s">
        <v>840</v>
      </c>
      <c r="F102" s="94" t="s">
        <v>841</v>
      </c>
      <c r="G102" s="94" t="s">
        <v>842</v>
      </c>
      <c r="H102" s="94" t="s">
        <v>843</v>
      </c>
      <c r="I102" s="94" t="s">
        <v>844</v>
      </c>
      <c r="J102" s="94" t="s">
        <v>845</v>
      </c>
      <c r="K102" s="94" t="s">
        <v>846</v>
      </c>
      <c r="L102" s="94" t="s">
        <v>847</v>
      </c>
      <c r="M102" s="94" t="s">
        <v>848</v>
      </c>
      <c r="N102" s="94" t="s">
        <v>849</v>
      </c>
      <c r="O102" s="94" t="s">
        <v>850</v>
      </c>
      <c r="P102" s="94" t="s">
        <v>851</v>
      </c>
      <c r="Q102" s="95" t="s">
        <v>852</v>
      </c>
    </row>
    <row r="103" spans="1:17" x14ac:dyDescent="0.3">
      <c r="A103" s="23">
        <v>19</v>
      </c>
      <c r="B103" s="19" t="s">
        <v>805</v>
      </c>
      <c r="C103" s="94" t="s">
        <v>859</v>
      </c>
      <c r="D103" s="94" t="s">
        <v>860</v>
      </c>
      <c r="E103" s="94" t="s">
        <v>861</v>
      </c>
      <c r="F103" s="94" t="s">
        <v>862</v>
      </c>
      <c r="G103" s="94" t="s">
        <v>863</v>
      </c>
      <c r="H103" s="94" t="s">
        <v>864</v>
      </c>
      <c r="I103" s="94" t="s">
        <v>865</v>
      </c>
      <c r="J103" s="94" t="s">
        <v>866</v>
      </c>
      <c r="K103" s="94" t="s">
        <v>867</v>
      </c>
      <c r="L103" s="94" t="s">
        <v>868</v>
      </c>
      <c r="M103" s="94" t="s">
        <v>869</v>
      </c>
      <c r="N103" s="94" t="s">
        <v>870</v>
      </c>
      <c r="O103" s="94" t="s">
        <v>871</v>
      </c>
      <c r="P103" s="94" t="s">
        <v>872</v>
      </c>
      <c r="Q103" s="95" t="s">
        <v>873</v>
      </c>
    </row>
    <row r="104" spans="1:17" x14ac:dyDescent="0.3">
      <c r="A104" s="23">
        <v>20</v>
      </c>
      <c r="B104" s="19" t="s">
        <v>806</v>
      </c>
      <c r="C104" s="94" t="s">
        <v>874</v>
      </c>
      <c r="D104" s="94" t="s">
        <v>875</v>
      </c>
      <c r="E104" s="94" t="s">
        <v>876</v>
      </c>
      <c r="F104" s="94" t="s">
        <v>877</v>
      </c>
      <c r="G104" s="94" t="s">
        <v>878</v>
      </c>
      <c r="H104" s="94" t="s">
        <v>879</v>
      </c>
      <c r="I104" s="94" t="s">
        <v>880</v>
      </c>
      <c r="J104" s="94" t="s">
        <v>881</v>
      </c>
      <c r="K104" s="94" t="s">
        <v>882</v>
      </c>
      <c r="L104" s="94" t="s">
        <v>883</v>
      </c>
      <c r="M104" s="94" t="s">
        <v>884</v>
      </c>
      <c r="N104" s="94" t="s">
        <v>885</v>
      </c>
      <c r="O104" s="94" t="s">
        <v>886</v>
      </c>
      <c r="P104" s="94" t="s">
        <v>887</v>
      </c>
      <c r="Q104" s="95" t="s">
        <v>888</v>
      </c>
    </row>
    <row r="105" spans="1:17" x14ac:dyDescent="0.3">
      <c r="A105" s="23">
        <v>21</v>
      </c>
      <c r="B105" s="19" t="s">
        <v>807</v>
      </c>
      <c r="C105" s="94" t="s">
        <v>889</v>
      </c>
      <c r="D105" s="94" t="s">
        <v>890</v>
      </c>
      <c r="E105" s="94" t="s">
        <v>891</v>
      </c>
      <c r="F105" s="94" t="s">
        <v>892</v>
      </c>
      <c r="G105" s="94" t="s">
        <v>893</v>
      </c>
      <c r="H105" s="94" t="s">
        <v>894</v>
      </c>
      <c r="I105" s="94" t="s">
        <v>895</v>
      </c>
      <c r="J105" s="94" t="s">
        <v>896</v>
      </c>
      <c r="K105" s="94" t="s">
        <v>897</v>
      </c>
      <c r="L105" s="94" t="s">
        <v>898</v>
      </c>
      <c r="M105" s="94" t="s">
        <v>899</v>
      </c>
      <c r="N105" s="94" t="s">
        <v>900</v>
      </c>
      <c r="O105" s="94" t="s">
        <v>901</v>
      </c>
      <c r="P105" s="94" t="s">
        <v>902</v>
      </c>
      <c r="Q105" s="95" t="s">
        <v>903</v>
      </c>
    </row>
    <row r="106" spans="1:17" x14ac:dyDescent="0.3">
      <c r="A106" s="23">
        <v>22</v>
      </c>
      <c r="B106" s="19" t="s">
        <v>808</v>
      </c>
      <c r="C106" s="94" t="s">
        <v>904</v>
      </c>
      <c r="D106" s="94" t="s">
        <v>905</v>
      </c>
      <c r="E106" s="94" t="s">
        <v>906</v>
      </c>
      <c r="F106" s="94" t="s">
        <v>907</v>
      </c>
      <c r="G106" s="94" t="s">
        <v>908</v>
      </c>
      <c r="H106" s="94" t="s">
        <v>909</v>
      </c>
      <c r="I106" s="94" t="s">
        <v>910</v>
      </c>
      <c r="J106" s="94" t="s">
        <v>911</v>
      </c>
      <c r="K106" s="94" t="s">
        <v>912</v>
      </c>
      <c r="L106" s="94" t="s">
        <v>913</v>
      </c>
      <c r="M106" s="94" t="s">
        <v>914</v>
      </c>
      <c r="N106" s="94" t="s">
        <v>915</v>
      </c>
      <c r="O106" s="94" t="s">
        <v>916</v>
      </c>
      <c r="P106" s="94" t="s">
        <v>917</v>
      </c>
      <c r="Q106" s="95" t="s">
        <v>918</v>
      </c>
    </row>
    <row r="107" spans="1:17" x14ac:dyDescent="0.3">
      <c r="A107" s="23">
        <v>23</v>
      </c>
      <c r="B107" s="19" t="s">
        <v>809</v>
      </c>
      <c r="C107" s="94" t="s">
        <v>919</v>
      </c>
      <c r="D107" s="94" t="s">
        <v>920</v>
      </c>
      <c r="E107" s="94" t="s">
        <v>921</v>
      </c>
      <c r="F107" s="94" t="s">
        <v>922</v>
      </c>
      <c r="G107" s="94" t="s">
        <v>923</v>
      </c>
      <c r="H107" s="94" t="s">
        <v>924</v>
      </c>
      <c r="I107" s="94" t="s">
        <v>925</v>
      </c>
      <c r="J107" s="94" t="s">
        <v>926</v>
      </c>
      <c r="K107" s="94" t="s">
        <v>927</v>
      </c>
      <c r="L107" s="94" t="s">
        <v>928</v>
      </c>
      <c r="M107" s="94" t="s">
        <v>929</v>
      </c>
      <c r="N107" s="94" t="s">
        <v>930</v>
      </c>
      <c r="O107" s="94" t="s">
        <v>931</v>
      </c>
      <c r="P107" s="94" t="s">
        <v>932</v>
      </c>
      <c r="Q107" s="95" t="s">
        <v>933</v>
      </c>
    </row>
    <row r="108" spans="1:17" x14ac:dyDescent="0.3">
      <c r="A108" s="23">
        <v>24</v>
      </c>
      <c r="B108" s="19" t="s">
        <v>810</v>
      </c>
      <c r="C108" s="94" t="s">
        <v>934</v>
      </c>
      <c r="D108" s="94" t="s">
        <v>935</v>
      </c>
      <c r="E108" s="94" t="s">
        <v>936</v>
      </c>
      <c r="F108" s="94" t="s">
        <v>937</v>
      </c>
      <c r="G108" s="94" t="s">
        <v>938</v>
      </c>
      <c r="H108" s="94" t="s">
        <v>939</v>
      </c>
      <c r="I108" s="94" t="s">
        <v>940</v>
      </c>
      <c r="J108" s="94" t="s">
        <v>941</v>
      </c>
      <c r="K108" s="94" t="s">
        <v>942</v>
      </c>
      <c r="L108" s="94" t="s">
        <v>943</v>
      </c>
      <c r="M108" s="94" t="s">
        <v>944</v>
      </c>
      <c r="N108" s="94" t="s">
        <v>945</v>
      </c>
      <c r="O108" s="94" t="s">
        <v>946</v>
      </c>
      <c r="P108" s="94" t="s">
        <v>947</v>
      </c>
      <c r="Q108" s="95" t="s">
        <v>948</v>
      </c>
    </row>
    <row r="109" spans="1:17" x14ac:dyDescent="0.3">
      <c r="A109" s="23">
        <v>25</v>
      </c>
      <c r="B109" s="19" t="s">
        <v>811</v>
      </c>
      <c r="C109" s="94" t="s">
        <v>952</v>
      </c>
      <c r="D109" s="94" t="s">
        <v>953</v>
      </c>
      <c r="E109" s="94" t="s">
        <v>954</v>
      </c>
      <c r="F109" s="94" t="s">
        <v>955</v>
      </c>
      <c r="G109" s="94" t="s">
        <v>956</v>
      </c>
      <c r="H109" s="94" t="s">
        <v>957</v>
      </c>
      <c r="I109" s="94" t="s">
        <v>958</v>
      </c>
      <c r="J109" s="94" t="s">
        <v>959</v>
      </c>
      <c r="K109" s="94" t="s">
        <v>960</v>
      </c>
      <c r="L109" s="94" t="s">
        <v>961</v>
      </c>
      <c r="M109" s="94" t="s">
        <v>962</v>
      </c>
      <c r="N109" s="94" t="s">
        <v>963</v>
      </c>
      <c r="O109" s="94" t="s">
        <v>964</v>
      </c>
      <c r="P109" s="94" t="s">
        <v>965</v>
      </c>
      <c r="Q109" s="95" t="s">
        <v>966</v>
      </c>
    </row>
    <row r="110" spans="1:17" x14ac:dyDescent="0.3">
      <c r="A110" s="23">
        <v>26</v>
      </c>
      <c r="B110" s="19" t="s">
        <v>812</v>
      </c>
      <c r="C110" s="94" t="s">
        <v>967</v>
      </c>
      <c r="D110" s="94" t="s">
        <v>968</v>
      </c>
      <c r="E110" s="94" t="s">
        <v>969</v>
      </c>
      <c r="F110" s="94" t="s">
        <v>970</v>
      </c>
      <c r="G110" s="94" t="s">
        <v>971</v>
      </c>
      <c r="H110" s="94" t="s">
        <v>972</v>
      </c>
      <c r="I110" s="94" t="s">
        <v>973</v>
      </c>
      <c r="J110" s="94" t="s">
        <v>974</v>
      </c>
      <c r="K110" s="94" t="s">
        <v>975</v>
      </c>
      <c r="L110" s="94" t="s">
        <v>976</v>
      </c>
      <c r="M110" s="94" t="s">
        <v>977</v>
      </c>
      <c r="N110" s="94" t="s">
        <v>978</v>
      </c>
      <c r="O110" s="94" t="s">
        <v>979</v>
      </c>
      <c r="P110" s="94" t="s">
        <v>980</v>
      </c>
      <c r="Q110" s="95" t="s">
        <v>981</v>
      </c>
    </row>
    <row r="111" spans="1:17" x14ac:dyDescent="0.3">
      <c r="A111" s="23">
        <v>27</v>
      </c>
      <c r="B111" s="19" t="s">
        <v>813</v>
      </c>
      <c r="C111" s="94" t="s">
        <v>982</v>
      </c>
      <c r="D111" s="94" t="s">
        <v>983</v>
      </c>
      <c r="E111" s="94" t="s">
        <v>984</v>
      </c>
      <c r="F111" s="94" t="s">
        <v>985</v>
      </c>
      <c r="G111" s="94" t="s">
        <v>986</v>
      </c>
      <c r="H111" s="94" t="s">
        <v>987</v>
      </c>
      <c r="I111" s="94" t="s">
        <v>988</v>
      </c>
      <c r="J111" s="94" t="s">
        <v>989</v>
      </c>
      <c r="K111" s="94" t="s">
        <v>990</v>
      </c>
      <c r="L111" s="94" t="s">
        <v>991</v>
      </c>
      <c r="M111" s="94" t="s">
        <v>992</v>
      </c>
      <c r="N111" s="94" t="s">
        <v>993</v>
      </c>
      <c r="O111" s="94" t="s">
        <v>994</v>
      </c>
      <c r="P111" s="94" t="s">
        <v>995</v>
      </c>
      <c r="Q111" s="95" t="s">
        <v>996</v>
      </c>
    </row>
    <row r="112" spans="1:17" x14ac:dyDescent="0.3">
      <c r="A112" s="23">
        <v>28</v>
      </c>
      <c r="B112" s="19" t="s">
        <v>814</v>
      </c>
      <c r="C112" s="94" t="s">
        <v>997</v>
      </c>
      <c r="D112" s="94" t="s">
        <v>998</v>
      </c>
      <c r="E112" s="94" t="s">
        <v>999</v>
      </c>
      <c r="F112" s="94" t="s">
        <v>1000</v>
      </c>
      <c r="G112" s="94" t="s">
        <v>1001</v>
      </c>
      <c r="H112" s="94" t="s">
        <v>1002</v>
      </c>
      <c r="I112" s="94" t="s">
        <v>1003</v>
      </c>
      <c r="J112" s="94" t="s">
        <v>1004</v>
      </c>
      <c r="K112" s="94" t="s">
        <v>1005</v>
      </c>
      <c r="L112" s="94" t="s">
        <v>1006</v>
      </c>
      <c r="M112" s="94" t="s">
        <v>1007</v>
      </c>
      <c r="N112" s="94" t="s">
        <v>1008</v>
      </c>
      <c r="O112" s="94" t="s">
        <v>1009</v>
      </c>
      <c r="P112" s="94" t="s">
        <v>1010</v>
      </c>
      <c r="Q112" s="95" t="s">
        <v>1011</v>
      </c>
    </row>
    <row r="113" spans="1:17" x14ac:dyDescent="0.3">
      <c r="A113" s="23">
        <v>29</v>
      </c>
      <c r="B113" s="19" t="s">
        <v>815</v>
      </c>
      <c r="C113" s="94" t="s">
        <v>1015</v>
      </c>
      <c r="D113" s="94" t="s">
        <v>1016</v>
      </c>
      <c r="E113" s="94" t="s">
        <v>1017</v>
      </c>
      <c r="F113" s="94" t="s">
        <v>1018</v>
      </c>
      <c r="G113" s="94" t="s">
        <v>1019</v>
      </c>
      <c r="H113" s="94" t="s">
        <v>1020</v>
      </c>
      <c r="I113" s="94" t="s">
        <v>1021</v>
      </c>
      <c r="J113" s="94" t="s">
        <v>1022</v>
      </c>
      <c r="K113" s="94" t="s">
        <v>1023</v>
      </c>
      <c r="L113" s="94" t="s">
        <v>1024</v>
      </c>
      <c r="M113" s="94" t="s">
        <v>1025</v>
      </c>
      <c r="N113" s="94" t="s">
        <v>1026</v>
      </c>
      <c r="O113" s="94" t="s">
        <v>1027</v>
      </c>
      <c r="P113" s="94" t="s">
        <v>1028</v>
      </c>
      <c r="Q113" s="95" t="s">
        <v>1029</v>
      </c>
    </row>
    <row r="114" spans="1:17" x14ac:dyDescent="0.3">
      <c r="A114" s="23">
        <v>30</v>
      </c>
      <c r="B114" s="19" t="s">
        <v>816</v>
      </c>
      <c r="C114" s="94" t="s">
        <v>1030</v>
      </c>
      <c r="D114" s="94" t="s">
        <v>1031</v>
      </c>
      <c r="E114" s="94" t="s">
        <v>1032</v>
      </c>
      <c r="F114" s="94" t="s">
        <v>1033</v>
      </c>
      <c r="G114" s="94" t="s">
        <v>1034</v>
      </c>
      <c r="H114" s="94" t="s">
        <v>1035</v>
      </c>
      <c r="I114" s="94" t="s">
        <v>1036</v>
      </c>
      <c r="J114" s="94" t="s">
        <v>1037</v>
      </c>
      <c r="K114" s="94" t="s">
        <v>1038</v>
      </c>
      <c r="L114" s="94" t="s">
        <v>1039</v>
      </c>
      <c r="M114" s="94" t="s">
        <v>1040</v>
      </c>
      <c r="N114" s="94" t="s">
        <v>1041</v>
      </c>
      <c r="O114" s="94" t="s">
        <v>1042</v>
      </c>
      <c r="P114" s="94" t="s">
        <v>1043</v>
      </c>
      <c r="Q114" s="95" t="s">
        <v>1044</v>
      </c>
    </row>
    <row r="115" spans="1:17" x14ac:dyDescent="0.3">
      <c r="A115" s="23">
        <v>31</v>
      </c>
      <c r="B115" s="19" t="s">
        <v>817</v>
      </c>
      <c r="C115" s="94" t="s">
        <v>1045</v>
      </c>
      <c r="D115" s="94" t="s">
        <v>1046</v>
      </c>
      <c r="E115" s="94" t="s">
        <v>1047</v>
      </c>
      <c r="F115" s="94" t="s">
        <v>1048</v>
      </c>
      <c r="G115" s="94" t="s">
        <v>1049</v>
      </c>
      <c r="H115" s="94" t="s">
        <v>1050</v>
      </c>
      <c r="I115" s="94" t="s">
        <v>1051</v>
      </c>
      <c r="J115" s="94" t="s">
        <v>1052</v>
      </c>
      <c r="K115" s="94" t="s">
        <v>1053</v>
      </c>
      <c r="L115" s="94" t="s">
        <v>1054</v>
      </c>
      <c r="M115" s="94" t="s">
        <v>1055</v>
      </c>
      <c r="N115" s="94" t="s">
        <v>1056</v>
      </c>
      <c r="O115" s="94" t="s">
        <v>1057</v>
      </c>
      <c r="P115" s="94" t="s">
        <v>1058</v>
      </c>
      <c r="Q115" s="95" t="s">
        <v>1059</v>
      </c>
    </row>
    <row r="116" spans="1:17" x14ac:dyDescent="0.3">
      <c r="A116" s="23">
        <v>32</v>
      </c>
      <c r="B116" s="19" t="s">
        <v>818</v>
      </c>
      <c r="C116" s="94" t="s">
        <v>1063</v>
      </c>
      <c r="D116" s="94" t="s">
        <v>1064</v>
      </c>
      <c r="E116" s="94" t="s">
        <v>1065</v>
      </c>
      <c r="F116" s="94" t="s">
        <v>1066</v>
      </c>
      <c r="G116" s="94" t="s">
        <v>1067</v>
      </c>
      <c r="H116" s="94" t="s">
        <v>1068</v>
      </c>
      <c r="I116" s="94" t="s">
        <v>1069</v>
      </c>
      <c r="J116" s="94" t="s">
        <v>1070</v>
      </c>
      <c r="K116" s="94" t="s">
        <v>1071</v>
      </c>
      <c r="L116" s="94" t="s">
        <v>1072</v>
      </c>
      <c r="M116" s="94" t="s">
        <v>1073</v>
      </c>
      <c r="N116" s="94" t="s">
        <v>1074</v>
      </c>
      <c r="O116" s="94" t="s">
        <v>1075</v>
      </c>
      <c r="P116" s="94" t="s">
        <v>1076</v>
      </c>
      <c r="Q116" s="95" t="s">
        <v>1077</v>
      </c>
    </row>
    <row r="117" spans="1:17" x14ac:dyDescent="0.3">
      <c r="A117" s="23">
        <v>33</v>
      </c>
      <c r="B117" s="19" t="s">
        <v>819</v>
      </c>
      <c r="C117" s="94" t="s">
        <v>1078</v>
      </c>
      <c r="D117" s="94" t="s">
        <v>1079</v>
      </c>
      <c r="E117" s="94" t="s">
        <v>1080</v>
      </c>
      <c r="F117" s="94" t="s">
        <v>1081</v>
      </c>
      <c r="G117" s="94" t="s">
        <v>1082</v>
      </c>
      <c r="H117" s="94" t="s">
        <v>1083</v>
      </c>
      <c r="I117" s="94" t="s">
        <v>1084</v>
      </c>
      <c r="J117" s="94" t="s">
        <v>1085</v>
      </c>
      <c r="K117" s="94" t="s">
        <v>1086</v>
      </c>
      <c r="L117" s="94" t="s">
        <v>1087</v>
      </c>
      <c r="M117" s="94" t="s">
        <v>1088</v>
      </c>
      <c r="N117" s="94" t="s">
        <v>1089</v>
      </c>
      <c r="O117" s="94" t="s">
        <v>1090</v>
      </c>
      <c r="P117" s="94" t="s">
        <v>1091</v>
      </c>
      <c r="Q117" s="95" t="s">
        <v>1092</v>
      </c>
    </row>
    <row r="118" spans="1:17" x14ac:dyDescent="0.3">
      <c r="A118" s="23">
        <v>34</v>
      </c>
      <c r="B118" s="19" t="s">
        <v>820</v>
      </c>
      <c r="C118" s="94" t="s">
        <v>1093</v>
      </c>
      <c r="D118" s="94" t="s">
        <v>1094</v>
      </c>
      <c r="E118" s="94" t="s">
        <v>1095</v>
      </c>
      <c r="F118" s="94" t="s">
        <v>1096</v>
      </c>
      <c r="G118" s="94" t="s">
        <v>1097</v>
      </c>
      <c r="H118" s="94" t="s">
        <v>1098</v>
      </c>
      <c r="I118" s="94" t="s">
        <v>1099</v>
      </c>
      <c r="J118" s="94" t="s">
        <v>1100</v>
      </c>
      <c r="K118" s="94" t="s">
        <v>1101</v>
      </c>
      <c r="L118" s="94" t="s">
        <v>1102</v>
      </c>
      <c r="M118" s="94" t="s">
        <v>1103</v>
      </c>
      <c r="N118" s="94" t="s">
        <v>1104</v>
      </c>
      <c r="O118" s="94" t="s">
        <v>1105</v>
      </c>
      <c r="P118" s="94" t="s">
        <v>1106</v>
      </c>
      <c r="Q118" s="95" t="s">
        <v>1107</v>
      </c>
    </row>
    <row r="119" spans="1:17" x14ac:dyDescent="0.3">
      <c r="A119" s="23">
        <v>35</v>
      </c>
      <c r="B119" s="19" t="s">
        <v>821</v>
      </c>
      <c r="C119" s="94" t="s">
        <v>1111</v>
      </c>
      <c r="D119" s="94" t="s">
        <v>1112</v>
      </c>
      <c r="E119" s="94" t="s">
        <v>1113</v>
      </c>
      <c r="F119" s="94" t="s">
        <v>1114</v>
      </c>
      <c r="G119" s="94" t="s">
        <v>1115</v>
      </c>
      <c r="H119" s="94" t="s">
        <v>1116</v>
      </c>
      <c r="I119" s="94" t="s">
        <v>1117</v>
      </c>
      <c r="J119" s="94" t="s">
        <v>1118</v>
      </c>
      <c r="K119" s="94" t="s">
        <v>1119</v>
      </c>
      <c r="L119" s="94" t="s">
        <v>1120</v>
      </c>
      <c r="M119" s="94" t="s">
        <v>1121</v>
      </c>
      <c r="N119" s="94" t="s">
        <v>1122</v>
      </c>
      <c r="O119" s="94" t="s">
        <v>1123</v>
      </c>
      <c r="P119" s="94" t="s">
        <v>1124</v>
      </c>
      <c r="Q119" s="95" t="s">
        <v>1125</v>
      </c>
    </row>
    <row r="120" spans="1:17" x14ac:dyDescent="0.3">
      <c r="A120" s="23">
        <v>36</v>
      </c>
      <c r="B120" s="19" t="s">
        <v>822</v>
      </c>
      <c r="C120" s="94" t="s">
        <v>1129</v>
      </c>
      <c r="D120" s="94" t="s">
        <v>1130</v>
      </c>
      <c r="E120" s="94" t="s">
        <v>1131</v>
      </c>
      <c r="F120" s="94" t="s">
        <v>1132</v>
      </c>
      <c r="G120" s="94" t="s">
        <v>1133</v>
      </c>
      <c r="H120" s="94" t="s">
        <v>1134</v>
      </c>
      <c r="I120" s="94" t="s">
        <v>1135</v>
      </c>
      <c r="J120" s="94" t="s">
        <v>1136</v>
      </c>
      <c r="K120" s="94" t="s">
        <v>1137</v>
      </c>
      <c r="L120" s="94" t="s">
        <v>1138</v>
      </c>
      <c r="M120" s="94" t="s">
        <v>1139</v>
      </c>
      <c r="N120" s="94" t="s">
        <v>1140</v>
      </c>
      <c r="O120" s="94" t="s">
        <v>1141</v>
      </c>
      <c r="P120" s="94" t="s">
        <v>1142</v>
      </c>
      <c r="Q120" s="95" t="s">
        <v>1143</v>
      </c>
    </row>
    <row r="121" spans="1:17" x14ac:dyDescent="0.3">
      <c r="A121" s="23">
        <v>37</v>
      </c>
      <c r="B121" s="19" t="s">
        <v>853</v>
      </c>
      <c r="C121" s="94" t="s">
        <v>1144</v>
      </c>
      <c r="D121" s="94" t="s">
        <v>1145</v>
      </c>
      <c r="E121" s="94" t="s">
        <v>1146</v>
      </c>
      <c r="F121" s="94" t="s">
        <v>1147</v>
      </c>
      <c r="G121" s="94" t="s">
        <v>1148</v>
      </c>
      <c r="H121" s="94" t="s">
        <v>1149</v>
      </c>
      <c r="I121" s="94" t="s">
        <v>1150</v>
      </c>
      <c r="J121" s="94" t="s">
        <v>1151</v>
      </c>
      <c r="K121" s="94" t="s">
        <v>1152</v>
      </c>
      <c r="L121" s="94" t="s">
        <v>1153</v>
      </c>
      <c r="M121" s="94" t="s">
        <v>1154</v>
      </c>
      <c r="N121" s="94" t="s">
        <v>1155</v>
      </c>
      <c r="O121" s="94" t="s">
        <v>1156</v>
      </c>
      <c r="P121" s="94" t="s">
        <v>1157</v>
      </c>
      <c r="Q121" s="95" t="s">
        <v>1158</v>
      </c>
    </row>
    <row r="122" spans="1:17" x14ac:dyDescent="0.3">
      <c r="A122" s="23">
        <v>38</v>
      </c>
      <c r="B122" s="19" t="s">
        <v>854</v>
      </c>
      <c r="C122" s="94" t="s">
        <v>1160</v>
      </c>
      <c r="D122" s="94" t="s">
        <v>1161</v>
      </c>
      <c r="E122" s="94" t="s">
        <v>1162</v>
      </c>
      <c r="F122" s="94" t="s">
        <v>1163</v>
      </c>
      <c r="G122" s="94" t="s">
        <v>1164</v>
      </c>
      <c r="H122" s="94" t="s">
        <v>1165</v>
      </c>
      <c r="I122" s="94" t="s">
        <v>1166</v>
      </c>
      <c r="J122" s="94" t="s">
        <v>1167</v>
      </c>
      <c r="K122" s="94" t="s">
        <v>1168</v>
      </c>
      <c r="L122" s="94" t="s">
        <v>1169</v>
      </c>
      <c r="M122" s="94" t="s">
        <v>1170</v>
      </c>
      <c r="N122" s="94" t="s">
        <v>1171</v>
      </c>
      <c r="O122" s="94" t="s">
        <v>1172</v>
      </c>
      <c r="P122" s="94" t="s">
        <v>1173</v>
      </c>
      <c r="Q122" s="95" t="s">
        <v>1174</v>
      </c>
    </row>
    <row r="123" spans="1:17" x14ac:dyDescent="0.3">
      <c r="A123" s="23">
        <v>39</v>
      </c>
      <c r="B123" s="19" t="s">
        <v>855</v>
      </c>
      <c r="C123" s="94" t="s">
        <v>1175</v>
      </c>
      <c r="D123" s="94" t="s">
        <v>1176</v>
      </c>
      <c r="E123" s="94" t="s">
        <v>1177</v>
      </c>
      <c r="F123" s="94" t="s">
        <v>1178</v>
      </c>
      <c r="G123" s="94" t="s">
        <v>1179</v>
      </c>
      <c r="H123" s="94" t="s">
        <v>1180</v>
      </c>
      <c r="I123" s="94" t="s">
        <v>1181</v>
      </c>
      <c r="J123" s="94" t="s">
        <v>1182</v>
      </c>
      <c r="K123" s="94" t="s">
        <v>1183</v>
      </c>
      <c r="L123" s="94" t="s">
        <v>1184</v>
      </c>
      <c r="M123" s="94" t="s">
        <v>1185</v>
      </c>
      <c r="N123" s="94" t="s">
        <v>1186</v>
      </c>
      <c r="O123" s="94" t="s">
        <v>1187</v>
      </c>
      <c r="P123" s="94" t="s">
        <v>1188</v>
      </c>
      <c r="Q123" s="95" t="s">
        <v>1189</v>
      </c>
    </row>
    <row r="124" spans="1:17" x14ac:dyDescent="0.3">
      <c r="A124" s="23">
        <v>40</v>
      </c>
      <c r="B124" s="19" t="s">
        <v>856</v>
      </c>
      <c r="C124" s="94" t="s">
        <v>1190</v>
      </c>
      <c r="D124" s="94" t="s">
        <v>1191</v>
      </c>
      <c r="E124" s="94" t="s">
        <v>1192</v>
      </c>
      <c r="F124" s="94" t="s">
        <v>1193</v>
      </c>
      <c r="G124" s="94" t="s">
        <v>1194</v>
      </c>
      <c r="H124" s="94" t="s">
        <v>1195</v>
      </c>
      <c r="I124" s="94" t="s">
        <v>1196</v>
      </c>
      <c r="J124" s="94" t="s">
        <v>1197</v>
      </c>
      <c r="K124" s="94" t="s">
        <v>1198</v>
      </c>
      <c r="L124" s="94" t="s">
        <v>1199</v>
      </c>
      <c r="M124" s="94" t="s">
        <v>1200</v>
      </c>
      <c r="N124" s="94" t="s">
        <v>1201</v>
      </c>
      <c r="O124" s="94" t="s">
        <v>1202</v>
      </c>
      <c r="P124" s="94" t="s">
        <v>1203</v>
      </c>
      <c r="Q124" s="95" t="s">
        <v>1204</v>
      </c>
    </row>
    <row r="125" spans="1:17" x14ac:dyDescent="0.3">
      <c r="A125" s="23">
        <v>41</v>
      </c>
      <c r="B125" s="19" t="s">
        <v>857</v>
      </c>
      <c r="C125" s="94" t="s">
        <v>1208</v>
      </c>
      <c r="D125" s="94" t="s">
        <v>1209</v>
      </c>
      <c r="E125" s="94" t="s">
        <v>1210</v>
      </c>
      <c r="F125" s="94" t="s">
        <v>1211</v>
      </c>
      <c r="G125" s="94" t="s">
        <v>1212</v>
      </c>
      <c r="H125" s="94" t="s">
        <v>1213</v>
      </c>
      <c r="I125" s="94" t="s">
        <v>1214</v>
      </c>
      <c r="J125" s="94" t="s">
        <v>1215</v>
      </c>
      <c r="K125" s="94" t="s">
        <v>1216</v>
      </c>
      <c r="L125" s="94" t="s">
        <v>1217</v>
      </c>
      <c r="M125" s="94" t="s">
        <v>1218</v>
      </c>
      <c r="N125" s="94" t="s">
        <v>1219</v>
      </c>
      <c r="O125" s="94" t="s">
        <v>1220</v>
      </c>
      <c r="P125" s="94" t="s">
        <v>1221</v>
      </c>
      <c r="Q125" s="95" t="s">
        <v>1222</v>
      </c>
    </row>
    <row r="126" spans="1:17" x14ac:dyDescent="0.3">
      <c r="A126" s="23">
        <v>42</v>
      </c>
      <c r="B126" s="19" t="s">
        <v>858</v>
      </c>
      <c r="C126" s="94" t="s">
        <v>1225</v>
      </c>
      <c r="D126" s="94" t="s">
        <v>1226</v>
      </c>
      <c r="E126" s="94" t="s">
        <v>1227</v>
      </c>
      <c r="F126" s="94" t="s">
        <v>1228</v>
      </c>
      <c r="G126" s="94" t="s">
        <v>1229</v>
      </c>
      <c r="H126" s="94" t="s">
        <v>1230</v>
      </c>
      <c r="I126" s="94" t="s">
        <v>1231</v>
      </c>
      <c r="J126" s="94" t="s">
        <v>1232</v>
      </c>
      <c r="K126" s="94" t="s">
        <v>1233</v>
      </c>
      <c r="L126" s="94" t="s">
        <v>1234</v>
      </c>
      <c r="M126" s="94" t="s">
        <v>1235</v>
      </c>
      <c r="N126" s="94" t="s">
        <v>1236</v>
      </c>
      <c r="O126" s="94" t="s">
        <v>1237</v>
      </c>
      <c r="P126" s="94" t="s">
        <v>1238</v>
      </c>
      <c r="Q126" s="95" t="s">
        <v>1239</v>
      </c>
    </row>
    <row r="127" spans="1:17" x14ac:dyDescent="0.3">
      <c r="A127" s="23">
        <v>43</v>
      </c>
      <c r="B127" s="19" t="s">
        <v>949</v>
      </c>
      <c r="C127" s="94" t="s">
        <v>1240</v>
      </c>
      <c r="D127" s="94" t="s">
        <v>1241</v>
      </c>
      <c r="E127" s="94" t="s">
        <v>1242</v>
      </c>
      <c r="F127" s="94" t="s">
        <v>1243</v>
      </c>
      <c r="G127" s="94" t="s">
        <v>1244</v>
      </c>
      <c r="H127" s="94" t="s">
        <v>1245</v>
      </c>
      <c r="I127" s="94" t="s">
        <v>1246</v>
      </c>
      <c r="J127" s="94" t="s">
        <v>1247</v>
      </c>
      <c r="K127" s="94" t="s">
        <v>1248</v>
      </c>
      <c r="L127" s="94" t="s">
        <v>1249</v>
      </c>
      <c r="M127" s="94" t="s">
        <v>1250</v>
      </c>
      <c r="N127" s="94" t="s">
        <v>1251</v>
      </c>
      <c r="O127" s="94" t="s">
        <v>1252</v>
      </c>
      <c r="P127" s="94" t="s">
        <v>1253</v>
      </c>
      <c r="Q127" s="95" t="s">
        <v>1254</v>
      </c>
    </row>
    <row r="128" spans="1:17" x14ac:dyDescent="0.3">
      <c r="A128" s="23">
        <v>44</v>
      </c>
      <c r="B128" s="19" t="s">
        <v>950</v>
      </c>
      <c r="C128" s="94" t="s">
        <v>1255</v>
      </c>
      <c r="D128" s="94" t="s">
        <v>1256</v>
      </c>
      <c r="E128" s="94" t="s">
        <v>1257</v>
      </c>
      <c r="F128" s="94" t="s">
        <v>1258</v>
      </c>
      <c r="G128" s="94" t="s">
        <v>1259</v>
      </c>
      <c r="H128" s="94" t="s">
        <v>1260</v>
      </c>
      <c r="I128" s="94" t="s">
        <v>1261</v>
      </c>
      <c r="J128" s="94" t="s">
        <v>1262</v>
      </c>
      <c r="K128" s="94" t="s">
        <v>1263</v>
      </c>
      <c r="L128" s="94" t="s">
        <v>1264</v>
      </c>
      <c r="M128" s="94" t="s">
        <v>1265</v>
      </c>
      <c r="N128" s="94" t="s">
        <v>1266</v>
      </c>
      <c r="O128" s="94" t="s">
        <v>1267</v>
      </c>
      <c r="P128" s="94" t="s">
        <v>1268</v>
      </c>
      <c r="Q128" s="95" t="s">
        <v>1269</v>
      </c>
    </row>
    <row r="129" spans="1:17" x14ac:dyDescent="0.3">
      <c r="A129" s="23">
        <v>45</v>
      </c>
      <c r="B129" s="19" t="s">
        <v>951</v>
      </c>
      <c r="C129" s="94" t="s">
        <v>1270</v>
      </c>
      <c r="D129" s="94" t="s">
        <v>1271</v>
      </c>
      <c r="E129" s="94" t="s">
        <v>1272</v>
      </c>
      <c r="F129" s="94" t="s">
        <v>1273</v>
      </c>
      <c r="G129" s="94" t="s">
        <v>1274</v>
      </c>
      <c r="H129" s="94" t="s">
        <v>1275</v>
      </c>
      <c r="I129" s="94" t="s">
        <v>1276</v>
      </c>
      <c r="J129" s="94" t="s">
        <v>1277</v>
      </c>
      <c r="K129" s="94" t="s">
        <v>1278</v>
      </c>
      <c r="L129" s="94" t="s">
        <v>1279</v>
      </c>
      <c r="M129" s="94" t="s">
        <v>1280</v>
      </c>
      <c r="N129" s="94" t="s">
        <v>1281</v>
      </c>
      <c r="O129" s="94" t="s">
        <v>1282</v>
      </c>
      <c r="P129" s="94" t="s">
        <v>1283</v>
      </c>
      <c r="Q129" s="95" t="s">
        <v>1284</v>
      </c>
    </row>
    <row r="130" spans="1:17" x14ac:dyDescent="0.3">
      <c r="A130" s="23">
        <v>46</v>
      </c>
      <c r="B130" s="19" t="s">
        <v>1012</v>
      </c>
      <c r="C130" s="94" t="s">
        <v>1285</v>
      </c>
      <c r="D130" s="94" t="s">
        <v>1303</v>
      </c>
      <c r="E130" s="94" t="s">
        <v>1304</v>
      </c>
      <c r="F130" s="94" t="s">
        <v>1305</v>
      </c>
      <c r="G130" s="94" t="s">
        <v>1306</v>
      </c>
      <c r="H130" s="94" t="s">
        <v>1307</v>
      </c>
      <c r="I130" s="94" t="s">
        <v>1308</v>
      </c>
      <c r="J130" s="94" t="s">
        <v>1309</v>
      </c>
      <c r="K130" s="94" t="s">
        <v>1310</v>
      </c>
      <c r="L130" s="94" t="s">
        <v>1311</v>
      </c>
      <c r="M130" s="94" t="s">
        <v>1312</v>
      </c>
      <c r="N130" s="94" t="s">
        <v>1313</v>
      </c>
      <c r="O130" s="94" t="s">
        <v>1314</v>
      </c>
      <c r="P130" s="94" t="s">
        <v>1315</v>
      </c>
      <c r="Q130" s="95" t="s">
        <v>1316</v>
      </c>
    </row>
    <row r="131" spans="1:17" x14ac:dyDescent="0.3">
      <c r="A131" s="23">
        <v>47</v>
      </c>
      <c r="B131" s="19" t="s">
        <v>1013</v>
      </c>
      <c r="C131" s="94" t="s">
        <v>1286</v>
      </c>
      <c r="D131" s="94" t="s">
        <v>1317</v>
      </c>
      <c r="E131" s="94" t="s">
        <v>1318</v>
      </c>
      <c r="F131" s="94" t="s">
        <v>1319</v>
      </c>
      <c r="G131" s="94" t="s">
        <v>1320</v>
      </c>
      <c r="H131" s="94" t="s">
        <v>1321</v>
      </c>
      <c r="I131" s="94" t="s">
        <v>1322</v>
      </c>
      <c r="J131" s="94" t="s">
        <v>1323</v>
      </c>
      <c r="K131" s="94" t="s">
        <v>1324</v>
      </c>
      <c r="L131" s="94" t="s">
        <v>1325</v>
      </c>
      <c r="M131" s="94" t="s">
        <v>1326</v>
      </c>
      <c r="N131" s="94" t="s">
        <v>1327</v>
      </c>
      <c r="O131" s="94" t="s">
        <v>1328</v>
      </c>
      <c r="P131" s="94" t="s">
        <v>1329</v>
      </c>
      <c r="Q131" s="95" t="s">
        <v>1330</v>
      </c>
    </row>
    <row r="132" spans="1:17" x14ac:dyDescent="0.3">
      <c r="A132" s="23">
        <v>48</v>
      </c>
      <c r="B132" s="19" t="s">
        <v>1014</v>
      </c>
      <c r="C132" s="94" t="s">
        <v>1287</v>
      </c>
      <c r="D132" s="94" t="s">
        <v>1331</v>
      </c>
      <c r="E132" s="94" t="s">
        <v>1332</v>
      </c>
      <c r="F132" s="94" t="s">
        <v>1333</v>
      </c>
      <c r="G132" s="94" t="s">
        <v>1334</v>
      </c>
      <c r="H132" s="94" t="s">
        <v>1335</v>
      </c>
      <c r="I132" s="94" t="s">
        <v>1336</v>
      </c>
      <c r="J132" s="94" t="s">
        <v>1337</v>
      </c>
      <c r="K132" s="94" t="s">
        <v>1338</v>
      </c>
      <c r="L132" s="94" t="s">
        <v>1339</v>
      </c>
      <c r="M132" s="94" t="s">
        <v>1340</v>
      </c>
      <c r="N132" s="94" t="s">
        <v>1341</v>
      </c>
      <c r="O132" s="94" t="s">
        <v>1342</v>
      </c>
      <c r="P132" s="94" t="s">
        <v>1343</v>
      </c>
      <c r="Q132" s="95" t="s">
        <v>1344</v>
      </c>
    </row>
    <row r="133" spans="1:17" x14ac:dyDescent="0.3">
      <c r="A133" s="23">
        <v>49</v>
      </c>
      <c r="B133" s="19" t="s">
        <v>1060</v>
      </c>
      <c r="C133" s="94" t="s">
        <v>1288</v>
      </c>
      <c r="D133" s="94" t="s">
        <v>1345</v>
      </c>
      <c r="E133" s="94" t="s">
        <v>1346</v>
      </c>
      <c r="F133" s="94" t="s">
        <v>1347</v>
      </c>
      <c r="G133" s="94" t="s">
        <v>1348</v>
      </c>
      <c r="H133" s="94" t="s">
        <v>1349</v>
      </c>
      <c r="I133" s="94" t="s">
        <v>1350</v>
      </c>
      <c r="J133" s="94" t="s">
        <v>1351</v>
      </c>
      <c r="K133" s="94" t="s">
        <v>1352</v>
      </c>
      <c r="L133" s="94" t="s">
        <v>1353</v>
      </c>
      <c r="M133" s="94" t="s">
        <v>1354</v>
      </c>
      <c r="N133" s="94" t="s">
        <v>1355</v>
      </c>
      <c r="O133" s="94" t="s">
        <v>1356</v>
      </c>
      <c r="P133" s="94" t="s">
        <v>1357</v>
      </c>
      <c r="Q133" s="95" t="s">
        <v>1358</v>
      </c>
    </row>
    <row r="134" spans="1:17" x14ac:dyDescent="0.3">
      <c r="A134" s="23">
        <v>50</v>
      </c>
      <c r="B134" s="19" t="s">
        <v>1061</v>
      </c>
      <c r="C134" s="94" t="s">
        <v>1289</v>
      </c>
      <c r="D134" s="94" t="s">
        <v>1360</v>
      </c>
      <c r="E134" s="94" t="s">
        <v>1359</v>
      </c>
      <c r="F134" s="94" t="s">
        <v>1361</v>
      </c>
      <c r="G134" s="94" t="s">
        <v>1362</v>
      </c>
      <c r="H134" s="94" t="s">
        <v>1363</v>
      </c>
      <c r="I134" s="94" t="s">
        <v>1364</v>
      </c>
      <c r="J134" s="94" t="s">
        <v>1365</v>
      </c>
      <c r="K134" s="94" t="s">
        <v>1366</v>
      </c>
      <c r="L134" s="94" t="s">
        <v>1367</v>
      </c>
      <c r="M134" s="94" t="s">
        <v>1368</v>
      </c>
      <c r="N134" s="94" t="s">
        <v>1369</v>
      </c>
      <c r="O134" s="94" t="s">
        <v>1370</v>
      </c>
      <c r="P134" s="94" t="s">
        <v>1371</v>
      </c>
      <c r="Q134" s="95" t="s">
        <v>1372</v>
      </c>
    </row>
    <row r="135" spans="1:17" x14ac:dyDescent="0.3">
      <c r="A135" s="23">
        <v>51</v>
      </c>
      <c r="B135" s="19" t="s">
        <v>1062</v>
      </c>
      <c r="C135" s="94" t="s">
        <v>1290</v>
      </c>
      <c r="D135" s="94" t="s">
        <v>1373</v>
      </c>
      <c r="E135" s="94" t="s">
        <v>1374</v>
      </c>
      <c r="F135" s="94" t="s">
        <v>1375</v>
      </c>
      <c r="G135" s="94" t="s">
        <v>1376</v>
      </c>
      <c r="H135" s="94" t="s">
        <v>1377</v>
      </c>
      <c r="I135" s="94" t="s">
        <v>1378</v>
      </c>
      <c r="J135" s="94" t="s">
        <v>1379</v>
      </c>
      <c r="K135" s="94" t="s">
        <v>1380</v>
      </c>
      <c r="L135" s="94" t="s">
        <v>1381</v>
      </c>
      <c r="M135" s="94" t="s">
        <v>1382</v>
      </c>
      <c r="N135" s="94" t="s">
        <v>1383</v>
      </c>
      <c r="O135" s="94" t="s">
        <v>1384</v>
      </c>
      <c r="P135" s="94" t="s">
        <v>1385</v>
      </c>
      <c r="Q135" s="95" t="s">
        <v>1386</v>
      </c>
    </row>
    <row r="136" spans="1:17" x14ac:dyDescent="0.3">
      <c r="A136" s="23">
        <v>52</v>
      </c>
      <c r="B136" s="19" t="s">
        <v>1108</v>
      </c>
      <c r="C136" s="94" t="s">
        <v>1291</v>
      </c>
      <c r="D136" s="94" t="s">
        <v>1387</v>
      </c>
      <c r="E136" s="94" t="s">
        <v>1388</v>
      </c>
      <c r="F136" s="94" t="s">
        <v>1389</v>
      </c>
      <c r="G136" s="94" t="s">
        <v>1390</v>
      </c>
      <c r="H136" s="94" t="s">
        <v>1391</v>
      </c>
      <c r="I136" s="94" t="s">
        <v>1392</v>
      </c>
      <c r="J136" s="94" t="s">
        <v>1393</v>
      </c>
      <c r="K136" s="94" t="s">
        <v>1394</v>
      </c>
      <c r="L136" s="94" t="s">
        <v>1395</v>
      </c>
      <c r="M136" s="94" t="s">
        <v>1396</v>
      </c>
      <c r="N136" s="94" t="s">
        <v>1397</v>
      </c>
      <c r="O136" s="94" t="s">
        <v>1398</v>
      </c>
      <c r="P136" s="94" t="s">
        <v>1399</v>
      </c>
      <c r="Q136" s="95" t="s">
        <v>1400</v>
      </c>
    </row>
    <row r="137" spans="1:17" x14ac:dyDescent="0.3">
      <c r="A137" s="23">
        <v>53</v>
      </c>
      <c r="B137" s="19" t="s">
        <v>1109</v>
      </c>
      <c r="C137" s="94" t="s">
        <v>1292</v>
      </c>
      <c r="D137" s="94" t="s">
        <v>1401</v>
      </c>
      <c r="E137" s="94" t="s">
        <v>1402</v>
      </c>
      <c r="F137" s="94" t="s">
        <v>1403</v>
      </c>
      <c r="G137" s="94" t="s">
        <v>1404</v>
      </c>
      <c r="H137" s="94" t="s">
        <v>1405</v>
      </c>
      <c r="I137" s="94" t="s">
        <v>1406</v>
      </c>
      <c r="J137" s="94" t="s">
        <v>1407</v>
      </c>
      <c r="K137" s="94" t="s">
        <v>1408</v>
      </c>
      <c r="L137" s="94" t="s">
        <v>1409</v>
      </c>
      <c r="M137" s="94" t="s">
        <v>1410</v>
      </c>
      <c r="N137" s="94" t="s">
        <v>1411</v>
      </c>
      <c r="O137" s="94" t="s">
        <v>1412</v>
      </c>
      <c r="P137" s="94" t="s">
        <v>1413</v>
      </c>
      <c r="Q137" s="95" t="s">
        <v>1414</v>
      </c>
    </row>
    <row r="138" spans="1:17" x14ac:dyDescent="0.3">
      <c r="A138" s="23">
        <v>54</v>
      </c>
      <c r="B138" s="19" t="s">
        <v>1110</v>
      </c>
      <c r="C138" s="94" t="s">
        <v>1293</v>
      </c>
      <c r="D138" s="94" t="s">
        <v>1415</v>
      </c>
      <c r="E138" s="94" t="s">
        <v>1416</v>
      </c>
      <c r="F138" s="94" t="s">
        <v>1417</v>
      </c>
      <c r="G138" s="94" t="s">
        <v>1418</v>
      </c>
      <c r="H138" s="94" t="s">
        <v>1419</v>
      </c>
      <c r="I138" s="94" t="s">
        <v>1420</v>
      </c>
      <c r="J138" s="94" t="s">
        <v>1421</v>
      </c>
      <c r="K138" s="94" t="s">
        <v>1422</v>
      </c>
      <c r="L138" s="94" t="s">
        <v>1423</v>
      </c>
      <c r="M138" s="94" t="s">
        <v>1424</v>
      </c>
      <c r="N138" s="94" t="s">
        <v>1425</v>
      </c>
      <c r="O138" s="94" t="s">
        <v>1426</v>
      </c>
      <c r="P138" s="94" t="s">
        <v>1427</v>
      </c>
      <c r="Q138" s="95" t="s">
        <v>1428</v>
      </c>
    </row>
    <row r="139" spans="1:17" x14ac:dyDescent="0.3">
      <c r="A139" s="23">
        <v>55</v>
      </c>
      <c r="B139" s="19" t="s">
        <v>1126</v>
      </c>
      <c r="C139" s="94" t="s">
        <v>1294</v>
      </c>
      <c r="D139" s="94" t="s">
        <v>1429</v>
      </c>
      <c r="E139" s="94" t="s">
        <v>1430</v>
      </c>
      <c r="F139" s="94" t="s">
        <v>1431</v>
      </c>
      <c r="G139" s="94" t="s">
        <v>1432</v>
      </c>
      <c r="H139" s="94" t="s">
        <v>1433</v>
      </c>
      <c r="I139" s="94" t="s">
        <v>1434</v>
      </c>
      <c r="J139" s="94" t="s">
        <v>1435</v>
      </c>
      <c r="K139" s="94" t="s">
        <v>1436</v>
      </c>
      <c r="L139" s="94" t="s">
        <v>1437</v>
      </c>
      <c r="M139" s="94" t="s">
        <v>1438</v>
      </c>
      <c r="N139" s="94" t="s">
        <v>1439</v>
      </c>
      <c r="O139" s="94" t="s">
        <v>1440</v>
      </c>
      <c r="P139" s="94" t="s">
        <v>1441</v>
      </c>
      <c r="Q139" s="95" t="s">
        <v>1442</v>
      </c>
    </row>
    <row r="140" spans="1:17" x14ac:dyDescent="0.3">
      <c r="A140" s="23">
        <v>56</v>
      </c>
      <c r="B140" s="19" t="s">
        <v>1127</v>
      </c>
      <c r="C140" s="94" t="s">
        <v>1295</v>
      </c>
      <c r="D140" s="94" t="s">
        <v>1443</v>
      </c>
      <c r="E140" s="94" t="s">
        <v>1444</v>
      </c>
      <c r="F140" s="94" t="s">
        <v>1445</v>
      </c>
      <c r="G140" s="94" t="s">
        <v>1446</v>
      </c>
      <c r="H140" s="94" t="s">
        <v>1447</v>
      </c>
      <c r="I140" s="94" t="s">
        <v>1448</v>
      </c>
      <c r="J140" s="94" t="s">
        <v>1449</v>
      </c>
      <c r="K140" s="94" t="s">
        <v>1450</v>
      </c>
      <c r="L140" s="94" t="s">
        <v>1451</v>
      </c>
      <c r="M140" s="94" t="s">
        <v>1452</v>
      </c>
      <c r="N140" s="94" t="s">
        <v>1453</v>
      </c>
      <c r="O140" s="94" t="s">
        <v>1454</v>
      </c>
      <c r="P140" s="94" t="s">
        <v>1455</v>
      </c>
      <c r="Q140" s="95" t="s">
        <v>1456</v>
      </c>
    </row>
    <row r="141" spans="1:17" x14ac:dyDescent="0.3">
      <c r="A141" s="23">
        <v>57</v>
      </c>
      <c r="B141" s="19" t="s">
        <v>1128</v>
      </c>
      <c r="C141" s="94" t="s">
        <v>1296</v>
      </c>
      <c r="D141" s="94" t="s">
        <v>1457</v>
      </c>
      <c r="E141" s="94" t="s">
        <v>1458</v>
      </c>
      <c r="F141" s="94" t="s">
        <v>1459</v>
      </c>
      <c r="G141" s="94" t="s">
        <v>1460</v>
      </c>
      <c r="H141" s="94" t="s">
        <v>1461</v>
      </c>
      <c r="I141" s="94" t="s">
        <v>1462</v>
      </c>
      <c r="J141" s="94" t="s">
        <v>1463</v>
      </c>
      <c r="K141" s="94" t="s">
        <v>1464</v>
      </c>
      <c r="L141" s="94" t="s">
        <v>1465</v>
      </c>
      <c r="M141" s="94" t="s">
        <v>1466</v>
      </c>
      <c r="N141" s="94" t="s">
        <v>1467</v>
      </c>
      <c r="O141" s="94" t="s">
        <v>1468</v>
      </c>
      <c r="P141" s="94" t="s">
        <v>1469</v>
      </c>
      <c r="Q141" s="95" t="s">
        <v>1470</v>
      </c>
    </row>
    <row r="142" spans="1:17" x14ac:dyDescent="0.3">
      <c r="A142" s="23">
        <v>58</v>
      </c>
      <c r="B142" s="19" t="s">
        <v>1159</v>
      </c>
      <c r="C142" s="94" t="s">
        <v>1297</v>
      </c>
      <c r="D142" s="94" t="s">
        <v>1471</v>
      </c>
      <c r="E142" s="94" t="s">
        <v>1472</v>
      </c>
      <c r="F142" s="94" t="s">
        <v>1473</v>
      </c>
      <c r="G142" s="94" t="s">
        <v>1474</v>
      </c>
      <c r="H142" s="94" t="s">
        <v>1475</v>
      </c>
      <c r="I142" s="94" t="s">
        <v>1476</v>
      </c>
      <c r="J142" s="94" t="s">
        <v>1477</v>
      </c>
      <c r="K142" s="94" t="s">
        <v>1478</v>
      </c>
      <c r="L142" s="94" t="s">
        <v>1479</v>
      </c>
      <c r="M142" s="94" t="s">
        <v>1480</v>
      </c>
      <c r="N142" s="94" t="s">
        <v>1481</v>
      </c>
      <c r="O142" s="94" t="s">
        <v>1482</v>
      </c>
      <c r="P142" s="94" t="s">
        <v>1483</v>
      </c>
      <c r="Q142" s="95" t="s">
        <v>1484</v>
      </c>
    </row>
    <row r="143" spans="1:17" x14ac:dyDescent="0.3">
      <c r="A143" s="23">
        <v>59</v>
      </c>
      <c r="B143" s="19" t="s">
        <v>1205</v>
      </c>
      <c r="C143" s="94" t="s">
        <v>1298</v>
      </c>
      <c r="D143" s="94" t="s">
        <v>1485</v>
      </c>
      <c r="E143" s="94" t="s">
        <v>1486</v>
      </c>
      <c r="F143" s="94" t="s">
        <v>1487</v>
      </c>
      <c r="G143" s="94" t="s">
        <v>1488</v>
      </c>
      <c r="H143" s="94" t="s">
        <v>1489</v>
      </c>
      <c r="I143" s="94" t="s">
        <v>1490</v>
      </c>
      <c r="J143" s="94" t="s">
        <v>1491</v>
      </c>
      <c r="K143" s="94" t="s">
        <v>1492</v>
      </c>
      <c r="L143" s="94" t="s">
        <v>1493</v>
      </c>
      <c r="M143" s="94" t="s">
        <v>1494</v>
      </c>
      <c r="N143" s="94" t="s">
        <v>1495</v>
      </c>
      <c r="O143" s="94" t="s">
        <v>1496</v>
      </c>
      <c r="P143" s="94" t="s">
        <v>1497</v>
      </c>
      <c r="Q143" s="95" t="s">
        <v>1498</v>
      </c>
    </row>
    <row r="144" spans="1:17" x14ac:dyDescent="0.3">
      <c r="A144" s="23">
        <v>60</v>
      </c>
      <c r="B144" s="19" t="s">
        <v>1206</v>
      </c>
      <c r="C144" s="94" t="s">
        <v>1299</v>
      </c>
      <c r="D144" s="94" t="s">
        <v>1499</v>
      </c>
      <c r="E144" s="94" t="s">
        <v>1500</v>
      </c>
      <c r="F144" s="94" t="s">
        <v>1501</v>
      </c>
      <c r="G144" s="94" t="s">
        <v>1502</v>
      </c>
      <c r="H144" s="94" t="s">
        <v>1503</v>
      </c>
      <c r="I144" s="94" t="s">
        <v>1504</v>
      </c>
      <c r="J144" s="94" t="s">
        <v>1505</v>
      </c>
      <c r="K144" s="94" t="s">
        <v>1506</v>
      </c>
      <c r="L144" s="94" t="s">
        <v>1507</v>
      </c>
      <c r="M144" s="94" t="s">
        <v>1508</v>
      </c>
      <c r="N144" s="94" t="s">
        <v>1509</v>
      </c>
      <c r="O144" s="94" t="s">
        <v>1510</v>
      </c>
      <c r="P144" s="94" t="s">
        <v>1511</v>
      </c>
      <c r="Q144" s="95" t="s">
        <v>1512</v>
      </c>
    </row>
    <row r="145" spans="1:17" x14ac:dyDescent="0.3">
      <c r="A145" s="23">
        <v>61</v>
      </c>
      <c r="B145" s="19" t="s">
        <v>1207</v>
      </c>
      <c r="C145" s="94" t="s">
        <v>1300</v>
      </c>
      <c r="D145" s="94" t="s">
        <v>1513</v>
      </c>
      <c r="E145" s="94" t="s">
        <v>1514</v>
      </c>
      <c r="F145" s="94" t="s">
        <v>1515</v>
      </c>
      <c r="G145" s="94" t="s">
        <v>1516</v>
      </c>
      <c r="H145" s="94" t="s">
        <v>1517</v>
      </c>
      <c r="I145" s="94" t="s">
        <v>1518</v>
      </c>
      <c r="J145" s="94" t="s">
        <v>1519</v>
      </c>
      <c r="K145" s="94" t="s">
        <v>1520</v>
      </c>
      <c r="L145" s="94" t="s">
        <v>1521</v>
      </c>
      <c r="M145" s="94" t="s">
        <v>1522</v>
      </c>
      <c r="N145" s="94" t="s">
        <v>1523</v>
      </c>
      <c r="O145" s="94" t="s">
        <v>1524</v>
      </c>
      <c r="P145" s="94" t="s">
        <v>1525</v>
      </c>
      <c r="Q145" s="95" t="s">
        <v>1526</v>
      </c>
    </row>
    <row r="146" spans="1:17" x14ac:dyDescent="0.3">
      <c r="A146" s="23">
        <v>62</v>
      </c>
      <c r="B146" s="19" t="s">
        <v>1223</v>
      </c>
      <c r="C146" s="94" t="s">
        <v>1301</v>
      </c>
      <c r="D146" s="94" t="s">
        <v>1527</v>
      </c>
      <c r="E146" s="94" t="s">
        <v>1528</v>
      </c>
      <c r="F146" s="94" t="s">
        <v>1529</v>
      </c>
      <c r="G146" s="94" t="s">
        <v>1530</v>
      </c>
      <c r="H146" s="94" t="s">
        <v>1531</v>
      </c>
      <c r="I146" s="94" t="s">
        <v>1532</v>
      </c>
      <c r="J146" s="94" t="s">
        <v>1533</v>
      </c>
      <c r="K146" s="94" t="s">
        <v>1534</v>
      </c>
      <c r="L146" s="94" t="s">
        <v>1535</v>
      </c>
      <c r="M146" s="94" t="s">
        <v>1536</v>
      </c>
      <c r="N146" s="94" t="s">
        <v>1537</v>
      </c>
      <c r="O146" s="94" t="s">
        <v>1538</v>
      </c>
      <c r="P146" s="94" t="s">
        <v>1539</v>
      </c>
      <c r="Q146" s="95" t="s">
        <v>1540</v>
      </c>
    </row>
    <row r="147" spans="1:17" ht="15" thickBot="1" x14ac:dyDescent="0.35">
      <c r="A147" s="24">
        <v>63</v>
      </c>
      <c r="B147" s="20" t="s">
        <v>1224</v>
      </c>
      <c r="C147" s="96" t="s">
        <v>1302</v>
      </c>
      <c r="D147" s="96" t="s">
        <v>1541</v>
      </c>
      <c r="E147" s="96" t="s">
        <v>1542</v>
      </c>
      <c r="F147" s="96" t="s">
        <v>1543</v>
      </c>
      <c r="G147" s="96" t="s">
        <v>1544</v>
      </c>
      <c r="H147" s="96" t="s">
        <v>1545</v>
      </c>
      <c r="I147" s="96" t="s">
        <v>1546</v>
      </c>
      <c r="J147" s="96" t="s">
        <v>1547</v>
      </c>
      <c r="K147" s="96" t="s">
        <v>1548</v>
      </c>
      <c r="L147" s="96" t="s">
        <v>1549</v>
      </c>
      <c r="M147" s="96" t="s">
        <v>1550</v>
      </c>
      <c r="N147" s="96" t="s">
        <v>1551</v>
      </c>
      <c r="O147" s="96" t="s">
        <v>1552</v>
      </c>
      <c r="P147" s="96" t="s">
        <v>1553</v>
      </c>
      <c r="Q147" s="97" t="s">
        <v>1554</v>
      </c>
    </row>
    <row r="148" spans="1:17" ht="15" thickBot="1" x14ac:dyDescent="0.35"/>
    <row r="149" spans="1:17" ht="15" thickBot="1" x14ac:dyDescent="0.35">
      <c r="A149" s="81" t="s">
        <v>802</v>
      </c>
      <c r="B149" s="82"/>
      <c r="C149" s="83"/>
      <c r="D149" s="83"/>
      <c r="E149" s="84"/>
    </row>
    <row r="150" spans="1:17" x14ac:dyDescent="0.3">
      <c r="A150" s="23">
        <v>0</v>
      </c>
      <c r="B150" s="85" t="s">
        <v>288</v>
      </c>
      <c r="C150" s="86" t="s">
        <v>304</v>
      </c>
      <c r="D150" s="86" t="s">
        <v>305</v>
      </c>
      <c r="E150" s="86" t="s">
        <v>306</v>
      </c>
    </row>
    <row r="151" spans="1:17" x14ac:dyDescent="0.3">
      <c r="A151" s="23">
        <v>1</v>
      </c>
      <c r="B151" s="88" t="s">
        <v>319</v>
      </c>
      <c r="C151" s="89" t="s">
        <v>289</v>
      </c>
      <c r="D151" s="89" t="s">
        <v>320</v>
      </c>
      <c r="E151" s="89" t="s">
        <v>321</v>
      </c>
    </row>
    <row r="152" spans="1:17" x14ac:dyDescent="0.3">
      <c r="A152" s="23">
        <v>2</v>
      </c>
      <c r="B152" s="88" t="s">
        <v>334</v>
      </c>
      <c r="C152" s="89" t="s">
        <v>357</v>
      </c>
      <c r="D152" s="89" t="s">
        <v>290</v>
      </c>
      <c r="E152" s="89" t="s">
        <v>358</v>
      </c>
    </row>
    <row r="153" spans="1:17" x14ac:dyDescent="0.3">
      <c r="A153" s="23">
        <v>3</v>
      </c>
      <c r="B153" s="88" t="s">
        <v>335</v>
      </c>
      <c r="C153" s="89" t="s">
        <v>374</v>
      </c>
      <c r="D153" s="89" t="s">
        <v>375</v>
      </c>
      <c r="E153" s="89" t="s">
        <v>291</v>
      </c>
    </row>
    <row r="154" spans="1:17" x14ac:dyDescent="0.3">
      <c r="A154" s="23">
        <v>4</v>
      </c>
      <c r="B154" s="88" t="s">
        <v>336</v>
      </c>
      <c r="C154" s="89" t="s">
        <v>388</v>
      </c>
      <c r="D154" s="89" t="s">
        <v>389</v>
      </c>
      <c r="E154" s="89" t="s">
        <v>390</v>
      </c>
    </row>
    <row r="155" spans="1:17" x14ac:dyDescent="0.3">
      <c r="A155" s="23">
        <v>5</v>
      </c>
      <c r="B155" s="88" t="s">
        <v>337</v>
      </c>
      <c r="C155" s="89" t="s">
        <v>406</v>
      </c>
      <c r="D155" s="89" t="s">
        <v>407</v>
      </c>
      <c r="E155" s="89" t="s">
        <v>408</v>
      </c>
    </row>
    <row r="156" spans="1:17" x14ac:dyDescent="0.3">
      <c r="A156" s="23">
        <v>6</v>
      </c>
      <c r="B156" s="88" t="s">
        <v>338</v>
      </c>
      <c r="C156" s="89" t="s">
        <v>420</v>
      </c>
      <c r="D156" s="89" t="s">
        <v>421</v>
      </c>
      <c r="E156" s="89" t="s">
        <v>422</v>
      </c>
    </row>
    <row r="157" spans="1:17" x14ac:dyDescent="0.3">
      <c r="A157" s="23">
        <v>7</v>
      </c>
      <c r="B157" s="88" t="s">
        <v>339</v>
      </c>
      <c r="C157" s="89" t="s">
        <v>434</v>
      </c>
      <c r="D157" s="89" t="s">
        <v>435</v>
      </c>
      <c r="E157" s="89" t="s">
        <v>436</v>
      </c>
    </row>
    <row r="158" spans="1:17" x14ac:dyDescent="0.3">
      <c r="A158" s="23">
        <v>8</v>
      </c>
      <c r="B158" s="19" t="s">
        <v>340</v>
      </c>
      <c r="C158" s="94" t="s">
        <v>448</v>
      </c>
      <c r="D158" s="94" t="s">
        <v>449</v>
      </c>
      <c r="E158" s="94" t="s">
        <v>450</v>
      </c>
    </row>
    <row r="159" spans="1:17" x14ac:dyDescent="0.3">
      <c r="A159" s="23">
        <v>9</v>
      </c>
      <c r="B159" s="19" t="s">
        <v>341</v>
      </c>
      <c r="C159" s="94" t="s">
        <v>462</v>
      </c>
      <c r="D159" s="94" t="s">
        <v>463</v>
      </c>
      <c r="E159" s="94" t="s">
        <v>464</v>
      </c>
    </row>
    <row r="160" spans="1:17" x14ac:dyDescent="0.3">
      <c r="A160" s="23">
        <v>10</v>
      </c>
      <c r="B160" s="19" t="s">
        <v>342</v>
      </c>
      <c r="C160" s="94" t="s">
        <v>476</v>
      </c>
      <c r="D160" s="94" t="s">
        <v>477</v>
      </c>
      <c r="E160" s="94" t="s">
        <v>478</v>
      </c>
    </row>
    <row r="161" spans="1:5" x14ac:dyDescent="0.3">
      <c r="A161" s="23">
        <v>11</v>
      </c>
      <c r="B161" s="19" t="s">
        <v>343</v>
      </c>
      <c r="C161" s="94" t="s">
        <v>490</v>
      </c>
      <c r="D161" s="94" t="s">
        <v>491</v>
      </c>
      <c r="E161" s="94" t="s">
        <v>492</v>
      </c>
    </row>
    <row r="162" spans="1:5" x14ac:dyDescent="0.3">
      <c r="A162" s="23">
        <v>12</v>
      </c>
      <c r="B162" s="19" t="s">
        <v>344</v>
      </c>
      <c r="C162" s="94" t="s">
        <v>504</v>
      </c>
      <c r="D162" s="94" t="s">
        <v>505</v>
      </c>
      <c r="E162" s="94" t="s">
        <v>506</v>
      </c>
    </row>
    <row r="163" spans="1:5" x14ac:dyDescent="0.3">
      <c r="A163" s="23">
        <v>13</v>
      </c>
      <c r="B163" s="19" t="s">
        <v>345</v>
      </c>
      <c r="C163" s="94" t="s">
        <v>518</v>
      </c>
      <c r="D163" s="94" t="s">
        <v>519</v>
      </c>
      <c r="E163" s="94" t="s">
        <v>520</v>
      </c>
    </row>
    <row r="164" spans="1:5" x14ac:dyDescent="0.3">
      <c r="A164" s="23">
        <v>14</v>
      </c>
      <c r="B164" s="19" t="s">
        <v>346</v>
      </c>
      <c r="C164" s="94" t="s">
        <v>532</v>
      </c>
      <c r="D164" s="94" t="s">
        <v>533</v>
      </c>
      <c r="E164" s="94" t="s">
        <v>534</v>
      </c>
    </row>
    <row r="165" spans="1:5" x14ac:dyDescent="0.3">
      <c r="A165" s="23">
        <v>15</v>
      </c>
      <c r="B165" s="19" t="s">
        <v>347</v>
      </c>
      <c r="C165" s="94" t="s">
        <v>546</v>
      </c>
      <c r="D165" s="94" t="s">
        <v>547</v>
      </c>
      <c r="E165" s="94" t="s">
        <v>548</v>
      </c>
    </row>
    <row r="166" spans="1:5" x14ac:dyDescent="0.3">
      <c r="A166" s="23">
        <v>16</v>
      </c>
      <c r="B166" s="19" t="s">
        <v>348</v>
      </c>
      <c r="C166" s="94" t="s">
        <v>560</v>
      </c>
      <c r="D166" s="94" t="s">
        <v>561</v>
      </c>
      <c r="E166" s="94" t="s">
        <v>562</v>
      </c>
    </row>
    <row r="167" spans="1:5" x14ac:dyDescent="0.3">
      <c r="A167" s="23">
        <v>17</v>
      </c>
      <c r="B167" s="19" t="s">
        <v>349</v>
      </c>
      <c r="C167" s="94" t="s">
        <v>575</v>
      </c>
      <c r="D167" s="94" t="s">
        <v>576</v>
      </c>
      <c r="E167" s="94" t="s">
        <v>577</v>
      </c>
    </row>
    <row r="168" spans="1:5" x14ac:dyDescent="0.3">
      <c r="A168" s="23">
        <v>18</v>
      </c>
      <c r="B168" s="19" t="s">
        <v>350</v>
      </c>
      <c r="C168" s="94" t="s">
        <v>590</v>
      </c>
      <c r="D168" s="94" t="s">
        <v>591</v>
      </c>
      <c r="E168" s="94" t="s">
        <v>592</v>
      </c>
    </row>
    <row r="169" spans="1:5" x14ac:dyDescent="0.3">
      <c r="A169" s="23">
        <v>19</v>
      </c>
      <c r="B169" s="19" t="s">
        <v>351</v>
      </c>
      <c r="C169" s="94" t="s">
        <v>605</v>
      </c>
      <c r="D169" s="94" t="s">
        <v>606</v>
      </c>
      <c r="E169" s="94" t="s">
        <v>607</v>
      </c>
    </row>
    <row r="170" spans="1:5" x14ac:dyDescent="0.3">
      <c r="A170" s="23">
        <v>20</v>
      </c>
      <c r="B170" s="19" t="s">
        <v>352</v>
      </c>
      <c r="C170" s="94" t="s">
        <v>620</v>
      </c>
      <c r="D170" s="94" t="s">
        <v>621</v>
      </c>
      <c r="E170" s="94" t="s">
        <v>622</v>
      </c>
    </row>
    <row r="171" spans="1:5" x14ac:dyDescent="0.3">
      <c r="A171" s="23">
        <v>21</v>
      </c>
      <c r="B171" s="19" t="s">
        <v>353</v>
      </c>
      <c r="C171" s="94" t="s">
        <v>635</v>
      </c>
      <c r="D171" s="94" t="s">
        <v>636</v>
      </c>
      <c r="E171" s="94" t="s">
        <v>637</v>
      </c>
    </row>
    <row r="172" spans="1:5" x14ac:dyDescent="0.3">
      <c r="A172" s="23">
        <v>22</v>
      </c>
      <c r="B172" s="19" t="s">
        <v>354</v>
      </c>
      <c r="C172" s="94" t="s">
        <v>650</v>
      </c>
      <c r="D172" s="94" t="s">
        <v>651</v>
      </c>
      <c r="E172" s="94" t="s">
        <v>652</v>
      </c>
    </row>
    <row r="173" spans="1:5" x14ac:dyDescent="0.3">
      <c r="A173" s="23">
        <v>23</v>
      </c>
      <c r="B173" s="19" t="s">
        <v>355</v>
      </c>
      <c r="C173" s="94" t="s">
        <v>665</v>
      </c>
      <c r="D173" s="94" t="s">
        <v>666</v>
      </c>
      <c r="E173" s="94" t="s">
        <v>667</v>
      </c>
    </row>
    <row r="174" spans="1:5" x14ac:dyDescent="0.3">
      <c r="A174" s="23">
        <v>24</v>
      </c>
      <c r="B174" s="19" t="s">
        <v>356</v>
      </c>
      <c r="C174" s="94" t="s">
        <v>680</v>
      </c>
      <c r="D174" s="94" t="s">
        <v>681</v>
      </c>
      <c r="E174" s="94" t="s">
        <v>682</v>
      </c>
    </row>
    <row r="175" spans="1:5" x14ac:dyDescent="0.3">
      <c r="A175" s="23">
        <v>25</v>
      </c>
      <c r="B175" s="19" t="s">
        <v>371</v>
      </c>
      <c r="C175" s="94" t="s">
        <v>695</v>
      </c>
      <c r="D175" s="94" t="s">
        <v>696</v>
      </c>
      <c r="E175" s="94" t="s">
        <v>697</v>
      </c>
    </row>
    <row r="176" spans="1:5" x14ac:dyDescent="0.3">
      <c r="A176" s="23">
        <v>26</v>
      </c>
      <c r="B176" s="19" t="s">
        <v>372</v>
      </c>
      <c r="C176" s="94" t="s">
        <v>710</v>
      </c>
      <c r="D176" s="94" t="s">
        <v>711</v>
      </c>
      <c r="E176" s="94" t="s">
        <v>712</v>
      </c>
    </row>
    <row r="177" spans="1:5" x14ac:dyDescent="0.3">
      <c r="A177" s="23">
        <v>27</v>
      </c>
      <c r="B177" s="19" t="s">
        <v>373</v>
      </c>
      <c r="C177" s="94" t="s">
        <v>725</v>
      </c>
      <c r="D177" s="94" t="s">
        <v>726</v>
      </c>
      <c r="E177" s="94" t="s">
        <v>727</v>
      </c>
    </row>
    <row r="178" spans="1:5" x14ac:dyDescent="0.3">
      <c r="A178" s="23">
        <v>28</v>
      </c>
      <c r="B178" s="19" t="s">
        <v>402</v>
      </c>
      <c r="C178" s="94" t="s">
        <v>740</v>
      </c>
      <c r="D178" s="94" t="s">
        <v>741</v>
      </c>
      <c r="E178" s="94" t="s">
        <v>742</v>
      </c>
    </row>
    <row r="179" spans="1:5" x14ac:dyDescent="0.3">
      <c r="A179" s="23">
        <v>29</v>
      </c>
      <c r="B179" s="19" t="s">
        <v>403</v>
      </c>
      <c r="C179" s="94" t="s">
        <v>755</v>
      </c>
      <c r="D179" s="94" t="s">
        <v>756</v>
      </c>
      <c r="E179" s="94" t="s">
        <v>757</v>
      </c>
    </row>
    <row r="180" spans="1:5" x14ac:dyDescent="0.3">
      <c r="A180" s="23">
        <v>30</v>
      </c>
      <c r="B180" s="19" t="s">
        <v>404</v>
      </c>
      <c r="C180" s="94" t="s">
        <v>770</v>
      </c>
      <c r="D180" s="94" t="s">
        <v>771</v>
      </c>
      <c r="E180" s="94" t="s">
        <v>772</v>
      </c>
    </row>
    <row r="181" spans="1:5" ht="15" thickBot="1" x14ac:dyDescent="0.35">
      <c r="A181" s="24">
        <v>31</v>
      </c>
      <c r="B181" s="20" t="s">
        <v>405</v>
      </c>
      <c r="C181" s="96" t="s">
        <v>785</v>
      </c>
      <c r="D181" s="96" t="s">
        <v>786</v>
      </c>
      <c r="E181" s="96" t="s">
        <v>787</v>
      </c>
    </row>
    <row r="182" spans="1:5" ht="15" thickBot="1" x14ac:dyDescent="0.35"/>
    <row r="183" spans="1:5" x14ac:dyDescent="0.3">
      <c r="A183" s="31" t="s">
        <v>1563</v>
      </c>
      <c r="B183" s="32" t="s">
        <v>1564</v>
      </c>
      <c r="C183" s="32" t="s">
        <v>1565</v>
      </c>
    </row>
    <row r="184" spans="1:5" x14ac:dyDescent="0.3">
      <c r="A184" s="19" t="s">
        <v>1566</v>
      </c>
      <c r="B184" s="23">
        <v>40</v>
      </c>
      <c r="C184" s="23">
        <v>40</v>
      </c>
    </row>
    <row r="185" spans="1:5" x14ac:dyDescent="0.3">
      <c r="A185" s="19" t="s">
        <v>140</v>
      </c>
      <c r="B185" s="23">
        <v>3.2000000000000001E-2</v>
      </c>
      <c r="C185" s="23">
        <v>3.2000000000000001E-2</v>
      </c>
    </row>
    <row r="186" spans="1:5" x14ac:dyDescent="0.3">
      <c r="A186" s="19" t="s">
        <v>1568</v>
      </c>
      <c r="B186" s="23">
        <v>1</v>
      </c>
      <c r="C186" s="23">
        <v>1</v>
      </c>
    </row>
    <row r="187" spans="1:5" x14ac:dyDescent="0.3">
      <c r="A187" s="19" t="s">
        <v>1569</v>
      </c>
      <c r="B187" s="23">
        <v>1</v>
      </c>
      <c r="C187" s="23">
        <v>1</v>
      </c>
    </row>
    <row r="188" spans="1:5" x14ac:dyDescent="0.3">
      <c r="A188" s="19" t="s">
        <v>1570</v>
      </c>
      <c r="B188" s="23">
        <v>1</v>
      </c>
      <c r="C188" s="23">
        <v>1</v>
      </c>
    </row>
    <row r="189" spans="1:5" x14ac:dyDescent="0.3">
      <c r="A189" s="19" t="s">
        <v>1571</v>
      </c>
      <c r="B189" s="23">
        <v>1</v>
      </c>
      <c r="C189" s="23">
        <v>1</v>
      </c>
    </row>
    <row r="190" spans="1:5" x14ac:dyDescent="0.3">
      <c r="A190" s="19" t="s">
        <v>1572</v>
      </c>
      <c r="B190" s="23">
        <v>0</v>
      </c>
      <c r="C190" s="23">
        <v>1</v>
      </c>
    </row>
    <row r="191" spans="1:5" x14ac:dyDescent="0.3">
      <c r="A191" s="19" t="s">
        <v>1573</v>
      </c>
      <c r="B191" s="23">
        <v>0</v>
      </c>
      <c r="C191" s="23">
        <v>1</v>
      </c>
    </row>
    <row r="192" spans="1:5" x14ac:dyDescent="0.3">
      <c r="A192" s="19" t="s">
        <v>1574</v>
      </c>
      <c r="B192" s="23">
        <v>0</v>
      </c>
      <c r="C192" s="23">
        <v>1</v>
      </c>
    </row>
    <row r="193" spans="1:3" x14ac:dyDescent="0.3">
      <c r="A193" s="19" t="s">
        <v>1575</v>
      </c>
      <c r="B193" s="23">
        <v>0</v>
      </c>
      <c r="C193" s="23">
        <v>1</v>
      </c>
    </row>
    <row r="194" spans="1:3" x14ac:dyDescent="0.3">
      <c r="A194" s="19" t="s">
        <v>1576</v>
      </c>
      <c r="B194" s="23">
        <v>0</v>
      </c>
      <c r="C194" s="23">
        <v>1</v>
      </c>
    </row>
    <row r="195" spans="1:3" x14ac:dyDescent="0.3">
      <c r="A195" s="19" t="s">
        <v>1577</v>
      </c>
      <c r="B195" s="23">
        <v>0</v>
      </c>
      <c r="C195" s="23">
        <v>1</v>
      </c>
    </row>
    <row r="196" spans="1:3" x14ac:dyDescent="0.3">
      <c r="A196" s="19" t="s">
        <v>1578</v>
      </c>
      <c r="B196" s="23">
        <v>0</v>
      </c>
      <c r="C196" s="23">
        <v>1</v>
      </c>
    </row>
    <row r="197" spans="1:3" x14ac:dyDescent="0.3">
      <c r="A197" s="19" t="s">
        <v>1579</v>
      </c>
      <c r="B197" s="23">
        <v>0</v>
      </c>
      <c r="C197" s="23">
        <v>1</v>
      </c>
    </row>
    <row r="198" spans="1:3" x14ac:dyDescent="0.3">
      <c r="A198" s="19" t="s">
        <v>1580</v>
      </c>
      <c r="B198" s="23">
        <v>0</v>
      </c>
      <c r="C198" s="23">
        <v>1</v>
      </c>
    </row>
    <row r="199" spans="1:3" x14ac:dyDescent="0.3">
      <c r="A199" s="19" t="s">
        <v>1581</v>
      </c>
      <c r="B199" s="23">
        <v>0</v>
      </c>
      <c r="C199" s="23">
        <v>1</v>
      </c>
    </row>
    <row r="200" spans="1:3" x14ac:dyDescent="0.3">
      <c r="A200" s="19" t="s">
        <v>1582</v>
      </c>
      <c r="B200" s="23">
        <v>0</v>
      </c>
      <c r="C200" s="23">
        <v>1</v>
      </c>
    </row>
    <row r="201" spans="1:3" x14ac:dyDescent="0.3">
      <c r="A201" s="19" t="s">
        <v>1583</v>
      </c>
      <c r="B201" s="23">
        <v>0</v>
      </c>
      <c r="C201" s="23">
        <v>1</v>
      </c>
    </row>
    <row r="202" spans="1:3" x14ac:dyDescent="0.3">
      <c r="A202" s="19" t="s">
        <v>1584</v>
      </c>
      <c r="B202" s="23">
        <v>0</v>
      </c>
      <c r="C202" s="23">
        <v>1</v>
      </c>
    </row>
    <row r="203" spans="1:3" x14ac:dyDescent="0.3">
      <c r="A203" s="19" t="s">
        <v>1585</v>
      </c>
      <c r="B203" s="23">
        <v>0</v>
      </c>
      <c r="C203" s="23">
        <v>1</v>
      </c>
    </row>
    <row r="204" spans="1:3" x14ac:dyDescent="0.3">
      <c r="A204" s="19" t="s">
        <v>1586</v>
      </c>
      <c r="B204" s="23">
        <v>0</v>
      </c>
      <c r="C204" s="23">
        <v>1</v>
      </c>
    </row>
    <row r="205" spans="1:3" x14ac:dyDescent="0.3">
      <c r="A205" s="19" t="s">
        <v>1587</v>
      </c>
      <c r="B205" s="23">
        <v>0</v>
      </c>
      <c r="C205" s="23">
        <v>1</v>
      </c>
    </row>
    <row r="206" spans="1:3" x14ac:dyDescent="0.3">
      <c r="A206" s="19" t="s">
        <v>1588</v>
      </c>
      <c r="B206" s="23">
        <v>0</v>
      </c>
      <c r="C206" s="23">
        <v>1</v>
      </c>
    </row>
    <row r="207" spans="1:3" x14ac:dyDescent="0.3">
      <c r="A207" s="19" t="s">
        <v>1589</v>
      </c>
      <c r="B207" s="23">
        <v>0</v>
      </c>
      <c r="C207" s="23">
        <v>1</v>
      </c>
    </row>
    <row r="208" spans="1:3" x14ac:dyDescent="0.3">
      <c r="A208" s="19" t="s">
        <v>1590</v>
      </c>
      <c r="B208" s="23">
        <v>0</v>
      </c>
      <c r="C208" s="23">
        <v>1</v>
      </c>
    </row>
    <row r="209" spans="1:3" x14ac:dyDescent="0.3">
      <c r="A209" s="19" t="s">
        <v>1591</v>
      </c>
      <c r="B209" s="23">
        <v>0</v>
      </c>
      <c r="C209" s="23">
        <v>1</v>
      </c>
    </row>
    <row r="210" spans="1:3" x14ac:dyDescent="0.3">
      <c r="A210" s="19" t="s">
        <v>1592</v>
      </c>
      <c r="B210" s="23">
        <v>0</v>
      </c>
      <c r="C210" s="23">
        <v>1</v>
      </c>
    </row>
    <row r="211" spans="1:3" x14ac:dyDescent="0.3">
      <c r="A211" s="19" t="s">
        <v>1593</v>
      </c>
      <c r="B211" s="23">
        <v>0</v>
      </c>
      <c r="C211" s="23">
        <v>1</v>
      </c>
    </row>
    <row r="212" spans="1:3" x14ac:dyDescent="0.3">
      <c r="A212" s="19" t="s">
        <v>1594</v>
      </c>
      <c r="B212" s="23">
        <v>0</v>
      </c>
      <c r="C212" s="23">
        <v>1</v>
      </c>
    </row>
    <row r="213" spans="1:3" x14ac:dyDescent="0.3">
      <c r="A213" s="19" t="s">
        <v>1595</v>
      </c>
      <c r="B213" s="23">
        <v>0</v>
      </c>
      <c r="C213" s="23">
        <v>1</v>
      </c>
    </row>
    <row r="214" spans="1:3" x14ac:dyDescent="0.3">
      <c r="A214" s="19" t="s">
        <v>1596</v>
      </c>
      <c r="B214" s="23">
        <v>0</v>
      </c>
      <c r="C214" s="23">
        <v>1</v>
      </c>
    </row>
    <row r="215" spans="1:3" x14ac:dyDescent="0.3">
      <c r="A215" s="19" t="s">
        <v>1597</v>
      </c>
      <c r="B215" s="23">
        <v>0</v>
      </c>
      <c r="C215" s="23">
        <v>1</v>
      </c>
    </row>
    <row r="216" spans="1:3" x14ac:dyDescent="0.3">
      <c r="A216" s="19" t="s">
        <v>1598</v>
      </c>
      <c r="B216" s="23">
        <v>0</v>
      </c>
      <c r="C216" s="23">
        <v>1</v>
      </c>
    </row>
    <row r="217" spans="1:3" x14ac:dyDescent="0.3">
      <c r="A217" s="19" t="s">
        <v>1599</v>
      </c>
      <c r="B217" s="23">
        <v>0</v>
      </c>
      <c r="C217" s="23">
        <v>1</v>
      </c>
    </row>
    <row r="218" spans="1:3" x14ac:dyDescent="0.3">
      <c r="A218" s="19" t="s">
        <v>1600</v>
      </c>
      <c r="B218" s="23">
        <v>0</v>
      </c>
      <c r="C218" s="23">
        <v>1</v>
      </c>
    </row>
    <row r="219" spans="1:3" x14ac:dyDescent="0.3">
      <c r="A219" s="19" t="s">
        <v>1601</v>
      </c>
      <c r="B219" s="23">
        <v>0</v>
      </c>
      <c r="C219" s="23">
        <v>1</v>
      </c>
    </row>
    <row r="220" spans="1:3" x14ac:dyDescent="0.3">
      <c r="A220" s="19" t="s">
        <v>1602</v>
      </c>
      <c r="B220" s="23">
        <v>0</v>
      </c>
      <c r="C220" s="23">
        <v>1</v>
      </c>
    </row>
    <row r="221" spans="1:3" x14ac:dyDescent="0.3">
      <c r="A221" s="19" t="s">
        <v>1603</v>
      </c>
      <c r="B221" s="23">
        <v>0</v>
      </c>
      <c r="C221" s="23">
        <v>1</v>
      </c>
    </row>
    <row r="222" spans="1:3" x14ac:dyDescent="0.3">
      <c r="A222" s="19" t="s">
        <v>1604</v>
      </c>
      <c r="B222" s="23">
        <v>0</v>
      </c>
      <c r="C222" s="23">
        <v>1</v>
      </c>
    </row>
    <row r="223" spans="1:3" x14ac:dyDescent="0.3">
      <c r="A223" s="19" t="s">
        <v>1605</v>
      </c>
      <c r="B223" s="23">
        <v>0</v>
      </c>
      <c r="C223" s="23">
        <v>1</v>
      </c>
    </row>
    <row r="224" spans="1:3" x14ac:dyDescent="0.3">
      <c r="A224" s="19" t="s">
        <v>1606</v>
      </c>
      <c r="B224" s="23">
        <v>0</v>
      </c>
      <c r="C224" s="23">
        <v>1</v>
      </c>
    </row>
    <row r="225" spans="1:3" x14ac:dyDescent="0.3">
      <c r="A225" s="19" t="s">
        <v>1607</v>
      </c>
      <c r="B225" s="23">
        <v>0</v>
      </c>
      <c r="C225" s="23">
        <v>0</v>
      </c>
    </row>
    <row r="226" spans="1:3" x14ac:dyDescent="0.3">
      <c r="A226" s="19" t="s">
        <v>1608</v>
      </c>
      <c r="B226" s="23">
        <v>0</v>
      </c>
      <c r="C226" s="23">
        <v>0</v>
      </c>
    </row>
    <row r="227" spans="1:3" x14ac:dyDescent="0.3">
      <c r="A227" s="19" t="s">
        <v>1609</v>
      </c>
      <c r="B227" s="23">
        <v>0</v>
      </c>
      <c r="C227" s="23">
        <v>0</v>
      </c>
    </row>
    <row r="228" spans="1:3" x14ac:dyDescent="0.3">
      <c r="A228" s="19" t="s">
        <v>1610</v>
      </c>
      <c r="B228" s="23">
        <v>0</v>
      </c>
      <c r="C228" s="23">
        <v>0</v>
      </c>
    </row>
    <row r="229" spans="1:3" x14ac:dyDescent="0.3">
      <c r="A229" s="19" t="s">
        <v>1611</v>
      </c>
      <c r="B229" s="23">
        <v>0</v>
      </c>
      <c r="C229" s="23">
        <v>1</v>
      </c>
    </row>
    <row r="230" spans="1:3" x14ac:dyDescent="0.3">
      <c r="A230" s="19" t="s">
        <v>1612</v>
      </c>
      <c r="B230" s="23">
        <v>0</v>
      </c>
      <c r="C230" s="23">
        <v>2</v>
      </c>
    </row>
    <row r="231" spans="1:3" x14ac:dyDescent="0.3">
      <c r="A231" s="19" t="s">
        <v>1613</v>
      </c>
      <c r="B231" s="23">
        <v>24</v>
      </c>
      <c r="C231" s="23">
        <v>32</v>
      </c>
    </row>
    <row r="232" spans="1:3" x14ac:dyDescent="0.3">
      <c r="A232" s="19" t="s">
        <v>1614</v>
      </c>
      <c r="B232" s="23">
        <v>6</v>
      </c>
      <c r="C232" s="23">
        <v>1</v>
      </c>
    </row>
    <row r="233" spans="1:3" x14ac:dyDescent="0.3">
      <c r="A233" s="19" t="s">
        <v>1615</v>
      </c>
      <c r="B233" s="23">
        <v>12</v>
      </c>
      <c r="C233" s="23">
        <v>2</v>
      </c>
    </row>
    <row r="234" spans="1:3" x14ac:dyDescent="0.3">
      <c r="A234" s="19" t="s">
        <v>1616</v>
      </c>
      <c r="B234" s="23">
        <v>0</v>
      </c>
      <c r="C234" s="23">
        <v>0</v>
      </c>
    </row>
    <row r="235" spans="1:3" x14ac:dyDescent="0.3">
      <c r="A235" s="19" t="s">
        <v>1617</v>
      </c>
      <c r="B235" s="23">
        <v>0</v>
      </c>
      <c r="C235" s="23">
        <v>1</v>
      </c>
    </row>
    <row r="236" spans="1:3" x14ac:dyDescent="0.3">
      <c r="A236" s="19" t="s">
        <v>1567</v>
      </c>
      <c r="B236" s="23">
        <v>0</v>
      </c>
      <c r="C236" s="23">
        <v>2</v>
      </c>
    </row>
    <row r="237" spans="1:3" x14ac:dyDescent="0.3">
      <c r="A237" s="19" t="s">
        <v>1618</v>
      </c>
      <c r="B237" s="23">
        <v>0</v>
      </c>
      <c r="C237" s="23">
        <v>0</v>
      </c>
    </row>
    <row r="238" spans="1:3" x14ac:dyDescent="0.3">
      <c r="A238" s="19" t="s">
        <v>1619</v>
      </c>
      <c r="B238" s="23">
        <v>1</v>
      </c>
      <c r="C238" s="23">
        <v>1</v>
      </c>
    </row>
    <row r="239" spans="1:3" x14ac:dyDescent="0.3">
      <c r="A239" s="19" t="s">
        <v>1620</v>
      </c>
      <c r="B239" s="23">
        <v>3</v>
      </c>
      <c r="C239" s="23">
        <v>3</v>
      </c>
    </row>
    <row r="240" spans="1:3" x14ac:dyDescent="0.3">
      <c r="A240" s="19" t="s">
        <v>1621</v>
      </c>
      <c r="B240" s="23">
        <v>1</v>
      </c>
      <c r="C240" s="23">
        <v>1</v>
      </c>
    </row>
    <row r="241" spans="1:3" x14ac:dyDescent="0.3">
      <c r="A241" s="19" t="s">
        <v>1622</v>
      </c>
      <c r="B241" s="23" t="s">
        <v>1562</v>
      </c>
      <c r="C241" s="23" t="s">
        <v>1562</v>
      </c>
    </row>
    <row r="242" spans="1:3" x14ac:dyDescent="0.3">
      <c r="A242" s="19" t="s">
        <v>1623</v>
      </c>
      <c r="B242" s="23">
        <v>0</v>
      </c>
      <c r="C242" s="23">
        <v>1</v>
      </c>
    </row>
    <row r="243" spans="1:3" x14ac:dyDescent="0.3">
      <c r="A243" s="19" t="s">
        <v>1624</v>
      </c>
      <c r="B243" s="23">
        <v>0</v>
      </c>
      <c r="C243" s="23">
        <v>1</v>
      </c>
    </row>
    <row r="244" spans="1:3" x14ac:dyDescent="0.3">
      <c r="A244" s="19" t="s">
        <v>1625</v>
      </c>
      <c r="B244" s="23">
        <v>0</v>
      </c>
      <c r="C244" s="23">
        <v>1</v>
      </c>
    </row>
    <row r="245" spans="1:3" x14ac:dyDescent="0.3">
      <c r="A245" s="19" t="s">
        <v>1626</v>
      </c>
      <c r="B245" s="23">
        <v>0</v>
      </c>
      <c r="C245" s="23">
        <v>1</v>
      </c>
    </row>
    <row r="246" spans="1:3" x14ac:dyDescent="0.3">
      <c r="A246" s="19" t="s">
        <v>1627</v>
      </c>
      <c r="B246" s="23">
        <v>0</v>
      </c>
      <c r="C246" s="23">
        <v>0</v>
      </c>
    </row>
    <row r="247" spans="1:3" x14ac:dyDescent="0.3">
      <c r="A247" s="19" t="s">
        <v>1628</v>
      </c>
      <c r="B247" s="23">
        <v>1</v>
      </c>
      <c r="C247" s="23">
        <v>0</v>
      </c>
    </row>
    <row r="248" spans="1:3" x14ac:dyDescent="0.3">
      <c r="A248" s="19" t="s">
        <v>1629</v>
      </c>
      <c r="B248" s="23">
        <v>1</v>
      </c>
      <c r="C248" s="23">
        <v>1</v>
      </c>
    </row>
    <row r="249" spans="1:3" x14ac:dyDescent="0.3">
      <c r="A249" s="19" t="s">
        <v>1630</v>
      </c>
      <c r="B249" s="23">
        <v>0</v>
      </c>
      <c r="C249" s="23">
        <v>1</v>
      </c>
    </row>
    <row r="250" spans="1:3" x14ac:dyDescent="0.3">
      <c r="A250" s="19" t="s">
        <v>1631</v>
      </c>
      <c r="B250" s="23">
        <v>0</v>
      </c>
      <c r="C250" s="23">
        <v>2</v>
      </c>
    </row>
    <row r="251" spans="1:3" x14ac:dyDescent="0.3">
      <c r="A251" s="19" t="s">
        <v>1632</v>
      </c>
      <c r="B251" s="23">
        <v>0</v>
      </c>
      <c r="C251" s="23">
        <v>0</v>
      </c>
    </row>
    <row r="252" spans="1:3" x14ac:dyDescent="0.3">
      <c r="A252" s="19" t="s">
        <v>1633</v>
      </c>
      <c r="B252" s="23">
        <v>3</v>
      </c>
      <c r="C252" s="23">
        <v>3</v>
      </c>
    </row>
    <row r="253" spans="1:3" x14ac:dyDescent="0.3">
      <c r="A253" s="19" t="s">
        <v>1634</v>
      </c>
      <c r="B253" s="23">
        <v>0</v>
      </c>
      <c r="C253" s="23">
        <v>0</v>
      </c>
    </row>
    <row r="254" spans="1:3" x14ac:dyDescent="0.3">
      <c r="A254" s="19" t="s">
        <v>1635</v>
      </c>
      <c r="B254" s="23">
        <v>0</v>
      </c>
      <c r="C254" s="23">
        <v>0</v>
      </c>
    </row>
    <row r="255" spans="1:3" x14ac:dyDescent="0.3">
      <c r="A255" s="19" t="s">
        <v>1636</v>
      </c>
      <c r="B255" s="23">
        <v>0</v>
      </c>
      <c r="C255" s="23">
        <v>3</v>
      </c>
    </row>
    <row r="256" spans="1:3" x14ac:dyDescent="0.3">
      <c r="A256" s="19" t="s">
        <v>1637</v>
      </c>
      <c r="B256" s="23">
        <v>0</v>
      </c>
      <c r="C256" s="23">
        <v>14</v>
      </c>
    </row>
    <row r="257" spans="1:3" x14ac:dyDescent="0.3">
      <c r="A257" s="19" t="s">
        <v>1638</v>
      </c>
      <c r="B257" s="23">
        <v>1</v>
      </c>
      <c r="C257" s="23">
        <v>1</v>
      </c>
    </row>
    <row r="258" spans="1:3" x14ac:dyDescent="0.3">
      <c r="A258" s="19" t="s">
        <v>1639</v>
      </c>
      <c r="B258" s="23">
        <v>0</v>
      </c>
      <c r="C258" s="23">
        <v>0</v>
      </c>
    </row>
    <row r="259" spans="1:3" x14ac:dyDescent="0.3">
      <c r="A259" s="19" t="s">
        <v>1640</v>
      </c>
      <c r="B259" s="23">
        <v>0</v>
      </c>
      <c r="C259" s="23">
        <v>0</v>
      </c>
    </row>
    <row r="260" spans="1:3" x14ac:dyDescent="0.3">
      <c r="A260" s="19" t="s">
        <v>1641</v>
      </c>
      <c r="B260" s="23">
        <v>0</v>
      </c>
      <c r="C260" s="23">
        <v>1</v>
      </c>
    </row>
    <row r="261" spans="1:3" x14ac:dyDescent="0.3">
      <c r="A261" s="19" t="s">
        <v>1642</v>
      </c>
      <c r="B261" s="23">
        <v>0</v>
      </c>
      <c r="C261" s="23">
        <v>0</v>
      </c>
    </row>
    <row r="262" spans="1:3" x14ac:dyDescent="0.3">
      <c r="A262" s="19" t="s">
        <v>1643</v>
      </c>
      <c r="B262" s="23">
        <v>0</v>
      </c>
      <c r="C262" s="23">
        <v>1</v>
      </c>
    </row>
    <row r="263" spans="1:3" x14ac:dyDescent="0.3">
      <c r="A263" s="19" t="s">
        <v>1644</v>
      </c>
      <c r="B263" s="23">
        <v>0</v>
      </c>
      <c r="C263" s="23">
        <v>0</v>
      </c>
    </row>
    <row r="264" spans="1:3" x14ac:dyDescent="0.3">
      <c r="A264" s="19" t="s">
        <v>1645</v>
      </c>
      <c r="B264" s="23">
        <v>0</v>
      </c>
      <c r="C264" s="23">
        <v>0</v>
      </c>
    </row>
    <row r="265" spans="1:3" x14ac:dyDescent="0.3">
      <c r="A265" s="19" t="s">
        <v>1646</v>
      </c>
      <c r="B265" s="23">
        <v>0</v>
      </c>
      <c r="C265" s="23">
        <v>0</v>
      </c>
    </row>
    <row r="266" spans="1:3" x14ac:dyDescent="0.3">
      <c r="A266" s="19" t="s">
        <v>1647</v>
      </c>
      <c r="B266" s="23">
        <v>0</v>
      </c>
      <c r="C266" s="23">
        <v>0</v>
      </c>
    </row>
    <row r="267" spans="1:3" x14ac:dyDescent="0.3">
      <c r="A267" s="19" t="s">
        <v>1648</v>
      </c>
      <c r="B267" s="23">
        <v>0</v>
      </c>
      <c r="C267" s="23">
        <v>0</v>
      </c>
    </row>
    <row r="268" spans="1:3" x14ac:dyDescent="0.3">
      <c r="A268" s="19" t="s">
        <v>1649</v>
      </c>
      <c r="B268" s="23">
        <v>0</v>
      </c>
      <c r="C268" s="23">
        <v>0</v>
      </c>
    </row>
    <row r="269" spans="1:3" x14ac:dyDescent="0.3">
      <c r="A269" s="19" t="s">
        <v>1650</v>
      </c>
      <c r="B269" s="23">
        <v>1</v>
      </c>
      <c r="C269" s="23">
        <v>0</v>
      </c>
    </row>
    <row r="270" spans="1:3" x14ac:dyDescent="0.3">
      <c r="A270" s="19" t="s">
        <v>1651</v>
      </c>
      <c r="B270" s="23">
        <v>1</v>
      </c>
      <c r="C270" s="23">
        <v>1</v>
      </c>
    </row>
    <row r="271" spans="1:3" x14ac:dyDescent="0.3">
      <c r="A271" s="19" t="s">
        <v>1652</v>
      </c>
      <c r="B271" s="23">
        <v>0</v>
      </c>
      <c r="C271" s="23">
        <v>0</v>
      </c>
    </row>
    <row r="272" spans="1:3" x14ac:dyDescent="0.3">
      <c r="A272" s="19" t="s">
        <v>1653</v>
      </c>
      <c r="B272" s="23">
        <v>0</v>
      </c>
      <c r="C272" s="23">
        <v>1</v>
      </c>
    </row>
    <row r="273" spans="1:3" x14ac:dyDescent="0.3">
      <c r="A273" s="19" t="s">
        <v>1654</v>
      </c>
      <c r="B273" s="23">
        <v>0</v>
      </c>
      <c r="C273" s="23">
        <v>0</v>
      </c>
    </row>
    <row r="274" spans="1:3" x14ac:dyDescent="0.3">
      <c r="A274" s="19" t="s">
        <v>1656</v>
      </c>
      <c r="B274" s="23">
        <v>0</v>
      </c>
      <c r="C274" s="23">
        <v>0</v>
      </c>
    </row>
    <row r="275" spans="1:3" x14ac:dyDescent="0.3">
      <c r="A275" s="19" t="s">
        <v>1655</v>
      </c>
      <c r="B275" s="23">
        <v>0</v>
      </c>
      <c r="C275" s="23">
        <v>0</v>
      </c>
    </row>
    <row r="276" spans="1:3" x14ac:dyDescent="0.3">
      <c r="A276" s="19" t="s">
        <v>1657</v>
      </c>
      <c r="B276" s="23">
        <v>0</v>
      </c>
      <c r="C276" s="23">
        <v>1</v>
      </c>
    </row>
    <row r="277" spans="1:3" x14ac:dyDescent="0.3">
      <c r="A277" s="19" t="s">
        <v>1658</v>
      </c>
      <c r="B277" s="23">
        <v>0</v>
      </c>
      <c r="C277" s="23">
        <v>0</v>
      </c>
    </row>
    <row r="278" spans="1:3" x14ac:dyDescent="0.3">
      <c r="A278" s="19" t="s">
        <v>1659</v>
      </c>
      <c r="B278" s="23">
        <v>0</v>
      </c>
      <c r="C278" s="23">
        <v>1</v>
      </c>
    </row>
    <row r="279" spans="1:3" x14ac:dyDescent="0.3">
      <c r="A279" s="19" t="s">
        <v>1660</v>
      </c>
      <c r="B279" s="23">
        <v>0</v>
      </c>
      <c r="C279" s="23">
        <v>1</v>
      </c>
    </row>
    <row r="280" spans="1:3" x14ac:dyDescent="0.3">
      <c r="A280" s="19" t="s">
        <v>1661</v>
      </c>
      <c r="B280" s="23">
        <v>0</v>
      </c>
      <c r="C280" s="23">
        <v>1</v>
      </c>
    </row>
    <row r="281" spans="1:3" x14ac:dyDescent="0.3">
      <c r="A281" s="19" t="s">
        <v>1662</v>
      </c>
      <c r="B281" s="23">
        <v>0</v>
      </c>
      <c r="C281" s="23">
        <v>1</v>
      </c>
    </row>
    <row r="282" spans="1:3" x14ac:dyDescent="0.3">
      <c r="A282" s="19" t="s">
        <v>1729</v>
      </c>
      <c r="B282" s="23">
        <v>0</v>
      </c>
      <c r="C282" s="23">
        <v>1</v>
      </c>
    </row>
    <row r="283" spans="1:3" x14ac:dyDescent="0.3">
      <c r="A283" s="19" t="s">
        <v>1730</v>
      </c>
      <c r="B283" s="23">
        <v>0</v>
      </c>
      <c r="C283" s="23">
        <v>1</v>
      </c>
    </row>
    <row r="284" spans="1:3" x14ac:dyDescent="0.3">
      <c r="A284" s="19" t="s">
        <v>1731</v>
      </c>
      <c r="B284" s="23">
        <v>0</v>
      </c>
      <c r="C284" s="23">
        <v>1</v>
      </c>
    </row>
    <row r="285" spans="1:3" x14ac:dyDescent="0.3">
      <c r="A285" s="19" t="s">
        <v>1663</v>
      </c>
      <c r="B285" s="23">
        <v>0</v>
      </c>
      <c r="C285" s="23">
        <v>0</v>
      </c>
    </row>
    <row r="286" spans="1:3" x14ac:dyDescent="0.3">
      <c r="A286" s="19" t="s">
        <v>1664</v>
      </c>
      <c r="B286" s="23">
        <v>0</v>
      </c>
      <c r="C286" s="23">
        <v>0</v>
      </c>
    </row>
    <row r="287" spans="1:3" x14ac:dyDescent="0.3">
      <c r="A287" s="19" t="s">
        <v>1665</v>
      </c>
      <c r="B287" s="23">
        <v>0</v>
      </c>
      <c r="C287" s="23">
        <v>0</v>
      </c>
    </row>
    <row r="288" spans="1:3" x14ac:dyDescent="0.3">
      <c r="A288" s="19" t="s">
        <v>1666</v>
      </c>
      <c r="B288" s="23">
        <v>0</v>
      </c>
      <c r="C288" s="23">
        <v>0</v>
      </c>
    </row>
    <row r="289" spans="1:3" x14ac:dyDescent="0.3">
      <c r="A289" s="19" t="s">
        <v>1738</v>
      </c>
      <c r="B289" s="23">
        <v>0</v>
      </c>
      <c r="C289" s="23">
        <v>0</v>
      </c>
    </row>
    <row r="290" spans="1:3" x14ac:dyDescent="0.3">
      <c r="A290" s="19" t="s">
        <v>1667</v>
      </c>
      <c r="B290" s="23">
        <v>0</v>
      </c>
      <c r="C290" s="23">
        <v>0</v>
      </c>
    </row>
    <row r="291" spans="1:3" x14ac:dyDescent="0.3">
      <c r="A291" s="19" t="s">
        <v>1668</v>
      </c>
      <c r="B291" s="23">
        <v>0</v>
      </c>
      <c r="C291" s="23">
        <v>0</v>
      </c>
    </row>
    <row r="292" spans="1:3" x14ac:dyDescent="0.3">
      <c r="A292" s="19" t="s">
        <v>1669</v>
      </c>
      <c r="B292" s="23">
        <v>0</v>
      </c>
      <c r="C292" s="23">
        <v>1</v>
      </c>
    </row>
    <row r="293" spans="1:3" x14ac:dyDescent="0.3">
      <c r="A293" s="19" t="s">
        <v>1670</v>
      </c>
      <c r="B293" s="23">
        <v>0</v>
      </c>
      <c r="C293" s="23">
        <v>0</v>
      </c>
    </row>
    <row r="294" spans="1:3" x14ac:dyDescent="0.3">
      <c r="A294" s="19" t="s">
        <v>1671</v>
      </c>
      <c r="B294" s="23">
        <v>0</v>
      </c>
      <c r="C294" s="23">
        <v>1</v>
      </c>
    </row>
    <row r="295" spans="1:3" x14ac:dyDescent="0.3">
      <c r="A295" s="19" t="s">
        <v>1672</v>
      </c>
      <c r="B295" s="23">
        <v>0</v>
      </c>
      <c r="C295" s="23">
        <v>1</v>
      </c>
    </row>
    <row r="296" spans="1:3" x14ac:dyDescent="0.3">
      <c r="A296" s="19" t="s">
        <v>1673</v>
      </c>
      <c r="B296" s="23">
        <v>0</v>
      </c>
      <c r="C296" s="23">
        <v>1</v>
      </c>
    </row>
    <row r="297" spans="1:3" x14ac:dyDescent="0.3">
      <c r="A297" s="19" t="s">
        <v>1674</v>
      </c>
      <c r="B297" s="23">
        <v>0</v>
      </c>
      <c r="C297" s="23">
        <v>1</v>
      </c>
    </row>
    <row r="298" spans="1:3" x14ac:dyDescent="0.3">
      <c r="A298" s="19" t="s">
        <v>1732</v>
      </c>
      <c r="B298" s="23">
        <v>0</v>
      </c>
      <c r="C298" s="23">
        <v>1</v>
      </c>
    </row>
    <row r="299" spans="1:3" x14ac:dyDescent="0.3">
      <c r="A299" s="19" t="s">
        <v>1733</v>
      </c>
      <c r="B299" s="23">
        <v>0</v>
      </c>
      <c r="C299" s="23">
        <v>1</v>
      </c>
    </row>
    <row r="300" spans="1:3" x14ac:dyDescent="0.3">
      <c r="A300" s="19" t="s">
        <v>1734</v>
      </c>
      <c r="B300" s="23">
        <v>0</v>
      </c>
      <c r="C300" s="23">
        <v>1</v>
      </c>
    </row>
    <row r="301" spans="1:3" x14ac:dyDescent="0.3">
      <c r="A301" s="19" t="s">
        <v>1675</v>
      </c>
      <c r="B301" s="23">
        <v>0</v>
      </c>
      <c r="C301" s="23">
        <v>0</v>
      </c>
    </row>
    <row r="302" spans="1:3" x14ac:dyDescent="0.3">
      <c r="A302" s="19" t="s">
        <v>1676</v>
      </c>
      <c r="B302" s="23">
        <v>0</v>
      </c>
      <c r="C302" s="23">
        <v>0</v>
      </c>
    </row>
    <row r="303" spans="1:3" x14ac:dyDescent="0.3">
      <c r="A303" s="19" t="s">
        <v>1677</v>
      </c>
      <c r="B303" s="23">
        <v>0</v>
      </c>
      <c r="C303" s="23">
        <v>0</v>
      </c>
    </row>
    <row r="304" spans="1:3" x14ac:dyDescent="0.3">
      <c r="A304" s="19" t="s">
        <v>1678</v>
      </c>
      <c r="B304" s="23">
        <v>0</v>
      </c>
      <c r="C304" s="23">
        <v>0</v>
      </c>
    </row>
    <row r="305" spans="1:3" x14ac:dyDescent="0.3">
      <c r="A305" s="19" t="s">
        <v>1739</v>
      </c>
      <c r="B305" s="23">
        <v>0</v>
      </c>
      <c r="C305" s="23">
        <v>0</v>
      </c>
    </row>
    <row r="306" spans="1:3" x14ac:dyDescent="0.3">
      <c r="A306" s="19" t="s">
        <v>1679</v>
      </c>
      <c r="B306" s="23">
        <v>0</v>
      </c>
      <c r="C306" s="23">
        <v>0</v>
      </c>
    </row>
    <row r="307" spans="1:3" x14ac:dyDescent="0.3">
      <c r="A307" s="19" t="s">
        <v>1680</v>
      </c>
      <c r="B307" s="23">
        <v>0</v>
      </c>
      <c r="C307" s="23">
        <v>0</v>
      </c>
    </row>
    <row r="308" spans="1:3" x14ac:dyDescent="0.3">
      <c r="A308" s="19" t="s">
        <v>1681</v>
      </c>
      <c r="B308" s="23">
        <v>0</v>
      </c>
      <c r="C308" s="23">
        <v>1</v>
      </c>
    </row>
    <row r="309" spans="1:3" x14ac:dyDescent="0.3">
      <c r="A309" s="19" t="s">
        <v>1682</v>
      </c>
      <c r="B309" s="23">
        <v>0</v>
      </c>
      <c r="C309" s="23">
        <v>0</v>
      </c>
    </row>
    <row r="310" spans="1:3" x14ac:dyDescent="0.3">
      <c r="A310" s="19" t="s">
        <v>1683</v>
      </c>
      <c r="B310" s="23">
        <v>0</v>
      </c>
      <c r="C310" s="23">
        <v>1</v>
      </c>
    </row>
    <row r="311" spans="1:3" x14ac:dyDescent="0.3">
      <c r="A311" s="19" t="s">
        <v>1684</v>
      </c>
      <c r="B311" s="23">
        <v>0</v>
      </c>
      <c r="C311" s="23">
        <v>1</v>
      </c>
    </row>
    <row r="312" spans="1:3" x14ac:dyDescent="0.3">
      <c r="A312" s="19" t="s">
        <v>1685</v>
      </c>
      <c r="B312" s="23">
        <v>0</v>
      </c>
      <c r="C312" s="23">
        <v>1</v>
      </c>
    </row>
    <row r="313" spans="1:3" x14ac:dyDescent="0.3">
      <c r="A313" s="19" t="s">
        <v>1686</v>
      </c>
      <c r="B313" s="23">
        <v>0</v>
      </c>
      <c r="C313" s="23">
        <v>1</v>
      </c>
    </row>
    <row r="314" spans="1:3" x14ac:dyDescent="0.3">
      <c r="A314" s="19" t="s">
        <v>1735</v>
      </c>
      <c r="B314" s="23">
        <v>0</v>
      </c>
      <c r="C314" s="23">
        <v>1</v>
      </c>
    </row>
    <row r="315" spans="1:3" x14ac:dyDescent="0.3">
      <c r="A315" s="19" t="s">
        <v>1736</v>
      </c>
      <c r="B315" s="23">
        <v>0</v>
      </c>
      <c r="C315" s="23">
        <v>1</v>
      </c>
    </row>
    <row r="316" spans="1:3" x14ac:dyDescent="0.3">
      <c r="A316" s="19" t="s">
        <v>1737</v>
      </c>
      <c r="B316" s="23">
        <v>0</v>
      </c>
      <c r="C316" s="23">
        <v>1</v>
      </c>
    </row>
    <row r="317" spans="1:3" x14ac:dyDescent="0.3">
      <c r="A317" s="19" t="s">
        <v>1687</v>
      </c>
      <c r="B317" s="23">
        <v>0</v>
      </c>
      <c r="C317" s="23">
        <v>0</v>
      </c>
    </row>
    <row r="318" spans="1:3" x14ac:dyDescent="0.3">
      <c r="A318" s="19" t="s">
        <v>1688</v>
      </c>
      <c r="B318" s="23">
        <v>0</v>
      </c>
      <c r="C318" s="23">
        <v>0</v>
      </c>
    </row>
    <row r="319" spans="1:3" x14ac:dyDescent="0.3">
      <c r="A319" s="19" t="s">
        <v>1689</v>
      </c>
      <c r="B319" s="23">
        <v>0</v>
      </c>
      <c r="C319" s="23">
        <v>0</v>
      </c>
    </row>
    <row r="320" spans="1:3" x14ac:dyDescent="0.3">
      <c r="A320" s="19" t="s">
        <v>1690</v>
      </c>
      <c r="B320" s="23">
        <v>0</v>
      </c>
      <c r="C320" s="23">
        <v>0</v>
      </c>
    </row>
    <row r="321" spans="1:3" x14ac:dyDescent="0.3">
      <c r="A321" s="19" t="s">
        <v>1691</v>
      </c>
      <c r="B321" s="23">
        <v>0</v>
      </c>
      <c r="C321" s="23">
        <v>3</v>
      </c>
    </row>
    <row r="322" spans="1:3" x14ac:dyDescent="0.3">
      <c r="A322" s="19" t="s">
        <v>1692</v>
      </c>
      <c r="B322" s="23">
        <v>0</v>
      </c>
      <c r="C322" s="23">
        <v>4</v>
      </c>
    </row>
    <row r="323" spans="1:3" x14ac:dyDescent="0.3">
      <c r="A323" s="19" t="s">
        <v>1693</v>
      </c>
      <c r="B323" s="23">
        <v>0</v>
      </c>
      <c r="C323" s="23">
        <v>6</v>
      </c>
    </row>
    <row r="324" spans="1:3" x14ac:dyDescent="0.3">
      <c r="A324" s="19" t="s">
        <v>1694</v>
      </c>
      <c r="B324" s="23">
        <v>0</v>
      </c>
      <c r="C324" s="23">
        <v>4</v>
      </c>
    </row>
    <row r="325" spans="1:3" x14ac:dyDescent="0.3">
      <c r="A325" s="19" t="s">
        <v>1695</v>
      </c>
      <c r="B325" s="23">
        <v>0</v>
      </c>
      <c r="C325" s="23">
        <v>1</v>
      </c>
    </row>
    <row r="326" spans="1:3" x14ac:dyDescent="0.3">
      <c r="A326" s="19" t="s">
        <v>1696</v>
      </c>
      <c r="B326" s="23">
        <v>0</v>
      </c>
      <c r="C326" s="23">
        <v>1</v>
      </c>
    </row>
    <row r="327" spans="1:3" x14ac:dyDescent="0.3">
      <c r="A327" s="19" t="s">
        <v>1697</v>
      </c>
      <c r="B327" s="23">
        <v>0</v>
      </c>
      <c r="C327" s="23">
        <v>0</v>
      </c>
    </row>
    <row r="328" spans="1:3" x14ac:dyDescent="0.3">
      <c r="A328" s="19" t="s">
        <v>1698</v>
      </c>
      <c r="B328" s="23">
        <v>0</v>
      </c>
      <c r="C328" s="23">
        <v>2</v>
      </c>
    </row>
    <row r="329" spans="1:3" x14ac:dyDescent="0.3">
      <c r="A329" s="19" t="s">
        <v>1699</v>
      </c>
      <c r="B329" s="23">
        <v>0</v>
      </c>
      <c r="C329" s="23">
        <v>63</v>
      </c>
    </row>
    <row r="330" spans="1:3" x14ac:dyDescent="0.3">
      <c r="A330" s="19" t="s">
        <v>1700</v>
      </c>
      <c r="B330" s="23">
        <v>0</v>
      </c>
      <c r="C330" s="23">
        <v>31</v>
      </c>
    </row>
    <row r="331" spans="1:3" x14ac:dyDescent="0.3">
      <c r="A331" s="19" t="s">
        <v>1701</v>
      </c>
      <c r="B331" s="23">
        <v>0</v>
      </c>
      <c r="C331" s="23">
        <v>31</v>
      </c>
    </row>
    <row r="332" spans="1:3" x14ac:dyDescent="0.3">
      <c r="A332" s="19" t="s">
        <v>1702</v>
      </c>
      <c r="B332" s="23">
        <v>0</v>
      </c>
      <c r="C332" s="23">
        <v>1</v>
      </c>
    </row>
    <row r="333" spans="1:3" x14ac:dyDescent="0.3">
      <c r="A333" s="19" t="s">
        <v>1703</v>
      </c>
      <c r="B333" s="23">
        <v>1</v>
      </c>
      <c r="C333" s="23">
        <v>1</v>
      </c>
    </row>
    <row r="334" spans="1:3" x14ac:dyDescent="0.3">
      <c r="A334" s="19" t="s">
        <v>1704</v>
      </c>
      <c r="B334" s="23">
        <v>0</v>
      </c>
      <c r="C334" s="23">
        <v>1</v>
      </c>
    </row>
    <row r="335" spans="1:3" x14ac:dyDescent="0.3">
      <c r="A335" s="19" t="s">
        <v>1705</v>
      </c>
      <c r="B335" s="23">
        <v>0</v>
      </c>
      <c r="C335" s="23">
        <v>0</v>
      </c>
    </row>
    <row r="336" spans="1:3" x14ac:dyDescent="0.3">
      <c r="A336" s="19" t="s">
        <v>1727</v>
      </c>
      <c r="B336" s="23">
        <v>0</v>
      </c>
      <c r="C336" s="23">
        <v>2</v>
      </c>
    </row>
    <row r="337" spans="1:3" x14ac:dyDescent="0.3">
      <c r="A337" s="19" t="s">
        <v>1706</v>
      </c>
      <c r="B337" s="23">
        <v>0</v>
      </c>
      <c r="C337" s="23">
        <v>22</v>
      </c>
    </row>
    <row r="338" spans="1:3" x14ac:dyDescent="0.3">
      <c r="A338" s="19" t="s">
        <v>1707</v>
      </c>
      <c r="B338" s="23">
        <v>0</v>
      </c>
      <c r="C338" s="23">
        <v>7</v>
      </c>
    </row>
    <row r="339" spans="1:3" x14ac:dyDescent="0.3">
      <c r="A339" s="19" t="s">
        <v>1708</v>
      </c>
      <c r="B339" s="23">
        <v>0</v>
      </c>
      <c r="C339" s="23">
        <v>7</v>
      </c>
    </row>
    <row r="340" spans="1:3" x14ac:dyDescent="0.3">
      <c r="A340" s="19" t="s">
        <v>1709</v>
      </c>
      <c r="B340" s="23">
        <v>0</v>
      </c>
      <c r="C340" s="23">
        <v>3</v>
      </c>
    </row>
    <row r="341" spans="1:3" x14ac:dyDescent="0.3">
      <c r="A341" s="19" t="s">
        <v>1710</v>
      </c>
      <c r="B341" s="23">
        <v>0</v>
      </c>
      <c r="C341" s="23">
        <v>3</v>
      </c>
    </row>
    <row r="342" spans="1:3" x14ac:dyDescent="0.3">
      <c r="A342" s="19" t="s">
        <v>1711</v>
      </c>
      <c r="B342" s="23">
        <v>0</v>
      </c>
      <c r="C342" s="23">
        <v>5</v>
      </c>
    </row>
    <row r="343" spans="1:3" x14ac:dyDescent="0.3">
      <c r="A343" s="19" t="s">
        <v>1712</v>
      </c>
      <c r="B343" s="23">
        <v>0</v>
      </c>
      <c r="C343" s="23">
        <v>5</v>
      </c>
    </row>
    <row r="344" spans="1:3" x14ac:dyDescent="0.3">
      <c r="A344" s="19" t="s">
        <v>1713</v>
      </c>
      <c r="B344" s="23">
        <v>0</v>
      </c>
      <c r="C344" s="23">
        <v>0</v>
      </c>
    </row>
    <row r="345" spans="1:3" x14ac:dyDescent="0.3">
      <c r="A345" s="19" t="s">
        <v>1714</v>
      </c>
      <c r="B345" s="23">
        <v>0</v>
      </c>
      <c r="C345" s="23">
        <v>1</v>
      </c>
    </row>
    <row r="346" spans="1:3" x14ac:dyDescent="0.3">
      <c r="A346" s="19" t="s">
        <v>1715</v>
      </c>
      <c r="B346" s="23">
        <v>0</v>
      </c>
      <c r="C346" s="23">
        <v>0</v>
      </c>
    </row>
    <row r="347" spans="1:3" x14ac:dyDescent="0.3">
      <c r="A347" s="19" t="s">
        <v>1716</v>
      </c>
      <c r="B347" s="23">
        <v>0</v>
      </c>
      <c r="C347" s="23">
        <v>9</v>
      </c>
    </row>
    <row r="348" spans="1:3" x14ac:dyDescent="0.3">
      <c r="A348" s="19" t="s">
        <v>1717</v>
      </c>
      <c r="B348" s="23">
        <v>0</v>
      </c>
      <c r="C348" s="23">
        <v>0</v>
      </c>
    </row>
    <row r="349" spans="1:3" x14ac:dyDescent="0.3">
      <c r="A349" s="19" t="s">
        <v>1718</v>
      </c>
      <c r="B349" s="23">
        <v>0</v>
      </c>
      <c r="C349" s="23">
        <v>31</v>
      </c>
    </row>
    <row r="350" spans="1:3" x14ac:dyDescent="0.3">
      <c r="A350" s="19" t="s">
        <v>1719</v>
      </c>
      <c r="B350" s="23">
        <v>0</v>
      </c>
      <c r="C350" s="23">
        <v>23</v>
      </c>
    </row>
    <row r="351" spans="1:3" x14ac:dyDescent="0.3">
      <c r="A351" s="19" t="s">
        <v>1720</v>
      </c>
      <c r="B351" s="23">
        <v>0</v>
      </c>
      <c r="C351" s="23">
        <v>1</v>
      </c>
    </row>
    <row r="352" spans="1:3" x14ac:dyDescent="0.3">
      <c r="A352" s="19" t="s">
        <v>1721</v>
      </c>
      <c r="B352" s="23">
        <v>1</v>
      </c>
      <c r="C352" s="23">
        <v>1</v>
      </c>
    </row>
    <row r="353" spans="1:3" x14ac:dyDescent="0.3">
      <c r="A353" s="19" t="s">
        <v>1722</v>
      </c>
      <c r="B353" s="23">
        <v>0</v>
      </c>
      <c r="C353" s="23">
        <v>1</v>
      </c>
    </row>
    <row r="354" spans="1:3" x14ac:dyDescent="0.3">
      <c r="A354" s="19" t="s">
        <v>1723</v>
      </c>
      <c r="B354" s="23">
        <v>0</v>
      </c>
      <c r="C354" s="23">
        <v>0</v>
      </c>
    </row>
    <row r="355" spans="1:3" x14ac:dyDescent="0.3">
      <c r="A355" s="19" t="s">
        <v>1728</v>
      </c>
      <c r="B355" s="23">
        <v>0</v>
      </c>
      <c r="C355" s="23">
        <v>3</v>
      </c>
    </row>
    <row r="356" spans="1:3" x14ac:dyDescent="0.3">
      <c r="A356" s="19" t="s">
        <v>1724</v>
      </c>
      <c r="B356" s="23">
        <v>0</v>
      </c>
      <c r="C356" s="23">
        <v>20</v>
      </c>
    </row>
    <row r="357" spans="1:3" x14ac:dyDescent="0.3">
      <c r="A357" s="19" t="s">
        <v>1725</v>
      </c>
      <c r="B357" s="23">
        <v>0</v>
      </c>
      <c r="C357" s="23">
        <v>7</v>
      </c>
    </row>
    <row r="358" spans="1:3" ht="15" thickBot="1" x14ac:dyDescent="0.35">
      <c r="A358" s="20" t="s">
        <v>1726</v>
      </c>
      <c r="B358" s="24">
        <v>0</v>
      </c>
      <c r="C358" s="24">
        <v>7</v>
      </c>
    </row>
  </sheetData>
  <mergeCells count="1">
    <mergeCell ref="A2:B2"/>
  </mergeCells>
  <conditionalFormatting sqref="T10">
    <cfRule type="expression" dxfId="54" priority="5">
      <formula>$T$10&gt;$B$19</formula>
    </cfRule>
  </conditionalFormatting>
  <conditionalFormatting sqref="T18">
    <cfRule type="expression" dxfId="53" priority="4">
      <formula>$T$18&gt;$B$21</formula>
    </cfRule>
  </conditionalFormatting>
  <conditionalFormatting sqref="T30">
    <cfRule type="expression" dxfId="52" priority="3">
      <formula>$T$30&gt;$B$25</formula>
    </cfRule>
  </conditionalFormatting>
  <dataValidations disablePrompts="1" count="1">
    <dataValidation allowBlank="1" showErrorMessage="1" promptTitle="Note" prompt="The actual XOSC limit is 44 MHz, but 44 is difficult to work with in a PLL." sqref="C184" xr:uid="{00000000-0002-0000-0C00-000000000000}"/>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2" id="{454C022A-5FED-400D-9CFD-3EBAB32F773D}">
            <xm:f>'Run mode-only Module Domains'!$F$31 &gt; $B$21</xm:f>
            <x14:dxf>
              <fill>
                <patternFill>
                  <bgColor rgb="FFFF0000"/>
                </patternFill>
              </fill>
            </x14:dxf>
          </x14:cfRule>
          <xm:sqref>F31</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_dlc_DocId xmlns="1e41a949-89b6-4fbc-a24a-14e96cae5647">DX5FUNCQP33E-850182076-3057</_dlc_DocId>
    <_dlc_DocIdUrl xmlns="1e41a949-89b6-4fbc-a24a-14e96cae5647">
      <Url>https://nxp1.sharepoint.com/teams/25_32/_layouts/15/DocIdRedir.aspx?ID=DX5FUNCQP33E-850182076-3057</Url>
      <Description>DX5FUNCQP33E-850182076-3057</Description>
    </_dlc_DocIdUrl>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DD41D382EB71FE41B2A4ED54EE7A7A78" ma:contentTypeVersion="7" ma:contentTypeDescription="Create a new document." ma:contentTypeScope="" ma:versionID="ae6d5dbb0b54fca3a09020bed9e947ff">
  <xsd:schema xmlns:xsd="http://www.w3.org/2001/XMLSchema" xmlns:xs="http://www.w3.org/2001/XMLSchema" xmlns:p="http://schemas.microsoft.com/office/2006/metadata/properties" xmlns:ns2="1e41a949-89b6-4fbc-a24a-14e96cae5647" xmlns:ns3="http://schemas.microsoft.com/sharepoint/v4" xmlns:ns4="b29a2363-0b01-47a1-87d8-ea263e3d2043" targetNamespace="http://schemas.microsoft.com/office/2006/metadata/properties" ma:root="true" ma:fieldsID="3f85230dd857c36cc316c42b885cf421" ns2:_="" ns3:_="" ns4:_="">
    <xsd:import namespace="1e41a949-89b6-4fbc-a24a-14e96cae5647"/>
    <xsd:import namespace="http://schemas.microsoft.com/sharepoint/v4"/>
    <xsd:import namespace="b29a2363-0b01-47a1-87d8-ea263e3d2043"/>
    <xsd:element name="properties">
      <xsd:complexType>
        <xsd:sequence>
          <xsd:element name="documentManagement">
            <xsd:complexType>
              <xsd:all>
                <xsd:element ref="ns2:SharedWithUsers" minOccurs="0"/>
                <xsd:element ref="ns2:SharedWithDetails" minOccurs="0"/>
                <xsd:element ref="ns2:_dlc_DocId" minOccurs="0"/>
                <xsd:element ref="ns2:_dlc_DocIdUrl" minOccurs="0"/>
                <xsd:element ref="ns2:_dlc_DocIdPersistId" minOccurs="0"/>
                <xsd:element ref="ns3:IconOverlay" minOccurs="0"/>
                <xsd:element ref="ns2:LastSharedByUser" minOccurs="0"/>
                <xsd:element ref="ns2:LastSharedByTime"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41a949-89b6-4fbc-a24a-14e96cae564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_dlc_DocId" ma:index="10" nillable="true" ma:displayName="Document ID Value" ma:description="The value of the document ID assigned to this item." ma:internalName="_dlc_DocId" ma:readOnly="true">
      <xsd:simpleType>
        <xsd:restriction base="dms:Text"/>
      </xsd:simpleType>
    </xsd:element>
    <xsd:element name="_dlc_DocIdUrl" ma:index="1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2" nillable="true" ma:displayName="Persist ID" ma:description="Keep ID on add." ma:hidden="true" ma:internalName="_dlc_DocIdPersistId" ma:readOnly="true">
      <xsd:simpleType>
        <xsd:restriction base="dms:Boolean"/>
      </xsd:simpleType>
    </xsd:element>
    <xsd:element name="LastSharedByUser" ma:index="14" nillable="true" ma:displayName="Last Shared By User" ma:description="" ma:internalName="LastSharedByUser" ma:readOnly="true">
      <xsd:simpleType>
        <xsd:restriction base="dms:Note">
          <xsd:maxLength value="255"/>
        </xsd:restriction>
      </xsd:simpleType>
    </xsd:element>
    <xsd:element name="LastSharedByTime" ma:index="15"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3"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29a2363-0b01-47a1-87d8-ea263e3d2043" elementFormDefault="qualified">
    <xsd:import namespace="http://schemas.microsoft.com/office/2006/documentManagement/types"/>
    <xsd:import namespace="http://schemas.microsoft.com/office/infopath/2007/PartnerControls"/>
    <xsd:element name="MediaServiceMetadata" ma:index="16" nillable="true" ma:displayName="MediaServiceMetadata" ma:description="" ma:hidden="true" ma:internalName="MediaServiceMetadata" ma:readOnly="true">
      <xsd:simpleType>
        <xsd:restriction base="dms:Note"/>
      </xsd:simpleType>
    </xsd:element>
    <xsd:element name="MediaServiceFastMetadata" ma:index="17"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0970D0-1B5A-4B17-9952-A9B5DCD84A2B}">
  <ds:schemaRefs>
    <ds:schemaRef ds:uri="http://schemas.microsoft.com/sharepoint/events"/>
  </ds:schemaRefs>
</ds:datastoreItem>
</file>

<file path=customXml/itemProps2.xml><?xml version="1.0" encoding="utf-8"?>
<ds:datastoreItem xmlns:ds="http://schemas.openxmlformats.org/officeDocument/2006/customXml" ds:itemID="{257242F8-4BC4-492F-9154-12DDEE9078C5}">
  <ds:schemaRefs>
    <ds:schemaRef ds:uri="http://purl.org/dc/terms/"/>
    <ds:schemaRef ds:uri="b29a2363-0b01-47a1-87d8-ea263e3d2043"/>
    <ds:schemaRef ds:uri="http://schemas.microsoft.com/sharepoint/v4"/>
    <ds:schemaRef ds:uri="1e41a949-89b6-4fbc-a24a-14e96cae5647"/>
    <ds:schemaRef ds:uri="http://www.w3.org/XML/1998/namespace"/>
    <ds:schemaRef ds:uri="http://schemas.microsoft.com/office/2006/documentManagement/types"/>
    <ds:schemaRef ds:uri="http://purl.org/dc/dcmitype/"/>
    <ds:schemaRef ds:uri="http://purl.org/dc/elements/1.1/"/>
    <ds:schemaRef ds:uri="http://schemas.microsoft.com/office/2006/metadata/properties"/>
    <ds:schemaRef ds:uri="http://schemas.microsoft.com/office/infopath/2007/PartnerControls"/>
    <ds:schemaRef ds:uri="http://schemas.openxmlformats.org/package/2006/metadata/core-properties"/>
  </ds:schemaRefs>
</ds:datastoreItem>
</file>

<file path=customXml/itemProps3.xml><?xml version="1.0" encoding="utf-8"?>
<ds:datastoreItem xmlns:ds="http://schemas.openxmlformats.org/officeDocument/2006/customXml" ds:itemID="{A9C9F553-53EF-4EB9-8B6F-283EA8D446A3}">
  <ds:schemaRefs>
    <ds:schemaRef ds:uri="http://schemas.microsoft.com/sharepoint/v3/contenttype/forms"/>
  </ds:schemaRefs>
</ds:datastoreItem>
</file>

<file path=customXml/itemProps4.xml><?xml version="1.0" encoding="utf-8"?>
<ds:datastoreItem xmlns:ds="http://schemas.openxmlformats.org/officeDocument/2006/customXml" ds:itemID="{E930431F-17F7-4CDC-B90D-3DCCA7102E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41a949-89b6-4fbc-a24a-14e96cae5647"/>
    <ds:schemaRef ds:uri="http://schemas.microsoft.com/sharepoint/v4"/>
    <ds:schemaRef ds:uri="b29a2363-0b01-47a1-87d8-ea263e3d204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1324</vt:i4>
      </vt:variant>
    </vt:vector>
  </HeadingPairs>
  <TitlesOfParts>
    <vt:vector size="1337" baseType="lpstr">
      <vt:lpstr>Tree</vt:lpstr>
      <vt:lpstr>Clock Source Control</vt:lpstr>
      <vt:lpstr>Run mode-only Module Domains</vt:lpstr>
      <vt:lpstr>LP-Enabled Module Domain Set 0</vt:lpstr>
      <vt:lpstr>LP-Enabled Module Domain Set 1</vt:lpstr>
      <vt:lpstr>ENET Clocking</vt:lpstr>
      <vt:lpstr>SAI Clocking</vt:lpstr>
      <vt:lpstr>CAN Clocking</vt:lpstr>
      <vt:lpstr>FMPLL</vt:lpstr>
      <vt:lpstr>fmpll_phi0</vt:lpstr>
      <vt:lpstr>fmpll_phi1</vt:lpstr>
      <vt:lpstr>Summary</vt:lpstr>
      <vt:lpstr>Limits</vt:lpstr>
      <vt:lpstr>CAN0_EPHS_1</vt:lpstr>
      <vt:lpstr>CAN0_EPHS_2</vt:lpstr>
      <vt:lpstr>CAN0_EPROP</vt:lpstr>
      <vt:lpstr>CAN0_ERJW</vt:lpstr>
      <vt:lpstr>CAN0_FPHS_1</vt:lpstr>
      <vt:lpstr>CAN0_FPHS_2</vt:lpstr>
      <vt:lpstr>CAN0_FPROP</vt:lpstr>
      <vt:lpstr>CAN0_FRJW</vt:lpstr>
      <vt:lpstr>CAN0_PHS_1</vt:lpstr>
      <vt:lpstr>CAN0_PHS_2</vt:lpstr>
      <vt:lpstr>CAN0_PROP</vt:lpstr>
      <vt:lpstr>CAN0_RJW</vt:lpstr>
      <vt:lpstr>E0_0</vt:lpstr>
      <vt:lpstr>E0_1</vt:lpstr>
      <vt:lpstr>E0_10</vt:lpstr>
      <vt:lpstr>E0_11</vt:lpstr>
      <vt:lpstr>E0_12</vt:lpstr>
      <vt:lpstr>E0_13</vt:lpstr>
      <vt:lpstr>E0_14</vt:lpstr>
      <vt:lpstr>E0_15</vt:lpstr>
      <vt:lpstr>E0_2</vt:lpstr>
      <vt:lpstr>E0_3</vt:lpstr>
      <vt:lpstr>E0_4</vt:lpstr>
      <vt:lpstr>E0_5</vt:lpstr>
      <vt:lpstr>E0_6</vt:lpstr>
      <vt:lpstr>E0_7</vt:lpstr>
      <vt:lpstr>E0_8</vt:lpstr>
      <vt:lpstr>E0_9</vt:lpstr>
      <vt:lpstr>E1_0</vt:lpstr>
      <vt:lpstr>E1_1</vt:lpstr>
      <vt:lpstr>E1_10</vt:lpstr>
      <vt:lpstr>E1_11</vt:lpstr>
      <vt:lpstr>E1_12</vt:lpstr>
      <vt:lpstr>E1_13</vt:lpstr>
      <vt:lpstr>E1_14</vt:lpstr>
      <vt:lpstr>E1_15</vt:lpstr>
      <vt:lpstr>E1_2</vt:lpstr>
      <vt:lpstr>E1_3</vt:lpstr>
      <vt:lpstr>E1_4</vt:lpstr>
      <vt:lpstr>E1_5</vt:lpstr>
      <vt:lpstr>E1_6</vt:lpstr>
      <vt:lpstr>E1_7</vt:lpstr>
      <vt:lpstr>E1_8</vt:lpstr>
      <vt:lpstr>E1_9</vt:lpstr>
      <vt:lpstr>E10_0</vt:lpstr>
      <vt:lpstr>E10_1</vt:lpstr>
      <vt:lpstr>E10_10</vt:lpstr>
      <vt:lpstr>E10_11</vt:lpstr>
      <vt:lpstr>E10_12</vt:lpstr>
      <vt:lpstr>E10_13</vt:lpstr>
      <vt:lpstr>E10_14</vt:lpstr>
      <vt:lpstr>E10_15</vt:lpstr>
      <vt:lpstr>E10_2</vt:lpstr>
      <vt:lpstr>E10_3</vt:lpstr>
      <vt:lpstr>E10_4</vt:lpstr>
      <vt:lpstr>E10_5</vt:lpstr>
      <vt:lpstr>E10_6</vt:lpstr>
      <vt:lpstr>E10_7</vt:lpstr>
      <vt:lpstr>E10_8</vt:lpstr>
      <vt:lpstr>E10_9</vt:lpstr>
      <vt:lpstr>E11_0</vt:lpstr>
      <vt:lpstr>E11_1</vt:lpstr>
      <vt:lpstr>E11_10</vt:lpstr>
      <vt:lpstr>E11_11</vt:lpstr>
      <vt:lpstr>E11_12</vt:lpstr>
      <vt:lpstr>E11_13</vt:lpstr>
      <vt:lpstr>E11_14</vt:lpstr>
      <vt:lpstr>E11_15</vt:lpstr>
      <vt:lpstr>E11_2</vt:lpstr>
      <vt:lpstr>E11_3</vt:lpstr>
      <vt:lpstr>E11_4</vt:lpstr>
      <vt:lpstr>E11_5</vt:lpstr>
      <vt:lpstr>E11_6</vt:lpstr>
      <vt:lpstr>E11_7</vt:lpstr>
      <vt:lpstr>E11_8</vt:lpstr>
      <vt:lpstr>E11_9</vt:lpstr>
      <vt:lpstr>E12_0</vt:lpstr>
      <vt:lpstr>E12_1</vt:lpstr>
      <vt:lpstr>E12_10</vt:lpstr>
      <vt:lpstr>E12_11</vt:lpstr>
      <vt:lpstr>E12_12</vt:lpstr>
      <vt:lpstr>E12_13</vt:lpstr>
      <vt:lpstr>E12_14</vt:lpstr>
      <vt:lpstr>E12_15</vt:lpstr>
      <vt:lpstr>E12_2</vt:lpstr>
      <vt:lpstr>E12_3</vt:lpstr>
      <vt:lpstr>E12_4</vt:lpstr>
      <vt:lpstr>E12_5</vt:lpstr>
      <vt:lpstr>E12_6</vt:lpstr>
      <vt:lpstr>E12_7</vt:lpstr>
      <vt:lpstr>E12_8</vt:lpstr>
      <vt:lpstr>E12_9</vt:lpstr>
      <vt:lpstr>E13_0</vt:lpstr>
      <vt:lpstr>E13_1</vt:lpstr>
      <vt:lpstr>E13_10</vt:lpstr>
      <vt:lpstr>E13_11</vt:lpstr>
      <vt:lpstr>E13_12</vt:lpstr>
      <vt:lpstr>E13_13</vt:lpstr>
      <vt:lpstr>E13_14</vt:lpstr>
      <vt:lpstr>E13_15</vt:lpstr>
      <vt:lpstr>E13_2</vt:lpstr>
      <vt:lpstr>E13_3</vt:lpstr>
      <vt:lpstr>E13_4</vt:lpstr>
      <vt:lpstr>E13_5</vt:lpstr>
      <vt:lpstr>E13_6</vt:lpstr>
      <vt:lpstr>E13_7</vt:lpstr>
      <vt:lpstr>E13_8</vt:lpstr>
      <vt:lpstr>E13_9</vt:lpstr>
      <vt:lpstr>E14_0</vt:lpstr>
      <vt:lpstr>E14_1</vt:lpstr>
      <vt:lpstr>E14_10</vt:lpstr>
      <vt:lpstr>E14_11</vt:lpstr>
      <vt:lpstr>E14_12</vt:lpstr>
      <vt:lpstr>E14_13</vt:lpstr>
      <vt:lpstr>E14_14</vt:lpstr>
      <vt:lpstr>E14_15</vt:lpstr>
      <vt:lpstr>E14_2</vt:lpstr>
      <vt:lpstr>E14_3</vt:lpstr>
      <vt:lpstr>E14_4</vt:lpstr>
      <vt:lpstr>E14_5</vt:lpstr>
      <vt:lpstr>E14_6</vt:lpstr>
      <vt:lpstr>E14_7</vt:lpstr>
      <vt:lpstr>E14_8</vt:lpstr>
      <vt:lpstr>E14_9</vt:lpstr>
      <vt:lpstr>E15_0</vt:lpstr>
      <vt:lpstr>E15_1</vt:lpstr>
      <vt:lpstr>E15_10</vt:lpstr>
      <vt:lpstr>E15_11</vt:lpstr>
      <vt:lpstr>E15_12</vt:lpstr>
      <vt:lpstr>E15_13</vt:lpstr>
      <vt:lpstr>E15_14</vt:lpstr>
      <vt:lpstr>E15_15</vt:lpstr>
      <vt:lpstr>E15_2</vt:lpstr>
      <vt:lpstr>E15_3</vt:lpstr>
      <vt:lpstr>E15_4</vt:lpstr>
      <vt:lpstr>E15_5</vt:lpstr>
      <vt:lpstr>E15_6</vt:lpstr>
      <vt:lpstr>E15_7</vt:lpstr>
      <vt:lpstr>E15_8</vt:lpstr>
      <vt:lpstr>E15_9</vt:lpstr>
      <vt:lpstr>E16_0</vt:lpstr>
      <vt:lpstr>E16_1</vt:lpstr>
      <vt:lpstr>E16_10</vt:lpstr>
      <vt:lpstr>E16_11</vt:lpstr>
      <vt:lpstr>E16_12</vt:lpstr>
      <vt:lpstr>E16_13</vt:lpstr>
      <vt:lpstr>E16_14</vt:lpstr>
      <vt:lpstr>E16_15</vt:lpstr>
      <vt:lpstr>E16_2</vt:lpstr>
      <vt:lpstr>E16_3</vt:lpstr>
      <vt:lpstr>E16_4</vt:lpstr>
      <vt:lpstr>E16_5</vt:lpstr>
      <vt:lpstr>E16_6</vt:lpstr>
      <vt:lpstr>E16_7</vt:lpstr>
      <vt:lpstr>E16_8</vt:lpstr>
      <vt:lpstr>E16_9</vt:lpstr>
      <vt:lpstr>E17_0</vt:lpstr>
      <vt:lpstr>E17_1</vt:lpstr>
      <vt:lpstr>E17_10</vt:lpstr>
      <vt:lpstr>E17_11</vt:lpstr>
      <vt:lpstr>E17_12</vt:lpstr>
      <vt:lpstr>E17_13</vt:lpstr>
      <vt:lpstr>E17_14</vt:lpstr>
      <vt:lpstr>E17_15</vt:lpstr>
      <vt:lpstr>E17_2</vt:lpstr>
      <vt:lpstr>E17_3</vt:lpstr>
      <vt:lpstr>E17_4</vt:lpstr>
      <vt:lpstr>E17_5</vt:lpstr>
      <vt:lpstr>E17_6</vt:lpstr>
      <vt:lpstr>E17_7</vt:lpstr>
      <vt:lpstr>E17_8</vt:lpstr>
      <vt:lpstr>E17_9</vt:lpstr>
      <vt:lpstr>E18_0</vt:lpstr>
      <vt:lpstr>E18_1</vt:lpstr>
      <vt:lpstr>E18_10</vt:lpstr>
      <vt:lpstr>E18_11</vt:lpstr>
      <vt:lpstr>E18_12</vt:lpstr>
      <vt:lpstr>E18_13</vt:lpstr>
      <vt:lpstr>E18_14</vt:lpstr>
      <vt:lpstr>E18_15</vt:lpstr>
      <vt:lpstr>E18_2</vt:lpstr>
      <vt:lpstr>E18_3</vt:lpstr>
      <vt:lpstr>E18_4</vt:lpstr>
      <vt:lpstr>E18_5</vt:lpstr>
      <vt:lpstr>E18_6</vt:lpstr>
      <vt:lpstr>E18_7</vt:lpstr>
      <vt:lpstr>E18_8</vt:lpstr>
      <vt:lpstr>E18_9</vt:lpstr>
      <vt:lpstr>E19_0</vt:lpstr>
      <vt:lpstr>E19_1</vt:lpstr>
      <vt:lpstr>E19_10</vt:lpstr>
      <vt:lpstr>E19_11</vt:lpstr>
      <vt:lpstr>E19_12</vt:lpstr>
      <vt:lpstr>E19_13</vt:lpstr>
      <vt:lpstr>E19_14</vt:lpstr>
      <vt:lpstr>E19_15</vt:lpstr>
      <vt:lpstr>E19_2</vt:lpstr>
      <vt:lpstr>E19_3</vt:lpstr>
      <vt:lpstr>E19_4</vt:lpstr>
      <vt:lpstr>E19_5</vt:lpstr>
      <vt:lpstr>E19_6</vt:lpstr>
      <vt:lpstr>E19_7</vt:lpstr>
      <vt:lpstr>E19_8</vt:lpstr>
      <vt:lpstr>E19_9</vt:lpstr>
      <vt:lpstr>E2_0</vt:lpstr>
      <vt:lpstr>E2_1</vt:lpstr>
      <vt:lpstr>E2_10</vt:lpstr>
      <vt:lpstr>E2_11</vt:lpstr>
      <vt:lpstr>E2_12</vt:lpstr>
      <vt:lpstr>E2_13</vt:lpstr>
      <vt:lpstr>E2_14</vt:lpstr>
      <vt:lpstr>E2_15</vt:lpstr>
      <vt:lpstr>E2_2</vt:lpstr>
      <vt:lpstr>E2_3</vt:lpstr>
      <vt:lpstr>E2_4</vt:lpstr>
      <vt:lpstr>E2_5</vt:lpstr>
      <vt:lpstr>E2_6</vt:lpstr>
      <vt:lpstr>E2_7</vt:lpstr>
      <vt:lpstr>E2_8</vt:lpstr>
      <vt:lpstr>E2_9</vt:lpstr>
      <vt:lpstr>E20_0</vt:lpstr>
      <vt:lpstr>E20_1</vt:lpstr>
      <vt:lpstr>E20_10</vt:lpstr>
      <vt:lpstr>E20_11</vt:lpstr>
      <vt:lpstr>E20_12</vt:lpstr>
      <vt:lpstr>E20_13</vt:lpstr>
      <vt:lpstr>E20_14</vt:lpstr>
      <vt:lpstr>E20_15</vt:lpstr>
      <vt:lpstr>E20_2</vt:lpstr>
      <vt:lpstr>E20_3</vt:lpstr>
      <vt:lpstr>E20_4</vt:lpstr>
      <vt:lpstr>E20_5</vt:lpstr>
      <vt:lpstr>E20_6</vt:lpstr>
      <vt:lpstr>E20_7</vt:lpstr>
      <vt:lpstr>E20_8</vt:lpstr>
      <vt:lpstr>E20_9</vt:lpstr>
      <vt:lpstr>E21_0</vt:lpstr>
      <vt:lpstr>E21_1</vt:lpstr>
      <vt:lpstr>E21_10</vt:lpstr>
      <vt:lpstr>E21_11</vt:lpstr>
      <vt:lpstr>E21_12</vt:lpstr>
      <vt:lpstr>E21_13</vt:lpstr>
      <vt:lpstr>E21_14</vt:lpstr>
      <vt:lpstr>E21_15</vt:lpstr>
      <vt:lpstr>E21_2</vt:lpstr>
      <vt:lpstr>E21_3</vt:lpstr>
      <vt:lpstr>E21_4</vt:lpstr>
      <vt:lpstr>E21_5</vt:lpstr>
      <vt:lpstr>E21_6</vt:lpstr>
      <vt:lpstr>E21_7</vt:lpstr>
      <vt:lpstr>E21_8</vt:lpstr>
      <vt:lpstr>E21_9</vt:lpstr>
      <vt:lpstr>E22_0</vt:lpstr>
      <vt:lpstr>E22_1</vt:lpstr>
      <vt:lpstr>E22_10</vt:lpstr>
      <vt:lpstr>E22_11</vt:lpstr>
      <vt:lpstr>E22_12</vt:lpstr>
      <vt:lpstr>E22_13</vt:lpstr>
      <vt:lpstr>E22_14</vt:lpstr>
      <vt:lpstr>E22_15</vt:lpstr>
      <vt:lpstr>E22_2</vt:lpstr>
      <vt:lpstr>E22_3</vt:lpstr>
      <vt:lpstr>E22_4</vt:lpstr>
      <vt:lpstr>E22_5</vt:lpstr>
      <vt:lpstr>E22_6</vt:lpstr>
      <vt:lpstr>E22_7</vt:lpstr>
      <vt:lpstr>E22_8</vt:lpstr>
      <vt:lpstr>E22_9</vt:lpstr>
      <vt:lpstr>E23_0</vt:lpstr>
      <vt:lpstr>E23_1</vt:lpstr>
      <vt:lpstr>E23_10</vt:lpstr>
      <vt:lpstr>E23_11</vt:lpstr>
      <vt:lpstr>E23_12</vt:lpstr>
      <vt:lpstr>E23_13</vt:lpstr>
      <vt:lpstr>E23_14</vt:lpstr>
      <vt:lpstr>E23_15</vt:lpstr>
      <vt:lpstr>E23_2</vt:lpstr>
      <vt:lpstr>E23_3</vt:lpstr>
      <vt:lpstr>E23_4</vt:lpstr>
      <vt:lpstr>E23_5</vt:lpstr>
      <vt:lpstr>E23_6</vt:lpstr>
      <vt:lpstr>E23_7</vt:lpstr>
      <vt:lpstr>E23_8</vt:lpstr>
      <vt:lpstr>E23_9</vt:lpstr>
      <vt:lpstr>E24_0</vt:lpstr>
      <vt:lpstr>E24_1</vt:lpstr>
      <vt:lpstr>E24_10</vt:lpstr>
      <vt:lpstr>E24_11</vt:lpstr>
      <vt:lpstr>E24_12</vt:lpstr>
      <vt:lpstr>E24_13</vt:lpstr>
      <vt:lpstr>E24_14</vt:lpstr>
      <vt:lpstr>E24_15</vt:lpstr>
      <vt:lpstr>E24_2</vt:lpstr>
      <vt:lpstr>E24_3</vt:lpstr>
      <vt:lpstr>E24_4</vt:lpstr>
      <vt:lpstr>E24_5</vt:lpstr>
      <vt:lpstr>E24_6</vt:lpstr>
      <vt:lpstr>E24_7</vt:lpstr>
      <vt:lpstr>E24_8</vt:lpstr>
      <vt:lpstr>E24_9</vt:lpstr>
      <vt:lpstr>E25_0</vt:lpstr>
      <vt:lpstr>E25_1</vt:lpstr>
      <vt:lpstr>E25_10</vt:lpstr>
      <vt:lpstr>E25_11</vt:lpstr>
      <vt:lpstr>E25_12</vt:lpstr>
      <vt:lpstr>E25_13</vt:lpstr>
      <vt:lpstr>E25_14</vt:lpstr>
      <vt:lpstr>E25_15</vt:lpstr>
      <vt:lpstr>E25_2</vt:lpstr>
      <vt:lpstr>E25_3</vt:lpstr>
      <vt:lpstr>E25_4</vt:lpstr>
      <vt:lpstr>E25_5</vt:lpstr>
      <vt:lpstr>E25_6</vt:lpstr>
      <vt:lpstr>E25_7</vt:lpstr>
      <vt:lpstr>E25_8</vt:lpstr>
      <vt:lpstr>E25_9</vt:lpstr>
      <vt:lpstr>E26_0</vt:lpstr>
      <vt:lpstr>E26_1</vt:lpstr>
      <vt:lpstr>E26_10</vt:lpstr>
      <vt:lpstr>E26_11</vt:lpstr>
      <vt:lpstr>E26_12</vt:lpstr>
      <vt:lpstr>E26_13</vt:lpstr>
      <vt:lpstr>E26_14</vt:lpstr>
      <vt:lpstr>E26_15</vt:lpstr>
      <vt:lpstr>E26_2</vt:lpstr>
      <vt:lpstr>E26_3</vt:lpstr>
      <vt:lpstr>E26_4</vt:lpstr>
      <vt:lpstr>E26_5</vt:lpstr>
      <vt:lpstr>E26_6</vt:lpstr>
      <vt:lpstr>E26_7</vt:lpstr>
      <vt:lpstr>E26_8</vt:lpstr>
      <vt:lpstr>E26_9</vt:lpstr>
      <vt:lpstr>E27_0</vt:lpstr>
      <vt:lpstr>E27_1</vt:lpstr>
      <vt:lpstr>E27_10</vt:lpstr>
      <vt:lpstr>E27_11</vt:lpstr>
      <vt:lpstr>E27_12</vt:lpstr>
      <vt:lpstr>E27_13</vt:lpstr>
      <vt:lpstr>E27_14</vt:lpstr>
      <vt:lpstr>E27_15</vt:lpstr>
      <vt:lpstr>E27_2</vt:lpstr>
      <vt:lpstr>E27_3</vt:lpstr>
      <vt:lpstr>E27_4</vt:lpstr>
      <vt:lpstr>E27_5</vt:lpstr>
      <vt:lpstr>E27_6</vt:lpstr>
      <vt:lpstr>E27_7</vt:lpstr>
      <vt:lpstr>E27_8</vt:lpstr>
      <vt:lpstr>E27_9</vt:lpstr>
      <vt:lpstr>E28_0</vt:lpstr>
      <vt:lpstr>E28_1</vt:lpstr>
      <vt:lpstr>E28_10</vt:lpstr>
      <vt:lpstr>E28_11</vt:lpstr>
      <vt:lpstr>E28_12</vt:lpstr>
      <vt:lpstr>E28_13</vt:lpstr>
      <vt:lpstr>E28_14</vt:lpstr>
      <vt:lpstr>E28_15</vt:lpstr>
      <vt:lpstr>E28_2</vt:lpstr>
      <vt:lpstr>E28_3</vt:lpstr>
      <vt:lpstr>E28_4</vt:lpstr>
      <vt:lpstr>E28_5</vt:lpstr>
      <vt:lpstr>E28_6</vt:lpstr>
      <vt:lpstr>E28_7</vt:lpstr>
      <vt:lpstr>E28_8</vt:lpstr>
      <vt:lpstr>E28_9</vt:lpstr>
      <vt:lpstr>E29_0</vt:lpstr>
      <vt:lpstr>E29_1</vt:lpstr>
      <vt:lpstr>E29_10</vt:lpstr>
      <vt:lpstr>E29_11</vt:lpstr>
      <vt:lpstr>E29_12</vt:lpstr>
      <vt:lpstr>E29_13</vt:lpstr>
      <vt:lpstr>E29_14</vt:lpstr>
      <vt:lpstr>E29_15</vt:lpstr>
      <vt:lpstr>E29_2</vt:lpstr>
      <vt:lpstr>E29_3</vt:lpstr>
      <vt:lpstr>E29_4</vt:lpstr>
      <vt:lpstr>E29_5</vt:lpstr>
      <vt:lpstr>E29_6</vt:lpstr>
      <vt:lpstr>E29_7</vt:lpstr>
      <vt:lpstr>E29_8</vt:lpstr>
      <vt:lpstr>E29_9</vt:lpstr>
      <vt:lpstr>E3_0</vt:lpstr>
      <vt:lpstr>E3_1</vt:lpstr>
      <vt:lpstr>E3_10</vt:lpstr>
      <vt:lpstr>E3_11</vt:lpstr>
      <vt:lpstr>E3_12</vt:lpstr>
      <vt:lpstr>E3_13</vt:lpstr>
      <vt:lpstr>E3_14</vt:lpstr>
      <vt:lpstr>E3_15</vt:lpstr>
      <vt:lpstr>E3_2</vt:lpstr>
      <vt:lpstr>E3_3</vt:lpstr>
      <vt:lpstr>E3_4</vt:lpstr>
      <vt:lpstr>E3_5</vt:lpstr>
      <vt:lpstr>E3_6</vt:lpstr>
      <vt:lpstr>E3_7</vt:lpstr>
      <vt:lpstr>E3_8</vt:lpstr>
      <vt:lpstr>E3_9</vt:lpstr>
      <vt:lpstr>E30_0</vt:lpstr>
      <vt:lpstr>E30_1</vt:lpstr>
      <vt:lpstr>E30_10</vt:lpstr>
      <vt:lpstr>E30_11</vt:lpstr>
      <vt:lpstr>E30_12</vt:lpstr>
      <vt:lpstr>E30_13</vt:lpstr>
      <vt:lpstr>E30_14</vt:lpstr>
      <vt:lpstr>E30_15</vt:lpstr>
      <vt:lpstr>E30_2</vt:lpstr>
      <vt:lpstr>E30_3</vt:lpstr>
      <vt:lpstr>E30_4</vt:lpstr>
      <vt:lpstr>E30_5</vt:lpstr>
      <vt:lpstr>E30_6</vt:lpstr>
      <vt:lpstr>E30_7</vt:lpstr>
      <vt:lpstr>E30_8</vt:lpstr>
      <vt:lpstr>E30_9</vt:lpstr>
      <vt:lpstr>E31_0</vt:lpstr>
      <vt:lpstr>E31_1</vt:lpstr>
      <vt:lpstr>E31_10</vt:lpstr>
      <vt:lpstr>E31_11</vt:lpstr>
      <vt:lpstr>E31_12</vt:lpstr>
      <vt:lpstr>E31_13</vt:lpstr>
      <vt:lpstr>E31_14</vt:lpstr>
      <vt:lpstr>E31_15</vt:lpstr>
      <vt:lpstr>E31_2</vt:lpstr>
      <vt:lpstr>E31_3</vt:lpstr>
      <vt:lpstr>E31_4</vt:lpstr>
      <vt:lpstr>E31_5</vt:lpstr>
      <vt:lpstr>E31_6</vt:lpstr>
      <vt:lpstr>E31_7</vt:lpstr>
      <vt:lpstr>E31_8</vt:lpstr>
      <vt:lpstr>E31_9</vt:lpstr>
      <vt:lpstr>E4_0</vt:lpstr>
      <vt:lpstr>E4_1</vt:lpstr>
      <vt:lpstr>E4_10</vt:lpstr>
      <vt:lpstr>E4_11</vt:lpstr>
      <vt:lpstr>E4_12</vt:lpstr>
      <vt:lpstr>E4_13</vt:lpstr>
      <vt:lpstr>E4_14</vt:lpstr>
      <vt:lpstr>E4_15</vt:lpstr>
      <vt:lpstr>E4_2</vt:lpstr>
      <vt:lpstr>E4_3</vt:lpstr>
      <vt:lpstr>E4_4</vt:lpstr>
      <vt:lpstr>E4_5</vt:lpstr>
      <vt:lpstr>E4_6</vt:lpstr>
      <vt:lpstr>E4_7</vt:lpstr>
      <vt:lpstr>E4_8</vt:lpstr>
      <vt:lpstr>E4_9</vt:lpstr>
      <vt:lpstr>E5_0</vt:lpstr>
      <vt:lpstr>E5_1</vt:lpstr>
      <vt:lpstr>E5_10</vt:lpstr>
      <vt:lpstr>E5_11</vt:lpstr>
      <vt:lpstr>E5_12</vt:lpstr>
      <vt:lpstr>E5_13</vt:lpstr>
      <vt:lpstr>E5_14</vt:lpstr>
      <vt:lpstr>E5_15</vt:lpstr>
      <vt:lpstr>E5_2</vt:lpstr>
      <vt:lpstr>E5_3</vt:lpstr>
      <vt:lpstr>E5_4</vt:lpstr>
      <vt:lpstr>E5_5</vt:lpstr>
      <vt:lpstr>E5_6</vt:lpstr>
      <vt:lpstr>E5_7</vt:lpstr>
      <vt:lpstr>E5_8</vt:lpstr>
      <vt:lpstr>E5_9</vt:lpstr>
      <vt:lpstr>E6_0</vt:lpstr>
      <vt:lpstr>E6_1</vt:lpstr>
      <vt:lpstr>E6_10</vt:lpstr>
      <vt:lpstr>E6_11</vt:lpstr>
      <vt:lpstr>E6_12</vt:lpstr>
      <vt:lpstr>E6_13</vt:lpstr>
      <vt:lpstr>E6_14</vt:lpstr>
      <vt:lpstr>E6_15</vt:lpstr>
      <vt:lpstr>E6_2</vt:lpstr>
      <vt:lpstr>E6_3</vt:lpstr>
      <vt:lpstr>E6_4</vt:lpstr>
      <vt:lpstr>E6_5</vt:lpstr>
      <vt:lpstr>E6_6</vt:lpstr>
      <vt:lpstr>E6_7</vt:lpstr>
      <vt:lpstr>E6_8</vt:lpstr>
      <vt:lpstr>E6_9</vt:lpstr>
      <vt:lpstr>E7_0</vt:lpstr>
      <vt:lpstr>E7_1</vt:lpstr>
      <vt:lpstr>E7_10</vt:lpstr>
      <vt:lpstr>E7_11</vt:lpstr>
      <vt:lpstr>E7_12</vt:lpstr>
      <vt:lpstr>E7_13</vt:lpstr>
      <vt:lpstr>E7_14</vt:lpstr>
      <vt:lpstr>E7_15</vt:lpstr>
      <vt:lpstr>E7_2</vt:lpstr>
      <vt:lpstr>E7_3</vt:lpstr>
      <vt:lpstr>E7_4</vt:lpstr>
      <vt:lpstr>E7_5</vt:lpstr>
      <vt:lpstr>E7_6</vt:lpstr>
      <vt:lpstr>E7_7</vt:lpstr>
      <vt:lpstr>E7_8</vt:lpstr>
      <vt:lpstr>E7_9</vt:lpstr>
      <vt:lpstr>E8_0</vt:lpstr>
      <vt:lpstr>E8_1</vt:lpstr>
      <vt:lpstr>E8_10</vt:lpstr>
      <vt:lpstr>E8_11</vt:lpstr>
      <vt:lpstr>E8_12</vt:lpstr>
      <vt:lpstr>E8_13</vt:lpstr>
      <vt:lpstr>E8_14</vt:lpstr>
      <vt:lpstr>E8_15</vt:lpstr>
      <vt:lpstr>E8_2</vt:lpstr>
      <vt:lpstr>E8_3</vt:lpstr>
      <vt:lpstr>E8_4</vt:lpstr>
      <vt:lpstr>E8_5</vt:lpstr>
      <vt:lpstr>E8_6</vt:lpstr>
      <vt:lpstr>E8_7</vt:lpstr>
      <vt:lpstr>E8_8</vt:lpstr>
      <vt:lpstr>E8_9</vt:lpstr>
      <vt:lpstr>E9_0</vt:lpstr>
      <vt:lpstr>E9_1</vt:lpstr>
      <vt:lpstr>E9_10</vt:lpstr>
      <vt:lpstr>E9_11</vt:lpstr>
      <vt:lpstr>E9_12</vt:lpstr>
      <vt:lpstr>E9_13</vt:lpstr>
      <vt:lpstr>E9_14</vt:lpstr>
      <vt:lpstr>E9_15</vt:lpstr>
      <vt:lpstr>E9_2</vt:lpstr>
      <vt:lpstr>E9_3</vt:lpstr>
      <vt:lpstr>E9_4</vt:lpstr>
      <vt:lpstr>E9_5</vt:lpstr>
      <vt:lpstr>E9_6</vt:lpstr>
      <vt:lpstr>E9_7</vt:lpstr>
      <vt:lpstr>E9_8</vt:lpstr>
      <vt:lpstr>E9_9</vt:lpstr>
      <vt:lpstr>EP17_0</vt:lpstr>
      <vt:lpstr>EP17_1</vt:lpstr>
      <vt:lpstr>EP17_10</vt:lpstr>
      <vt:lpstr>EP17_11</vt:lpstr>
      <vt:lpstr>EP17_12</vt:lpstr>
      <vt:lpstr>EP17_13</vt:lpstr>
      <vt:lpstr>EP17_14</vt:lpstr>
      <vt:lpstr>EP17_15</vt:lpstr>
      <vt:lpstr>EP17_2</vt:lpstr>
      <vt:lpstr>EP17_3</vt:lpstr>
      <vt:lpstr>EP17_4</vt:lpstr>
      <vt:lpstr>EP17_5</vt:lpstr>
      <vt:lpstr>EP17_6</vt:lpstr>
      <vt:lpstr>EP17_7</vt:lpstr>
      <vt:lpstr>EP17_8</vt:lpstr>
      <vt:lpstr>EP17_9</vt:lpstr>
      <vt:lpstr>EP18_0</vt:lpstr>
      <vt:lpstr>EP18_1</vt:lpstr>
      <vt:lpstr>EP18_10</vt:lpstr>
      <vt:lpstr>EP18_11</vt:lpstr>
      <vt:lpstr>EP18_12</vt:lpstr>
      <vt:lpstr>EP18_13</vt:lpstr>
      <vt:lpstr>EP18_14</vt:lpstr>
      <vt:lpstr>EP18_15</vt:lpstr>
      <vt:lpstr>EP18_2</vt:lpstr>
      <vt:lpstr>EP18_3</vt:lpstr>
      <vt:lpstr>EP18_4</vt:lpstr>
      <vt:lpstr>EP18_5</vt:lpstr>
      <vt:lpstr>EP18_6</vt:lpstr>
      <vt:lpstr>EP18_7</vt:lpstr>
      <vt:lpstr>EP18_8</vt:lpstr>
      <vt:lpstr>EP18_9</vt:lpstr>
      <vt:lpstr>EP19_0</vt:lpstr>
      <vt:lpstr>EP19_1</vt:lpstr>
      <vt:lpstr>EP19_10</vt:lpstr>
      <vt:lpstr>EP19_11</vt:lpstr>
      <vt:lpstr>EP19_12</vt:lpstr>
      <vt:lpstr>EP19_13</vt:lpstr>
      <vt:lpstr>EP19_14</vt:lpstr>
      <vt:lpstr>EP19_15</vt:lpstr>
      <vt:lpstr>EP19_2</vt:lpstr>
      <vt:lpstr>EP19_3</vt:lpstr>
      <vt:lpstr>EP19_4</vt:lpstr>
      <vt:lpstr>EP19_5</vt:lpstr>
      <vt:lpstr>EP19_6</vt:lpstr>
      <vt:lpstr>EP19_7</vt:lpstr>
      <vt:lpstr>EP19_8</vt:lpstr>
      <vt:lpstr>EP19_9</vt:lpstr>
      <vt:lpstr>EP20_0</vt:lpstr>
      <vt:lpstr>EP20_1</vt:lpstr>
      <vt:lpstr>EP20_10</vt:lpstr>
      <vt:lpstr>EP20_11</vt:lpstr>
      <vt:lpstr>EP20_12</vt:lpstr>
      <vt:lpstr>EP20_13</vt:lpstr>
      <vt:lpstr>EP20_14</vt:lpstr>
      <vt:lpstr>EP20_15</vt:lpstr>
      <vt:lpstr>EP20_2</vt:lpstr>
      <vt:lpstr>EP20_3</vt:lpstr>
      <vt:lpstr>EP20_4</vt:lpstr>
      <vt:lpstr>EP20_5</vt:lpstr>
      <vt:lpstr>EP20_6</vt:lpstr>
      <vt:lpstr>EP20_7</vt:lpstr>
      <vt:lpstr>EP20_8</vt:lpstr>
      <vt:lpstr>EP20_9</vt:lpstr>
      <vt:lpstr>EP21_0</vt:lpstr>
      <vt:lpstr>EP21_1</vt:lpstr>
      <vt:lpstr>EP21_10</vt:lpstr>
      <vt:lpstr>EP21_11</vt:lpstr>
      <vt:lpstr>EP21_12</vt:lpstr>
      <vt:lpstr>EP21_13</vt:lpstr>
      <vt:lpstr>EP21_14</vt:lpstr>
      <vt:lpstr>EP21_15</vt:lpstr>
      <vt:lpstr>EP21_2</vt:lpstr>
      <vt:lpstr>EP21_3</vt:lpstr>
      <vt:lpstr>EP21_4</vt:lpstr>
      <vt:lpstr>EP21_5</vt:lpstr>
      <vt:lpstr>EP21_6</vt:lpstr>
      <vt:lpstr>EP21_7</vt:lpstr>
      <vt:lpstr>EP21_8</vt:lpstr>
      <vt:lpstr>EP21_9</vt:lpstr>
      <vt:lpstr>EP22_0</vt:lpstr>
      <vt:lpstr>EP22_1</vt:lpstr>
      <vt:lpstr>EP22_10</vt:lpstr>
      <vt:lpstr>EP22_11</vt:lpstr>
      <vt:lpstr>EP22_12</vt:lpstr>
      <vt:lpstr>EP22_13</vt:lpstr>
      <vt:lpstr>EP22_14</vt:lpstr>
      <vt:lpstr>EP22_15</vt:lpstr>
      <vt:lpstr>EP22_2</vt:lpstr>
      <vt:lpstr>EP22_3</vt:lpstr>
      <vt:lpstr>EP22_4</vt:lpstr>
      <vt:lpstr>EP22_5</vt:lpstr>
      <vt:lpstr>EP22_6</vt:lpstr>
      <vt:lpstr>EP22_7</vt:lpstr>
      <vt:lpstr>EP22_8</vt:lpstr>
      <vt:lpstr>EP22_9</vt:lpstr>
      <vt:lpstr>EP23_0</vt:lpstr>
      <vt:lpstr>EP23_1</vt:lpstr>
      <vt:lpstr>EP23_10</vt:lpstr>
      <vt:lpstr>EP23_11</vt:lpstr>
      <vt:lpstr>EP23_12</vt:lpstr>
      <vt:lpstr>EP23_13</vt:lpstr>
      <vt:lpstr>EP23_14</vt:lpstr>
      <vt:lpstr>EP23_15</vt:lpstr>
      <vt:lpstr>EP23_2</vt:lpstr>
      <vt:lpstr>EP23_3</vt:lpstr>
      <vt:lpstr>EP23_4</vt:lpstr>
      <vt:lpstr>EP23_5</vt:lpstr>
      <vt:lpstr>EP23_6</vt:lpstr>
      <vt:lpstr>EP23_7</vt:lpstr>
      <vt:lpstr>EP23_8</vt:lpstr>
      <vt:lpstr>EP23_9</vt:lpstr>
      <vt:lpstr>EP24_0</vt:lpstr>
      <vt:lpstr>EP24_1</vt:lpstr>
      <vt:lpstr>EP24_10</vt:lpstr>
      <vt:lpstr>EP24_11</vt:lpstr>
      <vt:lpstr>EP24_12</vt:lpstr>
      <vt:lpstr>EP24_13</vt:lpstr>
      <vt:lpstr>EP24_14</vt:lpstr>
      <vt:lpstr>EP24_15</vt:lpstr>
      <vt:lpstr>EP24_2</vt:lpstr>
      <vt:lpstr>EP24_3</vt:lpstr>
      <vt:lpstr>EP24_4</vt:lpstr>
      <vt:lpstr>EP24_5</vt:lpstr>
      <vt:lpstr>EP24_6</vt:lpstr>
      <vt:lpstr>EP24_7</vt:lpstr>
      <vt:lpstr>EP24_8</vt:lpstr>
      <vt:lpstr>EP24_9</vt:lpstr>
      <vt:lpstr>EP25_0</vt:lpstr>
      <vt:lpstr>EP25_1</vt:lpstr>
      <vt:lpstr>EP25_10</vt:lpstr>
      <vt:lpstr>EP25_11</vt:lpstr>
      <vt:lpstr>EP25_12</vt:lpstr>
      <vt:lpstr>EP25_13</vt:lpstr>
      <vt:lpstr>EP25_14</vt:lpstr>
      <vt:lpstr>EP25_15</vt:lpstr>
      <vt:lpstr>EP25_2</vt:lpstr>
      <vt:lpstr>EP25_3</vt:lpstr>
      <vt:lpstr>EP25_4</vt:lpstr>
      <vt:lpstr>EP25_5</vt:lpstr>
      <vt:lpstr>EP25_6</vt:lpstr>
      <vt:lpstr>EP25_7</vt:lpstr>
      <vt:lpstr>EP25_8</vt:lpstr>
      <vt:lpstr>EP25_9</vt:lpstr>
      <vt:lpstr>EP26_0</vt:lpstr>
      <vt:lpstr>EP26_1</vt:lpstr>
      <vt:lpstr>EP26_10</vt:lpstr>
      <vt:lpstr>EP26_11</vt:lpstr>
      <vt:lpstr>EP26_12</vt:lpstr>
      <vt:lpstr>EP26_13</vt:lpstr>
      <vt:lpstr>EP26_14</vt:lpstr>
      <vt:lpstr>EP26_15</vt:lpstr>
      <vt:lpstr>EP26_2</vt:lpstr>
      <vt:lpstr>EP26_3</vt:lpstr>
      <vt:lpstr>EP26_4</vt:lpstr>
      <vt:lpstr>EP26_5</vt:lpstr>
      <vt:lpstr>EP26_6</vt:lpstr>
      <vt:lpstr>EP26_7</vt:lpstr>
      <vt:lpstr>EP26_8</vt:lpstr>
      <vt:lpstr>EP26_9</vt:lpstr>
      <vt:lpstr>EP27_0</vt:lpstr>
      <vt:lpstr>EP27_1</vt:lpstr>
      <vt:lpstr>EP27_10</vt:lpstr>
      <vt:lpstr>EP27_11</vt:lpstr>
      <vt:lpstr>EP27_12</vt:lpstr>
      <vt:lpstr>EP27_13</vt:lpstr>
      <vt:lpstr>EP27_14</vt:lpstr>
      <vt:lpstr>EP27_15</vt:lpstr>
      <vt:lpstr>EP27_2</vt:lpstr>
      <vt:lpstr>EP27_3</vt:lpstr>
      <vt:lpstr>EP27_4</vt:lpstr>
      <vt:lpstr>EP27_5</vt:lpstr>
      <vt:lpstr>EP27_6</vt:lpstr>
      <vt:lpstr>EP27_7</vt:lpstr>
      <vt:lpstr>EP27_8</vt:lpstr>
      <vt:lpstr>EP27_9</vt:lpstr>
      <vt:lpstr>EP28_0</vt:lpstr>
      <vt:lpstr>EP28_1</vt:lpstr>
      <vt:lpstr>EP28_10</vt:lpstr>
      <vt:lpstr>EP28_11</vt:lpstr>
      <vt:lpstr>EP28_12</vt:lpstr>
      <vt:lpstr>EP28_13</vt:lpstr>
      <vt:lpstr>EP28_14</vt:lpstr>
      <vt:lpstr>EP28_15</vt:lpstr>
      <vt:lpstr>EP28_2</vt:lpstr>
      <vt:lpstr>EP28_3</vt:lpstr>
      <vt:lpstr>EP28_4</vt:lpstr>
      <vt:lpstr>EP28_5</vt:lpstr>
      <vt:lpstr>EP28_6</vt:lpstr>
      <vt:lpstr>EP28_7</vt:lpstr>
      <vt:lpstr>EP28_8</vt:lpstr>
      <vt:lpstr>EP28_9</vt:lpstr>
      <vt:lpstr>EP29_0</vt:lpstr>
      <vt:lpstr>EP29_1</vt:lpstr>
      <vt:lpstr>EP29_10</vt:lpstr>
      <vt:lpstr>EP29_11</vt:lpstr>
      <vt:lpstr>EP29_12</vt:lpstr>
      <vt:lpstr>EP29_13</vt:lpstr>
      <vt:lpstr>EP29_14</vt:lpstr>
      <vt:lpstr>EP29_15</vt:lpstr>
      <vt:lpstr>EP29_2</vt:lpstr>
      <vt:lpstr>EP29_3</vt:lpstr>
      <vt:lpstr>EP29_4</vt:lpstr>
      <vt:lpstr>EP29_5</vt:lpstr>
      <vt:lpstr>EP29_6</vt:lpstr>
      <vt:lpstr>EP29_7</vt:lpstr>
      <vt:lpstr>EP29_8</vt:lpstr>
      <vt:lpstr>EP29_9</vt:lpstr>
      <vt:lpstr>EP30_0</vt:lpstr>
      <vt:lpstr>EP30_1</vt:lpstr>
      <vt:lpstr>EP30_10</vt:lpstr>
      <vt:lpstr>EP30_11</vt:lpstr>
      <vt:lpstr>EP30_12</vt:lpstr>
      <vt:lpstr>EP30_13</vt:lpstr>
      <vt:lpstr>EP30_14</vt:lpstr>
      <vt:lpstr>EP30_15</vt:lpstr>
      <vt:lpstr>EP30_2</vt:lpstr>
      <vt:lpstr>EP30_3</vt:lpstr>
      <vt:lpstr>EP30_4</vt:lpstr>
      <vt:lpstr>EP30_5</vt:lpstr>
      <vt:lpstr>EP30_6</vt:lpstr>
      <vt:lpstr>EP30_7</vt:lpstr>
      <vt:lpstr>EP30_8</vt:lpstr>
      <vt:lpstr>EP30_9</vt:lpstr>
      <vt:lpstr>EP31_0</vt:lpstr>
      <vt:lpstr>EP31_1</vt:lpstr>
      <vt:lpstr>EP31_10</vt:lpstr>
      <vt:lpstr>EP31_11</vt:lpstr>
      <vt:lpstr>EP31_12</vt:lpstr>
      <vt:lpstr>EP31_13</vt:lpstr>
      <vt:lpstr>EP31_14</vt:lpstr>
      <vt:lpstr>EP31_15</vt:lpstr>
      <vt:lpstr>EP31_2</vt:lpstr>
      <vt:lpstr>EP31_3</vt:lpstr>
      <vt:lpstr>EP31_4</vt:lpstr>
      <vt:lpstr>EP31_5</vt:lpstr>
      <vt:lpstr>EP31_6</vt:lpstr>
      <vt:lpstr>EP31_7</vt:lpstr>
      <vt:lpstr>EP31_8</vt:lpstr>
      <vt:lpstr>EP31_9</vt:lpstr>
      <vt:lpstr>EP32_0</vt:lpstr>
      <vt:lpstr>EP32_1</vt:lpstr>
      <vt:lpstr>EP32_10</vt:lpstr>
      <vt:lpstr>EP32_11</vt:lpstr>
      <vt:lpstr>EP32_12</vt:lpstr>
      <vt:lpstr>EP32_13</vt:lpstr>
      <vt:lpstr>EP32_14</vt:lpstr>
      <vt:lpstr>EP32_15</vt:lpstr>
      <vt:lpstr>EP32_2</vt:lpstr>
      <vt:lpstr>EP32_3</vt:lpstr>
      <vt:lpstr>EP32_4</vt:lpstr>
      <vt:lpstr>EP32_5</vt:lpstr>
      <vt:lpstr>EP32_6</vt:lpstr>
      <vt:lpstr>EP32_7</vt:lpstr>
      <vt:lpstr>EP32_8</vt:lpstr>
      <vt:lpstr>EP32_9</vt:lpstr>
      <vt:lpstr>EP33_0</vt:lpstr>
      <vt:lpstr>EP33_1</vt:lpstr>
      <vt:lpstr>EP33_10</vt:lpstr>
      <vt:lpstr>EP33_11</vt:lpstr>
      <vt:lpstr>EP33_12</vt:lpstr>
      <vt:lpstr>EP33_13</vt:lpstr>
      <vt:lpstr>EP33_14</vt:lpstr>
      <vt:lpstr>EP33_15</vt:lpstr>
      <vt:lpstr>EP33_2</vt:lpstr>
      <vt:lpstr>EP33_3</vt:lpstr>
      <vt:lpstr>EP33_4</vt:lpstr>
      <vt:lpstr>EP33_5</vt:lpstr>
      <vt:lpstr>EP33_6</vt:lpstr>
      <vt:lpstr>EP33_7</vt:lpstr>
      <vt:lpstr>EP33_8</vt:lpstr>
      <vt:lpstr>EP33_9</vt:lpstr>
      <vt:lpstr>EP34_0</vt:lpstr>
      <vt:lpstr>EP34_1</vt:lpstr>
      <vt:lpstr>EP34_10</vt:lpstr>
      <vt:lpstr>EP34_11</vt:lpstr>
      <vt:lpstr>EP34_12</vt:lpstr>
      <vt:lpstr>EP34_13</vt:lpstr>
      <vt:lpstr>EP34_14</vt:lpstr>
      <vt:lpstr>EP34_15</vt:lpstr>
      <vt:lpstr>EP34_2</vt:lpstr>
      <vt:lpstr>EP34_3</vt:lpstr>
      <vt:lpstr>EP34_4</vt:lpstr>
      <vt:lpstr>EP34_5</vt:lpstr>
      <vt:lpstr>EP34_6</vt:lpstr>
      <vt:lpstr>EP34_7</vt:lpstr>
      <vt:lpstr>EP34_8</vt:lpstr>
      <vt:lpstr>EP34_9</vt:lpstr>
      <vt:lpstr>EP35_0</vt:lpstr>
      <vt:lpstr>EP35_1</vt:lpstr>
      <vt:lpstr>EP35_10</vt:lpstr>
      <vt:lpstr>EP35_11</vt:lpstr>
      <vt:lpstr>EP35_12</vt:lpstr>
      <vt:lpstr>EP35_13</vt:lpstr>
      <vt:lpstr>EP35_14</vt:lpstr>
      <vt:lpstr>EP35_15</vt:lpstr>
      <vt:lpstr>EP35_2</vt:lpstr>
      <vt:lpstr>EP35_3</vt:lpstr>
      <vt:lpstr>EP35_4</vt:lpstr>
      <vt:lpstr>EP35_5</vt:lpstr>
      <vt:lpstr>EP35_6</vt:lpstr>
      <vt:lpstr>EP35_7</vt:lpstr>
      <vt:lpstr>EP35_8</vt:lpstr>
      <vt:lpstr>EP35_9</vt:lpstr>
      <vt:lpstr>EP36_0</vt:lpstr>
      <vt:lpstr>EP36_1</vt:lpstr>
      <vt:lpstr>EP36_10</vt:lpstr>
      <vt:lpstr>EP36_11</vt:lpstr>
      <vt:lpstr>EP36_12</vt:lpstr>
      <vt:lpstr>EP36_13</vt:lpstr>
      <vt:lpstr>EP36_14</vt:lpstr>
      <vt:lpstr>EP36_15</vt:lpstr>
      <vt:lpstr>EP36_2</vt:lpstr>
      <vt:lpstr>EP36_3</vt:lpstr>
      <vt:lpstr>EP36_4</vt:lpstr>
      <vt:lpstr>EP36_5</vt:lpstr>
      <vt:lpstr>EP36_6</vt:lpstr>
      <vt:lpstr>EP36_7</vt:lpstr>
      <vt:lpstr>EP36_8</vt:lpstr>
      <vt:lpstr>EP36_9</vt:lpstr>
      <vt:lpstr>EP37_0</vt:lpstr>
      <vt:lpstr>EP37_1</vt:lpstr>
      <vt:lpstr>EP37_10</vt:lpstr>
      <vt:lpstr>EP37_11</vt:lpstr>
      <vt:lpstr>EP37_12</vt:lpstr>
      <vt:lpstr>EP37_13</vt:lpstr>
      <vt:lpstr>EP37_14</vt:lpstr>
      <vt:lpstr>EP37_15</vt:lpstr>
      <vt:lpstr>EP37_2</vt:lpstr>
      <vt:lpstr>EP37_3</vt:lpstr>
      <vt:lpstr>EP37_4</vt:lpstr>
      <vt:lpstr>EP37_5</vt:lpstr>
      <vt:lpstr>EP37_6</vt:lpstr>
      <vt:lpstr>EP37_7</vt:lpstr>
      <vt:lpstr>EP37_8</vt:lpstr>
      <vt:lpstr>EP37_9</vt:lpstr>
      <vt:lpstr>EP38_0</vt:lpstr>
      <vt:lpstr>EP38_1</vt:lpstr>
      <vt:lpstr>EP38_10</vt:lpstr>
      <vt:lpstr>EP38_11</vt:lpstr>
      <vt:lpstr>EP38_12</vt:lpstr>
      <vt:lpstr>EP38_13</vt:lpstr>
      <vt:lpstr>EP38_14</vt:lpstr>
      <vt:lpstr>EP38_15</vt:lpstr>
      <vt:lpstr>EP38_2</vt:lpstr>
      <vt:lpstr>EP38_3</vt:lpstr>
      <vt:lpstr>EP38_4</vt:lpstr>
      <vt:lpstr>EP38_5</vt:lpstr>
      <vt:lpstr>EP38_6</vt:lpstr>
      <vt:lpstr>EP38_7</vt:lpstr>
      <vt:lpstr>EP38_8</vt:lpstr>
      <vt:lpstr>EP38_9</vt:lpstr>
      <vt:lpstr>EP39_0</vt:lpstr>
      <vt:lpstr>EP39_1</vt:lpstr>
      <vt:lpstr>EP39_10</vt:lpstr>
      <vt:lpstr>EP39_11</vt:lpstr>
      <vt:lpstr>EP39_12</vt:lpstr>
      <vt:lpstr>EP39_13</vt:lpstr>
      <vt:lpstr>EP39_14</vt:lpstr>
      <vt:lpstr>EP39_15</vt:lpstr>
      <vt:lpstr>EP39_2</vt:lpstr>
      <vt:lpstr>EP39_3</vt:lpstr>
      <vt:lpstr>EP39_4</vt:lpstr>
      <vt:lpstr>EP39_5</vt:lpstr>
      <vt:lpstr>EP39_6</vt:lpstr>
      <vt:lpstr>EP39_7</vt:lpstr>
      <vt:lpstr>EP39_8</vt:lpstr>
      <vt:lpstr>EP39_9</vt:lpstr>
      <vt:lpstr>EP40_0</vt:lpstr>
      <vt:lpstr>EP40_1</vt:lpstr>
      <vt:lpstr>EP40_10</vt:lpstr>
      <vt:lpstr>EP40_11</vt:lpstr>
      <vt:lpstr>EP40_12</vt:lpstr>
      <vt:lpstr>EP40_13</vt:lpstr>
      <vt:lpstr>EP40_14</vt:lpstr>
      <vt:lpstr>EP40_15</vt:lpstr>
      <vt:lpstr>EP40_2</vt:lpstr>
      <vt:lpstr>EP40_3</vt:lpstr>
      <vt:lpstr>EP40_4</vt:lpstr>
      <vt:lpstr>EP40_5</vt:lpstr>
      <vt:lpstr>EP40_6</vt:lpstr>
      <vt:lpstr>EP40_7</vt:lpstr>
      <vt:lpstr>EP40_8</vt:lpstr>
      <vt:lpstr>EP40_9</vt:lpstr>
      <vt:lpstr>EP41_0</vt:lpstr>
      <vt:lpstr>EP41_1</vt:lpstr>
      <vt:lpstr>EP41_10</vt:lpstr>
      <vt:lpstr>EP41_11</vt:lpstr>
      <vt:lpstr>EP41_12</vt:lpstr>
      <vt:lpstr>EP41_13</vt:lpstr>
      <vt:lpstr>EP41_14</vt:lpstr>
      <vt:lpstr>EP41_15</vt:lpstr>
      <vt:lpstr>EP41_2</vt:lpstr>
      <vt:lpstr>EP41_3</vt:lpstr>
      <vt:lpstr>EP41_4</vt:lpstr>
      <vt:lpstr>EP41_5</vt:lpstr>
      <vt:lpstr>EP41_6</vt:lpstr>
      <vt:lpstr>EP41_7</vt:lpstr>
      <vt:lpstr>EP41_8</vt:lpstr>
      <vt:lpstr>EP41_9</vt:lpstr>
      <vt:lpstr>EP42_0</vt:lpstr>
      <vt:lpstr>EP42_1</vt:lpstr>
      <vt:lpstr>EP42_10</vt:lpstr>
      <vt:lpstr>EP42_11</vt:lpstr>
      <vt:lpstr>EP42_12</vt:lpstr>
      <vt:lpstr>EP42_13</vt:lpstr>
      <vt:lpstr>EP42_14</vt:lpstr>
      <vt:lpstr>EP42_15</vt:lpstr>
      <vt:lpstr>EP42_2</vt:lpstr>
      <vt:lpstr>EP42_3</vt:lpstr>
      <vt:lpstr>EP42_4</vt:lpstr>
      <vt:lpstr>EP42_5</vt:lpstr>
      <vt:lpstr>EP42_6</vt:lpstr>
      <vt:lpstr>EP42_7</vt:lpstr>
      <vt:lpstr>EP42_8</vt:lpstr>
      <vt:lpstr>EP42_9</vt:lpstr>
      <vt:lpstr>EP43_0</vt:lpstr>
      <vt:lpstr>EP43_1</vt:lpstr>
      <vt:lpstr>EP43_10</vt:lpstr>
      <vt:lpstr>EP43_11</vt:lpstr>
      <vt:lpstr>EP43_12</vt:lpstr>
      <vt:lpstr>EP43_13</vt:lpstr>
      <vt:lpstr>EP43_14</vt:lpstr>
      <vt:lpstr>EP43_15</vt:lpstr>
      <vt:lpstr>EP43_2</vt:lpstr>
      <vt:lpstr>EP43_3</vt:lpstr>
      <vt:lpstr>EP43_4</vt:lpstr>
      <vt:lpstr>EP43_5</vt:lpstr>
      <vt:lpstr>EP43_6</vt:lpstr>
      <vt:lpstr>EP43_7</vt:lpstr>
      <vt:lpstr>EP43_8</vt:lpstr>
      <vt:lpstr>EP43_9</vt:lpstr>
      <vt:lpstr>EP44_0</vt:lpstr>
      <vt:lpstr>EP44_1</vt:lpstr>
      <vt:lpstr>EP44_10</vt:lpstr>
      <vt:lpstr>EP44_11</vt:lpstr>
      <vt:lpstr>EP44_12</vt:lpstr>
      <vt:lpstr>EP44_13</vt:lpstr>
      <vt:lpstr>EP44_14</vt:lpstr>
      <vt:lpstr>EP44_15</vt:lpstr>
      <vt:lpstr>EP44_2</vt:lpstr>
      <vt:lpstr>EP44_3</vt:lpstr>
      <vt:lpstr>EP44_4</vt:lpstr>
      <vt:lpstr>EP44_5</vt:lpstr>
      <vt:lpstr>EP44_6</vt:lpstr>
      <vt:lpstr>EP44_7</vt:lpstr>
      <vt:lpstr>EP44_8</vt:lpstr>
      <vt:lpstr>EP44_9</vt:lpstr>
      <vt:lpstr>EP45_0</vt:lpstr>
      <vt:lpstr>EP45_1</vt:lpstr>
      <vt:lpstr>EP45_10</vt:lpstr>
      <vt:lpstr>EP45_11</vt:lpstr>
      <vt:lpstr>EP45_12</vt:lpstr>
      <vt:lpstr>EP45_13</vt:lpstr>
      <vt:lpstr>EP45_14</vt:lpstr>
      <vt:lpstr>EP45_15</vt:lpstr>
      <vt:lpstr>EP45_2</vt:lpstr>
      <vt:lpstr>EP45_3</vt:lpstr>
      <vt:lpstr>EP45_4</vt:lpstr>
      <vt:lpstr>EP45_5</vt:lpstr>
      <vt:lpstr>EP45_6</vt:lpstr>
      <vt:lpstr>EP45_7</vt:lpstr>
      <vt:lpstr>EP45_8</vt:lpstr>
      <vt:lpstr>EP45_9</vt:lpstr>
      <vt:lpstr>EP46_0</vt:lpstr>
      <vt:lpstr>EP46_1</vt:lpstr>
      <vt:lpstr>EP46_10</vt:lpstr>
      <vt:lpstr>EP46_11</vt:lpstr>
      <vt:lpstr>EP46_12</vt:lpstr>
      <vt:lpstr>EP46_13</vt:lpstr>
      <vt:lpstr>EP46_14</vt:lpstr>
      <vt:lpstr>EP46_15</vt:lpstr>
      <vt:lpstr>EP46_2</vt:lpstr>
      <vt:lpstr>EP46_3</vt:lpstr>
      <vt:lpstr>EP46_4</vt:lpstr>
      <vt:lpstr>EP46_5</vt:lpstr>
      <vt:lpstr>EP46_6</vt:lpstr>
      <vt:lpstr>EP46_7</vt:lpstr>
      <vt:lpstr>EP46_8</vt:lpstr>
      <vt:lpstr>EP46_9</vt:lpstr>
      <vt:lpstr>EP47_0</vt:lpstr>
      <vt:lpstr>EP47_1</vt:lpstr>
      <vt:lpstr>EP47_10</vt:lpstr>
      <vt:lpstr>EP47_11</vt:lpstr>
      <vt:lpstr>EP47_12</vt:lpstr>
      <vt:lpstr>EP47_13</vt:lpstr>
      <vt:lpstr>EP47_14</vt:lpstr>
      <vt:lpstr>EP47_15</vt:lpstr>
      <vt:lpstr>EP47_2</vt:lpstr>
      <vt:lpstr>EP47_3</vt:lpstr>
      <vt:lpstr>EP47_4</vt:lpstr>
      <vt:lpstr>EP47_5</vt:lpstr>
      <vt:lpstr>EP47_6</vt:lpstr>
      <vt:lpstr>EP47_7</vt:lpstr>
      <vt:lpstr>EP47_8</vt:lpstr>
      <vt:lpstr>EP47_9</vt:lpstr>
      <vt:lpstr>EP48_0</vt:lpstr>
      <vt:lpstr>EP48_1</vt:lpstr>
      <vt:lpstr>EP48_10</vt:lpstr>
      <vt:lpstr>EP48_11</vt:lpstr>
      <vt:lpstr>EP48_12</vt:lpstr>
      <vt:lpstr>EP48_13</vt:lpstr>
      <vt:lpstr>EP48_14</vt:lpstr>
      <vt:lpstr>EP48_15</vt:lpstr>
      <vt:lpstr>EP48_2</vt:lpstr>
      <vt:lpstr>EP48_3</vt:lpstr>
      <vt:lpstr>EP48_4</vt:lpstr>
      <vt:lpstr>EP48_5</vt:lpstr>
      <vt:lpstr>EP48_6</vt:lpstr>
      <vt:lpstr>EP48_7</vt:lpstr>
      <vt:lpstr>EP48_8</vt:lpstr>
      <vt:lpstr>EP48_9</vt:lpstr>
      <vt:lpstr>EP49_0</vt:lpstr>
      <vt:lpstr>EP49_1</vt:lpstr>
      <vt:lpstr>EP49_10</vt:lpstr>
      <vt:lpstr>EP49_11</vt:lpstr>
      <vt:lpstr>EP49_12</vt:lpstr>
      <vt:lpstr>EP49_13</vt:lpstr>
      <vt:lpstr>EP49_14</vt:lpstr>
      <vt:lpstr>EP49_15</vt:lpstr>
      <vt:lpstr>EP49_2</vt:lpstr>
      <vt:lpstr>EP49_3</vt:lpstr>
      <vt:lpstr>EP49_4</vt:lpstr>
      <vt:lpstr>EP49_5</vt:lpstr>
      <vt:lpstr>EP49_6</vt:lpstr>
      <vt:lpstr>EP49_7</vt:lpstr>
      <vt:lpstr>EP49_8</vt:lpstr>
      <vt:lpstr>EP49_9</vt:lpstr>
      <vt:lpstr>EP50_0</vt:lpstr>
      <vt:lpstr>EP50_1</vt:lpstr>
      <vt:lpstr>EP50_10</vt:lpstr>
      <vt:lpstr>EP50_11</vt:lpstr>
      <vt:lpstr>EP50_12</vt:lpstr>
      <vt:lpstr>EP50_13</vt:lpstr>
      <vt:lpstr>EP50_14</vt:lpstr>
      <vt:lpstr>EP50_15</vt:lpstr>
      <vt:lpstr>EP50_2</vt:lpstr>
      <vt:lpstr>EP50_3</vt:lpstr>
      <vt:lpstr>EP50_4</vt:lpstr>
      <vt:lpstr>EP50_5</vt:lpstr>
      <vt:lpstr>EP50_6</vt:lpstr>
      <vt:lpstr>EP50_7</vt:lpstr>
      <vt:lpstr>EP50_8</vt:lpstr>
      <vt:lpstr>EP50_9</vt:lpstr>
      <vt:lpstr>EP51_0</vt:lpstr>
      <vt:lpstr>EP51_1</vt:lpstr>
      <vt:lpstr>EP51_10</vt:lpstr>
      <vt:lpstr>EP51_11</vt:lpstr>
      <vt:lpstr>EP51_12</vt:lpstr>
      <vt:lpstr>EP51_13</vt:lpstr>
      <vt:lpstr>EP51_14</vt:lpstr>
      <vt:lpstr>EP51_15</vt:lpstr>
      <vt:lpstr>EP51_2</vt:lpstr>
      <vt:lpstr>EP51_3</vt:lpstr>
      <vt:lpstr>EP51_4</vt:lpstr>
      <vt:lpstr>EP51_5</vt:lpstr>
      <vt:lpstr>EP51_6</vt:lpstr>
      <vt:lpstr>EP51_7</vt:lpstr>
      <vt:lpstr>EP51_8</vt:lpstr>
      <vt:lpstr>EP51_9</vt:lpstr>
      <vt:lpstr>EP52_0</vt:lpstr>
      <vt:lpstr>EP52_1</vt:lpstr>
      <vt:lpstr>EP52_10</vt:lpstr>
      <vt:lpstr>EP52_11</vt:lpstr>
      <vt:lpstr>EP52_12</vt:lpstr>
      <vt:lpstr>EP52_13</vt:lpstr>
      <vt:lpstr>EP52_14</vt:lpstr>
      <vt:lpstr>EP52_15</vt:lpstr>
      <vt:lpstr>EP52_2</vt:lpstr>
      <vt:lpstr>EP52_3</vt:lpstr>
      <vt:lpstr>EP52_4</vt:lpstr>
      <vt:lpstr>EP52_5</vt:lpstr>
      <vt:lpstr>EP52_6</vt:lpstr>
      <vt:lpstr>EP52_7</vt:lpstr>
      <vt:lpstr>EP52_8</vt:lpstr>
      <vt:lpstr>EP52_9</vt:lpstr>
      <vt:lpstr>EP53_0</vt:lpstr>
      <vt:lpstr>EP53_1</vt:lpstr>
      <vt:lpstr>EP53_10</vt:lpstr>
      <vt:lpstr>EP53_11</vt:lpstr>
      <vt:lpstr>EP53_12</vt:lpstr>
      <vt:lpstr>EP53_13</vt:lpstr>
      <vt:lpstr>EP53_14</vt:lpstr>
      <vt:lpstr>EP53_15</vt:lpstr>
      <vt:lpstr>EP53_2</vt:lpstr>
      <vt:lpstr>EP53_3</vt:lpstr>
      <vt:lpstr>EP53_4</vt:lpstr>
      <vt:lpstr>EP53_5</vt:lpstr>
      <vt:lpstr>EP53_6</vt:lpstr>
      <vt:lpstr>EP53_7</vt:lpstr>
      <vt:lpstr>EP53_8</vt:lpstr>
      <vt:lpstr>EP53_9</vt:lpstr>
      <vt:lpstr>EP54_0</vt:lpstr>
      <vt:lpstr>EP54_1</vt:lpstr>
      <vt:lpstr>EP54_10</vt:lpstr>
      <vt:lpstr>EP54_11</vt:lpstr>
      <vt:lpstr>EP54_12</vt:lpstr>
      <vt:lpstr>EP54_13</vt:lpstr>
      <vt:lpstr>EP54_14</vt:lpstr>
      <vt:lpstr>EP54_15</vt:lpstr>
      <vt:lpstr>EP54_2</vt:lpstr>
      <vt:lpstr>EP54_3</vt:lpstr>
      <vt:lpstr>EP54_4</vt:lpstr>
      <vt:lpstr>EP54_5</vt:lpstr>
      <vt:lpstr>EP54_6</vt:lpstr>
      <vt:lpstr>EP54_7</vt:lpstr>
      <vt:lpstr>EP54_8</vt:lpstr>
      <vt:lpstr>EP54_9</vt:lpstr>
      <vt:lpstr>EP55_0</vt:lpstr>
      <vt:lpstr>EP55_1</vt:lpstr>
      <vt:lpstr>EP55_10</vt:lpstr>
      <vt:lpstr>EP55_11</vt:lpstr>
      <vt:lpstr>EP55_12</vt:lpstr>
      <vt:lpstr>EP55_13</vt:lpstr>
      <vt:lpstr>EP55_14</vt:lpstr>
      <vt:lpstr>EP55_15</vt:lpstr>
      <vt:lpstr>EP55_2</vt:lpstr>
      <vt:lpstr>EP55_3</vt:lpstr>
      <vt:lpstr>EP55_4</vt:lpstr>
      <vt:lpstr>EP55_5</vt:lpstr>
      <vt:lpstr>EP55_6</vt:lpstr>
      <vt:lpstr>EP55_7</vt:lpstr>
      <vt:lpstr>EP55_8</vt:lpstr>
      <vt:lpstr>EP55_9</vt:lpstr>
      <vt:lpstr>EP56_0</vt:lpstr>
      <vt:lpstr>EP56_1</vt:lpstr>
      <vt:lpstr>EP56_10</vt:lpstr>
      <vt:lpstr>EP56_11</vt:lpstr>
      <vt:lpstr>EP56_12</vt:lpstr>
      <vt:lpstr>EP56_13</vt:lpstr>
      <vt:lpstr>EP56_14</vt:lpstr>
      <vt:lpstr>EP56_15</vt:lpstr>
      <vt:lpstr>EP56_2</vt:lpstr>
      <vt:lpstr>EP56_3</vt:lpstr>
      <vt:lpstr>EP56_4</vt:lpstr>
      <vt:lpstr>EP56_5</vt:lpstr>
      <vt:lpstr>EP56_6</vt:lpstr>
      <vt:lpstr>EP56_7</vt:lpstr>
      <vt:lpstr>EP56_8</vt:lpstr>
      <vt:lpstr>EP56_9</vt:lpstr>
      <vt:lpstr>EP57_0</vt:lpstr>
      <vt:lpstr>EP57_1</vt:lpstr>
      <vt:lpstr>EP57_10</vt:lpstr>
      <vt:lpstr>EP57_11</vt:lpstr>
      <vt:lpstr>EP57_12</vt:lpstr>
      <vt:lpstr>EP57_13</vt:lpstr>
      <vt:lpstr>EP57_14</vt:lpstr>
      <vt:lpstr>EP57_15</vt:lpstr>
      <vt:lpstr>EP57_2</vt:lpstr>
      <vt:lpstr>EP57_3</vt:lpstr>
      <vt:lpstr>EP57_4</vt:lpstr>
      <vt:lpstr>EP57_5</vt:lpstr>
      <vt:lpstr>EP57_6</vt:lpstr>
      <vt:lpstr>EP57_7</vt:lpstr>
      <vt:lpstr>EP57_8</vt:lpstr>
      <vt:lpstr>EP57_9</vt:lpstr>
      <vt:lpstr>EP58_0</vt:lpstr>
      <vt:lpstr>EP58_1</vt:lpstr>
      <vt:lpstr>EP58_10</vt:lpstr>
      <vt:lpstr>EP58_11</vt:lpstr>
      <vt:lpstr>EP58_12</vt:lpstr>
      <vt:lpstr>EP58_13</vt:lpstr>
      <vt:lpstr>EP58_14</vt:lpstr>
      <vt:lpstr>EP58_15</vt:lpstr>
      <vt:lpstr>EP58_2</vt:lpstr>
      <vt:lpstr>EP58_3</vt:lpstr>
      <vt:lpstr>EP58_4</vt:lpstr>
      <vt:lpstr>EP58_5</vt:lpstr>
      <vt:lpstr>EP58_6</vt:lpstr>
      <vt:lpstr>EP58_7</vt:lpstr>
      <vt:lpstr>EP58_8</vt:lpstr>
      <vt:lpstr>EP58_9</vt:lpstr>
      <vt:lpstr>EP59_0</vt:lpstr>
      <vt:lpstr>EP59_1</vt:lpstr>
      <vt:lpstr>EP59_10</vt:lpstr>
      <vt:lpstr>EP59_11</vt:lpstr>
      <vt:lpstr>EP59_12</vt:lpstr>
      <vt:lpstr>EP59_13</vt:lpstr>
      <vt:lpstr>EP59_14</vt:lpstr>
      <vt:lpstr>EP59_15</vt:lpstr>
      <vt:lpstr>EP59_2</vt:lpstr>
      <vt:lpstr>EP59_3</vt:lpstr>
      <vt:lpstr>EP59_4</vt:lpstr>
      <vt:lpstr>EP59_5</vt:lpstr>
      <vt:lpstr>EP59_6</vt:lpstr>
      <vt:lpstr>EP59_7</vt:lpstr>
      <vt:lpstr>EP59_8</vt:lpstr>
      <vt:lpstr>EP59_9</vt:lpstr>
      <vt:lpstr>EP60_0</vt:lpstr>
      <vt:lpstr>EP60_1</vt:lpstr>
      <vt:lpstr>EP60_10</vt:lpstr>
      <vt:lpstr>EP60_11</vt:lpstr>
      <vt:lpstr>EP60_12</vt:lpstr>
      <vt:lpstr>EP60_13</vt:lpstr>
      <vt:lpstr>EP60_14</vt:lpstr>
      <vt:lpstr>EP60_15</vt:lpstr>
      <vt:lpstr>EP60_2</vt:lpstr>
      <vt:lpstr>EP60_3</vt:lpstr>
      <vt:lpstr>EP60_4</vt:lpstr>
      <vt:lpstr>EP60_5</vt:lpstr>
      <vt:lpstr>EP60_6</vt:lpstr>
      <vt:lpstr>EP60_7</vt:lpstr>
      <vt:lpstr>EP60_8</vt:lpstr>
      <vt:lpstr>EP60_9</vt:lpstr>
      <vt:lpstr>EP61_0</vt:lpstr>
      <vt:lpstr>EP61_1</vt:lpstr>
      <vt:lpstr>EP61_10</vt:lpstr>
      <vt:lpstr>EP61_11</vt:lpstr>
      <vt:lpstr>EP61_12</vt:lpstr>
      <vt:lpstr>EP61_13</vt:lpstr>
      <vt:lpstr>EP61_14</vt:lpstr>
      <vt:lpstr>EP61_15</vt:lpstr>
      <vt:lpstr>EP61_2</vt:lpstr>
      <vt:lpstr>EP61_3</vt:lpstr>
      <vt:lpstr>EP61_4</vt:lpstr>
      <vt:lpstr>EP61_5</vt:lpstr>
      <vt:lpstr>EP61_6</vt:lpstr>
      <vt:lpstr>EP61_7</vt:lpstr>
      <vt:lpstr>EP61_8</vt:lpstr>
      <vt:lpstr>EP61_9</vt:lpstr>
      <vt:lpstr>EP62_0</vt:lpstr>
      <vt:lpstr>EP62_1</vt:lpstr>
      <vt:lpstr>EP62_10</vt:lpstr>
      <vt:lpstr>EP62_11</vt:lpstr>
      <vt:lpstr>EP62_12</vt:lpstr>
      <vt:lpstr>EP62_13</vt:lpstr>
      <vt:lpstr>EP62_14</vt:lpstr>
      <vt:lpstr>EP62_15</vt:lpstr>
      <vt:lpstr>EP62_2</vt:lpstr>
      <vt:lpstr>EP62_3</vt:lpstr>
      <vt:lpstr>EP62_4</vt:lpstr>
      <vt:lpstr>EP62_5</vt:lpstr>
      <vt:lpstr>EP62_6</vt:lpstr>
      <vt:lpstr>EP62_7</vt:lpstr>
      <vt:lpstr>EP62_8</vt:lpstr>
      <vt:lpstr>EP62_9</vt:lpstr>
      <vt:lpstr>EP63_0</vt:lpstr>
      <vt:lpstr>EP63_1</vt:lpstr>
      <vt:lpstr>EP63_10</vt:lpstr>
      <vt:lpstr>EP63_11</vt:lpstr>
      <vt:lpstr>EP63_12</vt:lpstr>
      <vt:lpstr>EP63_13</vt:lpstr>
      <vt:lpstr>EP63_14</vt:lpstr>
      <vt:lpstr>EP63_15</vt:lpstr>
      <vt:lpstr>EP63_2</vt:lpstr>
      <vt:lpstr>EP63_3</vt:lpstr>
      <vt:lpstr>EP63_4</vt:lpstr>
      <vt:lpstr>EP63_5</vt:lpstr>
      <vt:lpstr>EP63_6</vt:lpstr>
      <vt:lpstr>EP63_7</vt:lpstr>
      <vt:lpstr>EP63_8</vt:lpstr>
      <vt:lpstr>EP63_9</vt:lpstr>
      <vt:lpstr>EPHS_1</vt:lpstr>
      <vt:lpstr>EPHS_2</vt:lpstr>
      <vt:lpstr>EPROP</vt:lpstr>
      <vt:lpstr>ERJW</vt:lpstr>
      <vt:lpstr>FlexCAN_Jump_Values_Extended</vt:lpstr>
      <vt:lpstr>FlexCAN_Jump_Values_Normal</vt:lpstr>
      <vt:lpstr>FlexCAN_Prop_Jump_Values_Extended</vt:lpstr>
      <vt:lpstr>FlexCAN_Prop_Jump_Values_FD</vt:lpstr>
      <vt:lpstr>FPHS_1</vt:lpstr>
      <vt:lpstr>FPHS_2</vt:lpstr>
      <vt:lpstr>FPROP</vt:lpstr>
      <vt:lpstr>FRJW</vt:lpstr>
      <vt:lpstr>J0_0</vt:lpstr>
      <vt:lpstr>J0_1</vt:lpstr>
      <vt:lpstr>J0_2</vt:lpstr>
      <vt:lpstr>J0_3</vt:lpstr>
      <vt:lpstr>J1_0</vt:lpstr>
      <vt:lpstr>J1_1</vt:lpstr>
      <vt:lpstr>J1_2</vt:lpstr>
      <vt:lpstr>J1_3</vt:lpstr>
      <vt:lpstr>J2_0</vt:lpstr>
      <vt:lpstr>J2_1</vt:lpstr>
      <vt:lpstr>J2_2</vt:lpstr>
      <vt:lpstr>J2_3</vt:lpstr>
      <vt:lpstr>J3_0</vt:lpstr>
      <vt:lpstr>J3_1</vt:lpstr>
      <vt:lpstr>J3_2</vt:lpstr>
      <vt:lpstr>J3_3</vt:lpstr>
      <vt:lpstr>J4_0</vt:lpstr>
      <vt:lpstr>J4_1</vt:lpstr>
      <vt:lpstr>J4_2</vt:lpstr>
      <vt:lpstr>J4_3</vt:lpstr>
      <vt:lpstr>J5_0</vt:lpstr>
      <vt:lpstr>J5_1</vt:lpstr>
      <vt:lpstr>J5_2</vt:lpstr>
      <vt:lpstr>J5_3</vt:lpstr>
      <vt:lpstr>J6_0</vt:lpstr>
      <vt:lpstr>J6_1</vt:lpstr>
      <vt:lpstr>J6_2</vt:lpstr>
      <vt:lpstr>J6_3</vt:lpstr>
      <vt:lpstr>J7_0</vt:lpstr>
      <vt:lpstr>J7_1</vt:lpstr>
      <vt:lpstr>J7_2</vt:lpstr>
      <vt:lpstr>J7_3</vt:lpstr>
      <vt:lpstr>JW</vt:lpstr>
      <vt:lpstr>PHS_1</vt:lpstr>
      <vt:lpstr>PHS_2</vt:lpstr>
      <vt:lpstr>PROP</vt:lpstr>
    </vt:vector>
  </TitlesOfParts>
  <Company>Freescale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MPC574xG_Clock_Calculator_Rev6</dc:title>
  <dc:creator>Tony Reipold</dc:creator>
  <cp:lastModifiedBy>Ankur Kala</cp:lastModifiedBy>
  <cp:lastPrinted>2016-10-04T15:01:14Z</cp:lastPrinted>
  <dcterms:created xsi:type="dcterms:W3CDTF">2012-06-29T20:41:31Z</dcterms:created>
  <dcterms:modified xsi:type="dcterms:W3CDTF">2020-06-25T10:19:52Z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0x010100DD41D382EB71FE41B2A4ED54EE7A7A78</vt:lpwstr>
  </property>
  <property fmtid="{D5CDD505-2E9C-101B-9397-08002B2CF9AE}" pid="3" name="_dlc_DocIdItemGuid">
    <vt:lpwstr>daf9a541-04eb-4835-8464-a44caf52f45f</vt:lpwstr>
  </property>
</Properties>
</file>